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2.xml" ContentType="application/vnd.openxmlformats-officedocument.spreadsheetml.table+xml"/>
  <Override PartName="/xl/queryTables/queryTable9.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3.xml" ContentType="application/vnd.openxmlformats-officedocument.spreadsheetml.table+xml"/>
  <Override PartName="/xl/queryTables/queryTable10.xml" ContentType="application/vnd.openxmlformats-officedocument.spreadsheetml.queryTable+xml"/>
  <Override PartName="/xl/tables/table14.xml" ContentType="application/vnd.openxmlformats-officedocument.spreadsheetml.table+xml"/>
  <Override PartName="/xl/queryTables/queryTable11.xml" ContentType="application/vnd.openxmlformats-officedocument.spreadsheetml.query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8.xml" ContentType="application/vnd.openxmlformats-officedocument.spreadsheetml.pivotTable+xml"/>
  <Override PartName="/xl/drawings/drawing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9.xml" ContentType="application/vnd.openxmlformats-officedocument.spreadsheetml.pivotTable+xml"/>
  <Override PartName="/xl/drawings/drawing5.xml" ContentType="application/vnd.openxmlformats-officedocument.drawing+xml"/>
  <Override PartName="/xl/tables/table15.xml" ContentType="application/vnd.openxmlformats-officedocument.spreadsheetml.table+xml"/>
  <Override PartName="/xl/pivotTables/pivotTable20.xml" ContentType="application/vnd.openxmlformats-officedocument.spreadsheetml.pivotTable+xml"/>
  <Override PartName="/xl/drawings/drawing6.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C:\Users\MITS\Downloads\"/>
    </mc:Choice>
  </mc:AlternateContent>
  <xr:revisionPtr revIDLastSave="0" documentId="13_ncr:1_{9BD564D4-CD23-4C52-8D47-2EAC62B05E03}" xr6:coauthVersionLast="47" xr6:coauthVersionMax="47" xr10:uidLastSave="{00000000-0000-0000-0000-000000000000}"/>
  <bookViews>
    <workbookView xWindow="-120" yWindow="-120" windowWidth="29040" windowHeight="15720" firstSheet="12" activeTab="21" xr2:uid="{00000000-000D-0000-FFFF-FFFF00000000}"/>
  </bookViews>
  <sheets>
    <sheet name="formulasbasic" sheetId="2" r:id="rId1"/>
    <sheet name="Sheet2" sheetId="3" r:id="rId2"/>
    <sheet name="datefunctions" sheetId="4" r:id="rId3"/>
    <sheet name="stringfunctions" sheetId="5" r:id="rId4"/>
    <sheet name="mathfunctions" sheetId="6" r:id="rId5"/>
    <sheet name="lookups" sheetId="8" r:id="rId6"/>
    <sheet name="logical and error" sheetId="9" r:id="rId7"/>
    <sheet name="stats functions" sheetId="10" r:id="rId8"/>
    <sheet name="Formatting" sheetId="12" r:id="rId9"/>
    <sheet name="charts" sheetId="13" r:id="rId10"/>
    <sheet name="Sheet4" sheetId="15" r:id="rId11"/>
    <sheet name="ANOVA" sheetId="14" r:id="rId12"/>
    <sheet name="Sheet3" sheetId="16" r:id="rId13"/>
    <sheet name="Sheet5" sheetId="17" r:id="rId14"/>
    <sheet name="Sheet9" sheetId="21" r:id="rId15"/>
    <sheet name="Sheet10" sheetId="22" r:id="rId16"/>
    <sheet name="DashBoard" sheetId="18" r:id="rId17"/>
    <sheet name="Sheet7" sheetId="19" r:id="rId18"/>
    <sheet name="Sheet8" sheetId="20" r:id="rId19"/>
    <sheet name="Sheet1" sheetId="1" r:id="rId20"/>
    <sheet name="Report" sheetId="25" r:id="rId21"/>
    <sheet name="Sheet6" sheetId="23" r:id="rId22"/>
    <sheet name="Sheet13" sheetId="26" r:id="rId23"/>
    <sheet name="ANOVA1" sheetId="11" r:id="rId24"/>
    <sheet name="Sheet11" sheetId="24" r:id="rId25"/>
  </sheets>
  <definedNames>
    <definedName name="_xlnm._FilterDatabase" localSheetId="8" hidden="1">Formatting!$V$17:$V$46</definedName>
    <definedName name="_xlnm._FilterDatabase" localSheetId="21" hidden="1">Sheet6!$L$17:$M$20</definedName>
    <definedName name="_xlcn.WorksheetConnection_Excelpractice2.xlsxTable11" hidden="1">Table1[]</definedName>
    <definedName name="_xlcn.WorksheetConnection_Excelpractice3.xlsxTable221" hidden="1">Table22[]</definedName>
    <definedName name="_xlcn.WorksheetConnection_Excelpractice3.xlsxTable2211" hidden="1">Table22[]</definedName>
    <definedName name="_xlcn.WorksheetConnection_Excelpractice3.xlsxTable2221" hidden="1">Table22[]</definedName>
    <definedName name="_xlcn.WorksheetConnection_Excelpractice3.xlsxTable2231" hidden="1">Table22[]</definedName>
    <definedName name="_xlcn.WorksheetConnection_Excelpractice3.xlsxTable2241" hidden="1">Table22[]</definedName>
    <definedName name="_xlcn.WorksheetConnection_Excelpractice3.xlsxTable2251" hidden="1">Table22[]</definedName>
    <definedName name="ExternalData_1" localSheetId="11" hidden="1">ANOVA!$A$1:$I$101</definedName>
    <definedName name="ExternalData_1" localSheetId="2" hidden="1">datefunctions!$A$1:$I$101</definedName>
    <definedName name="ExternalData_1" localSheetId="8" hidden="1">Formatting!$A$1:$I$101</definedName>
    <definedName name="ExternalData_1" localSheetId="0" hidden="1">formulasbasic!$A$1:$I$101</definedName>
    <definedName name="ExternalData_1" localSheetId="6" hidden="1">'logical and error'!$A$1:$I$101</definedName>
    <definedName name="ExternalData_1" localSheetId="5" hidden="1">lookups!$A$1:$I$101</definedName>
    <definedName name="ExternalData_1" localSheetId="4" hidden="1">mathfunctions!$A$1:$I$101</definedName>
    <definedName name="ExternalData_1" localSheetId="15" hidden="1">Sheet10!$A$3:$I$14</definedName>
    <definedName name="ExternalData_1" localSheetId="14" hidden="1">Sheet9!$A$3:$I$103</definedName>
    <definedName name="ExternalData_1" localSheetId="7" hidden="1">'stats functions'!$A$1:$I$101</definedName>
    <definedName name="ExternalData_1" localSheetId="3" hidden="1">stringfunctions!$A$1:$F$101</definedName>
    <definedName name="Slicer_Category">#N/A</definedName>
    <definedName name="Slicer_Region">#N/A</definedName>
    <definedName name="solver_cvg" localSheetId="21" hidden="1">0.0001</definedName>
    <definedName name="solver_drv" localSheetId="21" hidden="1">1</definedName>
    <definedName name="solver_eng" localSheetId="21" hidden="1">1</definedName>
    <definedName name="solver_eng" localSheetId="18" hidden="1">1</definedName>
    <definedName name="solver_est" localSheetId="21" hidden="1">1</definedName>
    <definedName name="solver_itr" localSheetId="21" hidden="1">2147483647</definedName>
    <definedName name="solver_lhs1" localSheetId="21" hidden="1">Sheet6!$K$66</definedName>
    <definedName name="solver_mip" localSheetId="21" hidden="1">2147483647</definedName>
    <definedName name="solver_mni" localSheetId="21" hidden="1">30</definedName>
    <definedName name="solver_mrt" localSheetId="21" hidden="1">0.075</definedName>
    <definedName name="solver_msl" localSheetId="21" hidden="1">2</definedName>
    <definedName name="solver_neg" localSheetId="21" hidden="1">1</definedName>
    <definedName name="solver_neg" localSheetId="18" hidden="1">1</definedName>
    <definedName name="solver_nod" localSheetId="21" hidden="1">2147483647</definedName>
    <definedName name="solver_num" localSheetId="21" hidden="1">1</definedName>
    <definedName name="solver_num" localSheetId="18" hidden="1">0</definedName>
    <definedName name="solver_nwt" localSheetId="21" hidden="1">1</definedName>
    <definedName name="solver_opt" localSheetId="21" hidden="1">Sheet6!$K$65</definedName>
    <definedName name="solver_opt" localSheetId="18" hidden="1">Sheet8!$A$3</definedName>
    <definedName name="solver_pre" localSheetId="21" hidden="1">0.000001</definedName>
    <definedName name="solver_rbv" localSheetId="21" hidden="1">1</definedName>
    <definedName name="solver_rel1" localSheetId="21" hidden="1">1</definedName>
    <definedName name="solver_rhs1" localSheetId="21" hidden="1">100</definedName>
    <definedName name="solver_rlx" localSheetId="21" hidden="1">2</definedName>
    <definedName name="solver_rsd" localSheetId="21" hidden="1">0</definedName>
    <definedName name="solver_scl" localSheetId="21" hidden="1">1</definedName>
    <definedName name="solver_sho" localSheetId="21" hidden="1">2</definedName>
    <definedName name="solver_ssz" localSheetId="21" hidden="1">100</definedName>
    <definedName name="solver_tim" localSheetId="21" hidden="1">2147483647</definedName>
    <definedName name="solver_tol" localSheetId="21" hidden="1">0.01</definedName>
    <definedName name="solver_typ" localSheetId="21" hidden="1">3</definedName>
    <definedName name="solver_typ" localSheetId="18" hidden="1">3</definedName>
    <definedName name="solver_val" localSheetId="18" hidden="1">0</definedName>
    <definedName name="solver_ver" localSheetId="21" hidden="1">3</definedName>
    <definedName name="solver_ver" localSheetId="18" hidden="1">3</definedName>
  </definedNames>
  <calcPr calcId="191029"/>
  <pivotCaches>
    <pivotCache cacheId="7" r:id="rId26"/>
    <pivotCache cacheId="158" r:id="rId27"/>
    <pivotCache cacheId="159" r:id="rId28"/>
    <pivotCache cacheId="160" r:id="rId29"/>
    <pivotCache cacheId="161" r:id="rId30"/>
    <pivotCache cacheId="162" r:id="rId31"/>
    <pivotCache cacheId="163" r:id="rId32"/>
    <pivotCache cacheId="164" r:id="rId33"/>
    <pivotCache cacheId="309" r:id="rId34"/>
  </pivotCaches>
  <extLst>
    <ext xmlns:x14="http://schemas.microsoft.com/office/spreadsheetml/2009/9/main" uri="{876F7934-8845-4945-9796-88D515C7AA90}">
      <x14:pivotCaches>
        <pivotCache cacheId="8" r:id="rId35"/>
      </x14:pivotCaches>
    </ext>
    <ext xmlns:x14="http://schemas.microsoft.com/office/spreadsheetml/2009/9/main" uri="{BBE1A952-AA13-448e-AADC-164F8A28A991}">
      <x14:slicerCaches>
        <x14:slicerCache r:id="rId36"/>
        <x14:slicerCache r:id="rId37"/>
      </x14:slicerCaches>
    </ext>
    <ext xmlns:x14="http://schemas.microsoft.com/office/spreadsheetml/2009/9/main" uri="{79F54976-1DA5-4618-B147-4CDE4B953A38}">
      <x14:workbookPr/>
    </ext>
    <ext xmlns:x15="http://schemas.microsoft.com/office/spreadsheetml/2010/11/main" uri="{841E416B-1EF1-43b6-AB56-02D37102CBD5}">
      <x15:pivotCaches>
        <pivotCache cacheId="166" r:id="rId38"/>
        <pivotCache cacheId="167" r:id="rId39"/>
        <pivotCache cacheId="168" r:id="rId40"/>
        <pivotCache cacheId="169" r:id="rId41"/>
      </x15:pivotCaches>
    </ext>
    <ext xmlns:x15="http://schemas.microsoft.com/office/spreadsheetml/2010/11/main" uri="{983426D0-5260-488c-9760-48F4B6AC55F4}">
      <x15:pivotTableReferences>
        <x15:pivotTableReference r:id="rId42"/>
        <x15:pivotTableReference r:id="rId43"/>
        <x15:pivotTableReference r:id="rId44"/>
        <x15:pivotTableReference r:id="rId45"/>
      </x15:pivotTableReferences>
    </ext>
    <ext xmlns:x15="http://schemas.microsoft.com/office/spreadsheetml/2010/11/main" uri="{FCE2AD5D-F65C-4FA6-A056-5C36A1767C68}">
      <x15:dataModel>
        <x15:modelTables>
          <x15:modelTable id="Table1" name="Table1" connection="WorksheetConnection_Excel practice2.xlsx!Table1"/>
          <x15:modelTable id="Table22 1" name="Table22 1" connection="WorksheetConnection_Excel practice3.xlsx!Table221"/>
          <x15:modelTable id="Table22 2" name="Table22 2" connection="WorksheetConnection_Excel practice3.xlsx!Table222"/>
          <x15:modelTable id="Table22 3" name="Table22 3" connection="WorksheetConnection_Excel practice3.xlsx!Table223"/>
          <x15:modelTable id="Table22 4" name="Table22 4" connection="WorksheetConnection_Excel practice3.xlsx!Table224"/>
          <x15:modelTable id="Table22 5" name="Table22 5" connection="WorksheetConnection_Excel practice3.xlsx!Table225"/>
          <x15:modelTable id="Table22" name="Table22" connection="WorksheetConnection_Excel practice3.xlsx!Table2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77" i="23" l="1" a="1"/>
  <c r="S77" i="23" a="1"/>
  <c r="M77" i="23" a="1"/>
  <c r="M77" i="23" s="1"/>
  <c r="N77" i="23" s="1"/>
  <c r="M77" i="24" a="1"/>
  <c r="N79" i="24" s="1"/>
  <c r="Z66" i="23" a="1"/>
  <c r="Z66" i="23" s="1"/>
  <c r="AC65" i="23" a="1"/>
  <c r="AC65" i="23" s="1"/>
  <c r="Z65" i="23" a="1"/>
  <c r="Z65" i="23"/>
  <c r="X42" i="23" a="1"/>
  <c r="AG58" i="23" a="1"/>
  <c r="AG58" i="23" s="1"/>
  <c r="AG49" i="23" a="1"/>
  <c r="Z54" i="23" a="1"/>
  <c r="Z54" i="23" s="1"/>
  <c r="AA54" i="23" s="1"/>
  <c r="Z46" i="23" a="1"/>
  <c r="AA47" i="23" s="1"/>
  <c r="AC50" i="23"/>
  <c r="AB50" i="23"/>
  <c r="M45" i="1"/>
  <c r="L53" i="1"/>
  <c r="L54" i="1"/>
  <c r="L55" i="1"/>
  <c r="L52" i="1"/>
  <c r="K52" i="1" a="1"/>
  <c r="K52" i="1" s="1"/>
  <c r="K45" i="1" a="1"/>
  <c r="K45" i="1" s="1"/>
  <c r="L45" i="1" s="1"/>
  <c r="H2" i="1"/>
  <c r="I2" i="1"/>
  <c r="G2" i="1" s="1"/>
  <c r="M59" i="23"/>
  <c r="I67" i="23" s="1"/>
  <c r="J2" i="14" a="1"/>
  <c r="J2" i="14" s="1"/>
  <c r="J3" i="14" a="1"/>
  <c r="J3" i="14" s="1"/>
  <c r="J4" i="14" a="1"/>
  <c r="J4" i="14" s="1"/>
  <c r="J5" i="14" a="1"/>
  <c r="J5" i="14" s="1"/>
  <c r="J6" i="14" a="1"/>
  <c r="J6" i="14" s="1"/>
  <c r="J7" i="14" a="1"/>
  <c r="J7" i="14" s="1"/>
  <c r="J8" i="14" a="1"/>
  <c r="J8" i="14" s="1"/>
  <c r="J9" i="14" a="1"/>
  <c r="J9" i="14" s="1"/>
  <c r="J10" i="14" a="1"/>
  <c r="J10" i="14"/>
  <c r="J11" i="14" a="1"/>
  <c r="J11" i="14" s="1"/>
  <c r="J12" i="14" a="1"/>
  <c r="J12" i="14" s="1"/>
  <c r="J13" i="14" a="1"/>
  <c r="J13" i="14"/>
  <c r="J14" i="14" a="1"/>
  <c r="J14" i="14" s="1"/>
  <c r="J15" i="14" a="1"/>
  <c r="J15" i="14" s="1"/>
  <c r="J16" i="14" a="1"/>
  <c r="J16" i="14" s="1"/>
  <c r="J17" i="14" a="1"/>
  <c r="J17" i="14" s="1"/>
  <c r="J18" i="14" a="1"/>
  <c r="J18" i="14"/>
  <c r="J19" i="14" a="1"/>
  <c r="J19" i="14"/>
  <c r="J20" i="14" a="1"/>
  <c r="J20" i="14" s="1"/>
  <c r="J21" i="14" a="1"/>
  <c r="J21" i="14" s="1"/>
  <c r="J22" i="14" a="1"/>
  <c r="J22" i="14" s="1"/>
  <c r="J23" i="14" a="1"/>
  <c r="J23" i="14"/>
  <c r="J24" i="14" a="1"/>
  <c r="J24" i="14" s="1"/>
  <c r="J25" i="14" a="1"/>
  <c r="J25" i="14" s="1"/>
  <c r="J26" i="14" a="1"/>
  <c r="J26" i="14" s="1"/>
  <c r="J27" i="14" a="1"/>
  <c r="J27" i="14" s="1"/>
  <c r="J28" i="14" a="1"/>
  <c r="J28" i="14" s="1"/>
  <c r="J29" i="14" a="1"/>
  <c r="J29" i="14" s="1"/>
  <c r="J30" i="14" a="1"/>
  <c r="J30" i="14" s="1"/>
  <c r="J31" i="14" a="1"/>
  <c r="J31" i="14"/>
  <c r="J32" i="14" a="1"/>
  <c r="J32" i="14" s="1"/>
  <c r="J33" i="14" a="1"/>
  <c r="J33" i="14"/>
  <c r="J34" i="14" a="1"/>
  <c r="J34" i="14"/>
  <c r="J35" i="14" a="1"/>
  <c r="J35" i="14" s="1"/>
  <c r="J36" i="14" a="1"/>
  <c r="J36" i="14" s="1"/>
  <c r="J37" i="14" a="1"/>
  <c r="J37" i="14"/>
  <c r="J38" i="14" a="1"/>
  <c r="J38" i="14" s="1"/>
  <c r="J39" i="14" a="1"/>
  <c r="J39" i="14" s="1"/>
  <c r="J40" i="14" a="1"/>
  <c r="J40" i="14"/>
  <c r="J41" i="14" a="1"/>
  <c r="J41" i="14" s="1"/>
  <c r="J42" i="14" a="1"/>
  <c r="J42" i="14" s="1"/>
  <c r="J43" i="14" a="1"/>
  <c r="J43" i="14" s="1"/>
  <c r="J44" i="14" a="1"/>
  <c r="J44" i="14" s="1"/>
  <c r="J45" i="14" a="1"/>
  <c r="J45" i="14" s="1"/>
  <c r="J46" i="14" a="1"/>
  <c r="J46" i="14" s="1"/>
  <c r="J47" i="14" a="1"/>
  <c r="J47" i="14"/>
  <c r="J48" i="14" a="1"/>
  <c r="J48" i="14" s="1"/>
  <c r="J49" i="14" a="1"/>
  <c r="J49" i="14"/>
  <c r="J50" i="14" a="1"/>
  <c r="J50" i="14" s="1"/>
  <c r="J51" i="14" a="1"/>
  <c r="J51" i="14" s="1"/>
  <c r="J52" i="14" a="1"/>
  <c r="J52" i="14"/>
  <c r="J53" i="14" a="1"/>
  <c r="J53" i="14" s="1"/>
  <c r="J54" i="14" a="1"/>
  <c r="J54" i="14" s="1"/>
  <c r="J55" i="14" a="1"/>
  <c r="J55" i="14" s="1"/>
  <c r="J56" i="14" a="1"/>
  <c r="J56" i="14" s="1"/>
  <c r="J57" i="14" a="1"/>
  <c r="J57" i="14" s="1"/>
  <c r="J58" i="14" a="1"/>
  <c r="J58" i="14" s="1"/>
  <c r="J59" i="14" a="1"/>
  <c r="J59" i="14" s="1"/>
  <c r="J60" i="14" a="1"/>
  <c r="J60" i="14"/>
  <c r="J61" i="14" a="1"/>
  <c r="J61" i="14" s="1"/>
  <c r="J62" i="14" a="1"/>
  <c r="J62" i="14" s="1"/>
  <c r="J63" i="14" a="1"/>
  <c r="J63" i="14"/>
  <c r="J64" i="14" a="1"/>
  <c r="J64" i="14"/>
  <c r="J65" i="14" a="1"/>
  <c r="J65" i="14"/>
  <c r="J66" i="14" a="1"/>
  <c r="J66" i="14" s="1"/>
  <c r="J67" i="14" a="1"/>
  <c r="J67" i="14" s="1"/>
  <c r="J68" i="14" a="1"/>
  <c r="J68" i="14" s="1"/>
  <c r="J69" i="14" a="1"/>
  <c r="J69" i="14" s="1"/>
  <c r="J70" i="14" a="1"/>
  <c r="J70" i="14"/>
  <c r="J71" i="14" a="1"/>
  <c r="J71" i="14" s="1"/>
  <c r="J72" i="14" a="1"/>
  <c r="J72" i="14" s="1"/>
  <c r="J73" i="14" a="1"/>
  <c r="J73" i="14" s="1"/>
  <c r="J74" i="14" a="1"/>
  <c r="J74" i="14" s="1"/>
  <c r="J75" i="14" a="1"/>
  <c r="J75" i="14"/>
  <c r="J76" i="14" a="1"/>
  <c r="J76" i="14"/>
  <c r="J77" i="14" a="1"/>
  <c r="J77" i="14" s="1"/>
  <c r="J78" i="14" a="1"/>
  <c r="J78" i="14" s="1"/>
  <c r="J79" i="14" a="1"/>
  <c r="J79" i="14"/>
  <c r="J80" i="14" a="1"/>
  <c r="J80" i="14" s="1"/>
  <c r="J81" i="14" a="1"/>
  <c r="J81" i="14"/>
  <c r="J82" i="14" a="1"/>
  <c r="J82" i="14" s="1"/>
  <c r="J83" i="14" a="1"/>
  <c r="J83" i="14"/>
  <c r="J84" i="14" a="1"/>
  <c r="J84" i="14" s="1"/>
  <c r="J85" i="14" a="1"/>
  <c r="J85" i="14" s="1"/>
  <c r="J86" i="14" a="1"/>
  <c r="J86" i="14" s="1"/>
  <c r="J87" i="14" a="1"/>
  <c r="J87" i="14" s="1"/>
  <c r="J88" i="14" a="1"/>
  <c r="J88" i="14"/>
  <c r="J89" i="14" a="1"/>
  <c r="J89" i="14"/>
  <c r="J90" i="14" a="1"/>
  <c r="J90" i="14" s="1"/>
  <c r="J91" i="14" a="1"/>
  <c r="J91" i="14" s="1"/>
  <c r="J92" i="14" a="1"/>
  <c r="J92" i="14" s="1"/>
  <c r="J93" i="14" a="1"/>
  <c r="J93" i="14" s="1"/>
  <c r="J94" i="14" a="1"/>
  <c r="J94" i="14"/>
  <c r="J95" i="14" a="1"/>
  <c r="J95" i="14" s="1"/>
  <c r="J96" i="14" a="1"/>
  <c r="J96" i="14"/>
  <c r="J97" i="14" a="1"/>
  <c r="J97" i="14" s="1"/>
  <c r="J98" i="14" a="1"/>
  <c r="J98" i="14" s="1"/>
  <c r="J99" i="14" a="1"/>
  <c r="J99" i="14"/>
  <c r="J100" i="14" a="1"/>
  <c r="J100" i="14" s="1"/>
  <c r="J101" i="14" a="1"/>
  <c r="J101" i="14" s="1"/>
  <c r="J2" i="10" a="1"/>
  <c r="J2" i="10" s="1"/>
  <c r="J3" i="10" a="1"/>
  <c r="J3" i="10" s="1"/>
  <c r="J4" i="10" a="1"/>
  <c r="J4" i="10" s="1"/>
  <c r="J5" i="10" a="1"/>
  <c r="J5" i="10" s="1"/>
  <c r="J6" i="10" a="1"/>
  <c r="J6" i="10"/>
  <c r="J7" i="10" a="1"/>
  <c r="J7" i="10"/>
  <c r="J8" i="10" a="1"/>
  <c r="J8" i="10" s="1"/>
  <c r="J9" i="10" a="1"/>
  <c r="J9" i="10" s="1"/>
  <c r="J10" i="10" a="1"/>
  <c r="J10" i="10"/>
  <c r="J11" i="10" a="1"/>
  <c r="J11" i="10" s="1"/>
  <c r="J12" i="10" a="1"/>
  <c r="J12" i="10" s="1"/>
  <c r="J13" i="10" a="1"/>
  <c r="J13" i="10" s="1"/>
  <c r="J14" i="10" a="1"/>
  <c r="J14" i="10" s="1"/>
  <c r="J15" i="10" a="1"/>
  <c r="J15" i="10" s="1"/>
  <c r="J16" i="10" a="1"/>
  <c r="J16" i="10" s="1"/>
  <c r="J17" i="10" a="1"/>
  <c r="J17" i="10" s="1"/>
  <c r="J18" i="10" a="1"/>
  <c r="J18" i="10" s="1"/>
  <c r="J19" i="10" a="1"/>
  <c r="J19" i="10" s="1"/>
  <c r="J20" i="10" a="1"/>
  <c r="J20" i="10"/>
  <c r="J21" i="10" a="1"/>
  <c r="J21" i="10"/>
  <c r="J22" i="10" a="1"/>
  <c r="J22" i="10" s="1"/>
  <c r="J23" i="10" a="1"/>
  <c r="J23" i="10"/>
  <c r="J24" i="10" a="1"/>
  <c r="J24" i="10" s="1"/>
  <c r="J25" i="10" a="1"/>
  <c r="J25" i="10"/>
  <c r="J26" i="10" a="1"/>
  <c r="J26" i="10" s="1"/>
  <c r="J27" i="10" a="1"/>
  <c r="J27" i="10" s="1"/>
  <c r="J28" i="10" a="1"/>
  <c r="J28" i="10"/>
  <c r="J29" i="10" a="1"/>
  <c r="J29" i="10" s="1"/>
  <c r="J30" i="10" a="1"/>
  <c r="J30" i="10" s="1"/>
  <c r="J31" i="10" a="1"/>
  <c r="J31" i="10"/>
  <c r="J32" i="10" a="1"/>
  <c r="J32" i="10" s="1"/>
  <c r="J33" i="10" a="1"/>
  <c r="J33" i="10" s="1"/>
  <c r="J34" i="10" a="1"/>
  <c r="J34" i="10"/>
  <c r="J35" i="10" a="1"/>
  <c r="J35" i="10" s="1"/>
  <c r="J36" i="10" a="1"/>
  <c r="J36" i="10"/>
  <c r="J37" i="10" a="1"/>
  <c r="J37" i="10" s="1"/>
  <c r="J38" i="10" a="1"/>
  <c r="J38" i="10"/>
  <c r="J39" i="10" a="1"/>
  <c r="J39" i="10" s="1"/>
  <c r="J40" i="10" a="1"/>
  <c r="J40" i="10" s="1"/>
  <c r="J41" i="10" a="1"/>
  <c r="J41" i="10" s="1"/>
  <c r="J42" i="10" a="1"/>
  <c r="J42" i="10" s="1"/>
  <c r="J43" i="10" a="1"/>
  <c r="J43" i="10"/>
  <c r="J44" i="10" a="1"/>
  <c r="J44" i="10" s="1"/>
  <c r="J45" i="10" a="1"/>
  <c r="J45" i="10"/>
  <c r="J46" i="10" a="1"/>
  <c r="J46" i="10" s="1"/>
  <c r="J47" i="10" a="1"/>
  <c r="J47" i="10" s="1"/>
  <c r="J48" i="10" a="1"/>
  <c r="J48" i="10"/>
  <c r="J49" i="10" a="1"/>
  <c r="J49" i="10"/>
  <c r="J50" i="10" a="1"/>
  <c r="J50" i="10" s="1"/>
  <c r="J51" i="10" a="1"/>
  <c r="J51" i="10" s="1"/>
  <c r="J52" i="10" a="1"/>
  <c r="J52" i="10" s="1"/>
  <c r="J53" i="10" a="1"/>
  <c r="J53" i="10"/>
  <c r="J54" i="10" a="1"/>
  <c r="J54" i="10"/>
  <c r="J55" i="10" a="1"/>
  <c r="J55" i="10"/>
  <c r="J56" i="10" a="1"/>
  <c r="J56" i="10" s="1"/>
  <c r="J57" i="10" a="1"/>
  <c r="J57" i="10" s="1"/>
  <c r="J58" i="10" a="1"/>
  <c r="J58" i="10" s="1"/>
  <c r="J59" i="10" a="1"/>
  <c r="J59" i="10"/>
  <c r="J60" i="10" a="1"/>
  <c r="J60" i="10"/>
  <c r="J61" i="10" a="1"/>
  <c r="J61" i="10"/>
  <c r="J62" i="10" a="1"/>
  <c r="J62" i="10" s="1"/>
  <c r="J63" i="10" a="1"/>
  <c r="J63" i="10" s="1"/>
  <c r="J64" i="10" a="1"/>
  <c r="J64" i="10" s="1"/>
  <c r="J65" i="10" a="1"/>
  <c r="J65" i="10" s="1"/>
  <c r="J66" i="10" a="1"/>
  <c r="J66" i="10"/>
  <c r="J67" i="10" a="1"/>
  <c r="J67" i="10" s="1"/>
  <c r="J68" i="10" a="1"/>
  <c r="J68" i="10" s="1"/>
  <c r="J69" i="10" a="1"/>
  <c r="J69" i="10" s="1"/>
  <c r="J70" i="10" a="1"/>
  <c r="J70" i="10" s="1"/>
  <c r="J71" i="10" a="1"/>
  <c r="J71" i="10" s="1"/>
  <c r="J72" i="10" a="1"/>
  <c r="J72" i="10"/>
  <c r="J73" i="10" a="1"/>
  <c r="J73" i="10" s="1"/>
  <c r="J74" i="10" a="1"/>
  <c r="J74" i="10" s="1"/>
  <c r="J75" i="10" a="1"/>
  <c r="J75" i="10" s="1"/>
  <c r="J76" i="10" a="1"/>
  <c r="J76" i="10" s="1"/>
  <c r="J77" i="10" a="1"/>
  <c r="J77" i="10" s="1"/>
  <c r="J78" i="10" a="1"/>
  <c r="J78" i="10" s="1"/>
  <c r="J79" i="10" a="1"/>
  <c r="J79" i="10"/>
  <c r="J80" i="10" a="1"/>
  <c r="J80" i="10"/>
  <c r="J81" i="10" a="1"/>
  <c r="J81" i="10"/>
  <c r="J82" i="10" a="1"/>
  <c r="J82" i="10"/>
  <c r="J83" i="10" a="1"/>
  <c r="J83" i="10" s="1"/>
  <c r="J84" i="10" a="1"/>
  <c r="J84" i="10"/>
  <c r="J85" i="10" a="1"/>
  <c r="J85" i="10" s="1"/>
  <c r="J86" i="10" a="1"/>
  <c r="J86" i="10"/>
  <c r="J87" i="10" a="1"/>
  <c r="J87" i="10" s="1"/>
  <c r="J88" i="10" a="1"/>
  <c r="J88" i="10" s="1"/>
  <c r="J89" i="10" a="1"/>
  <c r="J89" i="10" s="1"/>
  <c r="J90" i="10" a="1"/>
  <c r="J90" i="10" s="1"/>
  <c r="J91" i="10" a="1"/>
  <c r="J91" i="10"/>
  <c r="J92" i="10" a="1"/>
  <c r="J92" i="10" s="1"/>
  <c r="J93" i="10" a="1"/>
  <c r="J93" i="10"/>
  <c r="J94" i="10" a="1"/>
  <c r="J94" i="10" s="1"/>
  <c r="J95" i="10" a="1"/>
  <c r="J95" i="10" s="1"/>
  <c r="J96" i="10" a="1"/>
  <c r="J96" i="10" s="1"/>
  <c r="J97" i="10" a="1"/>
  <c r="J97" i="10" s="1"/>
  <c r="J98" i="10" a="1"/>
  <c r="J98" i="10"/>
  <c r="J99" i="10" a="1"/>
  <c r="J99" i="10" s="1"/>
  <c r="J100" i="10" a="1"/>
  <c r="J100" i="10"/>
  <c r="J101" i="10" a="1"/>
  <c r="J101" i="10" s="1"/>
  <c r="J2" i="2"/>
  <c r="J3" i="2"/>
  <c r="J4" i="2"/>
  <c r="J5" i="2"/>
  <c r="K5" i="2" s="1"/>
  <c r="L5" i="2" s="1"/>
  <c r="J6" i="2"/>
  <c r="K6" i="2" s="1"/>
  <c r="J7" i="2"/>
  <c r="K7" i="2" s="1"/>
  <c r="J8" i="2"/>
  <c r="K8" i="2" s="1"/>
  <c r="J9" i="2"/>
  <c r="K9" i="2" s="1"/>
  <c r="J10" i="2"/>
  <c r="K10" i="2" s="1"/>
  <c r="J11" i="2"/>
  <c r="K11" i="2" s="1"/>
  <c r="J12" i="2"/>
  <c r="K12" i="2" s="1"/>
  <c r="L12" i="2" s="1"/>
  <c r="J13" i="2"/>
  <c r="J14" i="2"/>
  <c r="J15" i="2"/>
  <c r="J16" i="2"/>
  <c r="J17" i="2"/>
  <c r="K17" i="2" s="1"/>
  <c r="J18" i="2"/>
  <c r="J19" i="2"/>
  <c r="J20" i="2"/>
  <c r="J21" i="2"/>
  <c r="J22" i="2"/>
  <c r="K22" i="2" s="1"/>
  <c r="J23" i="2"/>
  <c r="K23" i="2" s="1"/>
  <c r="J24" i="2"/>
  <c r="J25" i="2"/>
  <c r="J26" i="2"/>
  <c r="K26" i="2" s="1"/>
  <c r="L26" i="2" s="1"/>
  <c r="J27" i="2"/>
  <c r="K27" i="2" s="1"/>
  <c r="L27" i="2" s="1"/>
  <c r="J28" i="2"/>
  <c r="K28" i="2" s="1"/>
  <c r="L28" i="2" s="1"/>
  <c r="J29" i="2"/>
  <c r="K29" i="2" s="1"/>
  <c r="L29" i="2" s="1"/>
  <c r="J30" i="2"/>
  <c r="J31" i="2"/>
  <c r="J32" i="2"/>
  <c r="K32" i="2" s="1"/>
  <c r="J33" i="2"/>
  <c r="K33" i="2" s="1"/>
  <c r="J34" i="2"/>
  <c r="K34" i="2" s="1"/>
  <c r="J35" i="2"/>
  <c r="K35" i="2" s="1"/>
  <c r="J36" i="2"/>
  <c r="K36" i="2" s="1"/>
  <c r="L36" i="2" s="1"/>
  <c r="J37" i="2"/>
  <c r="K37" i="2" s="1"/>
  <c r="J38" i="2"/>
  <c r="K38" i="2" s="1"/>
  <c r="L38" i="2" s="1"/>
  <c r="J39" i="2"/>
  <c r="K39" i="2" s="1"/>
  <c r="J40" i="2"/>
  <c r="J41" i="2"/>
  <c r="K41" i="2" s="1"/>
  <c r="L41" i="2" s="1"/>
  <c r="J42" i="2"/>
  <c r="K42" i="2" s="1"/>
  <c r="J43" i="2"/>
  <c r="J44" i="2"/>
  <c r="J45" i="2"/>
  <c r="J46" i="2"/>
  <c r="K46" i="2" s="1"/>
  <c r="J47" i="2"/>
  <c r="J48" i="2"/>
  <c r="J49" i="2"/>
  <c r="K49" i="2" s="1"/>
  <c r="J50" i="2"/>
  <c r="K50" i="2" s="1"/>
  <c r="L50" i="2" s="1"/>
  <c r="J51" i="2"/>
  <c r="K51" i="2" s="1"/>
  <c r="L51" i="2" s="1"/>
  <c r="J52" i="2"/>
  <c r="K52" i="2" s="1"/>
  <c r="L52" i="2" s="1"/>
  <c r="J53" i="2"/>
  <c r="K53" i="2" s="1"/>
  <c r="L53" i="2" s="1"/>
  <c r="J54" i="2"/>
  <c r="K54" i="2" s="1"/>
  <c r="J55" i="2"/>
  <c r="K55" i="2" s="1"/>
  <c r="J56" i="2"/>
  <c r="K56" i="2" s="1"/>
  <c r="J57" i="2"/>
  <c r="K57" i="2" s="1"/>
  <c r="J58" i="2"/>
  <c r="K58" i="2" s="1"/>
  <c r="J59" i="2"/>
  <c r="K59" i="2" s="1"/>
  <c r="J60" i="2"/>
  <c r="K60" i="2" s="1"/>
  <c r="L60" i="2" s="1"/>
  <c r="J61" i="2"/>
  <c r="K61" i="2" s="1"/>
  <c r="J62" i="2"/>
  <c r="J63" i="2"/>
  <c r="L63" i="2" s="1"/>
  <c r="J64" i="2"/>
  <c r="J65" i="2"/>
  <c r="J66" i="2"/>
  <c r="J67" i="2"/>
  <c r="J68" i="2"/>
  <c r="J69" i="2"/>
  <c r="J70" i="2"/>
  <c r="K70" i="2" s="1"/>
  <c r="J71" i="2"/>
  <c r="K71" i="2" s="1"/>
  <c r="J72" i="2"/>
  <c r="J73" i="2"/>
  <c r="K73" i="2" s="1"/>
  <c r="J74" i="2"/>
  <c r="J75" i="2"/>
  <c r="K75" i="2" s="1"/>
  <c r="L75" i="2" s="1"/>
  <c r="J76" i="2"/>
  <c r="K76" i="2" s="1"/>
  <c r="L76" i="2" s="1"/>
  <c r="J77" i="2"/>
  <c r="K77" i="2" s="1"/>
  <c r="L77" i="2" s="1"/>
  <c r="J78" i="2"/>
  <c r="K78" i="2" s="1"/>
  <c r="J79" i="2"/>
  <c r="K79" i="2" s="1"/>
  <c r="J80" i="2"/>
  <c r="K80" i="2" s="1"/>
  <c r="J81" i="2"/>
  <c r="K81" i="2" s="1"/>
  <c r="J82" i="2"/>
  <c r="K82" i="2" s="1"/>
  <c r="J83" i="2"/>
  <c r="K83" i="2" s="1"/>
  <c r="J84" i="2"/>
  <c r="K84" i="2" s="1"/>
  <c r="L84" i="2" s="1"/>
  <c r="J85" i="2"/>
  <c r="J86" i="2"/>
  <c r="J87" i="2"/>
  <c r="K87" i="2" s="1"/>
  <c r="J88" i="2"/>
  <c r="L88" i="2" s="1"/>
  <c r="J89" i="2"/>
  <c r="J90" i="2"/>
  <c r="K90" i="2" s="1"/>
  <c r="J91" i="2"/>
  <c r="J92" i="2"/>
  <c r="J93" i="2"/>
  <c r="J94" i="2"/>
  <c r="K94" i="2" s="1"/>
  <c r="J95" i="2"/>
  <c r="K95" i="2" s="1"/>
  <c r="J96" i="2"/>
  <c r="J97" i="2"/>
  <c r="J98" i="2"/>
  <c r="K98" i="2" s="1"/>
  <c r="L98" i="2" s="1"/>
  <c r="J99" i="2"/>
  <c r="K99" i="2" s="1"/>
  <c r="L99" i="2" s="1"/>
  <c r="J100" i="2"/>
  <c r="J101" i="2"/>
  <c r="K101" i="2" s="1"/>
  <c r="L101" i="2" s="1"/>
  <c r="K2" i="2"/>
  <c r="L2" i="2" s="1"/>
  <c r="K3" i="2"/>
  <c r="L3" i="2" s="1"/>
  <c r="K4" i="2"/>
  <c r="L4" i="2" s="1"/>
  <c r="K13" i="2"/>
  <c r="K14" i="2"/>
  <c r="K15" i="2"/>
  <c r="K16" i="2"/>
  <c r="K18" i="2"/>
  <c r="K19" i="2"/>
  <c r="K20" i="2"/>
  <c r="K21" i="2"/>
  <c r="K40" i="2"/>
  <c r="L40" i="2" s="1"/>
  <c r="K43" i="2"/>
  <c r="K44" i="2"/>
  <c r="K45" i="2"/>
  <c r="K62" i="2"/>
  <c r="K63" i="2"/>
  <c r="K64" i="2"/>
  <c r="L64" i="2" s="1"/>
  <c r="K65" i="2"/>
  <c r="L65" i="2" s="1"/>
  <c r="K74" i="2"/>
  <c r="L74" i="2" s="1"/>
  <c r="K88" i="2"/>
  <c r="K91" i="2"/>
  <c r="K92" i="2"/>
  <c r="K93" i="2"/>
  <c r="K100" i="2"/>
  <c r="L100" i="2" s="1"/>
  <c r="L15" i="2"/>
  <c r="L16" i="2"/>
  <c r="L62"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M61" i="23"/>
  <c r="M60" i="23"/>
  <c r="G60" i="23"/>
  <c r="G61" i="23"/>
  <c r="G59" i="23"/>
  <c r="D46" i="23"/>
  <c r="D48" i="23" s="1"/>
  <c r="D49" i="23" s="1"/>
  <c r="F46" i="23" s="1"/>
  <c r="F21" i="23"/>
  <c r="I50" i="1"/>
  <c r="G50" i="1" s="1"/>
  <c r="H50" i="1"/>
  <c r="H79" i="1"/>
  <c r="H62" i="1"/>
  <c r="H10" i="1"/>
  <c r="H67" i="1"/>
  <c r="H22" i="1"/>
  <c r="H70" i="1"/>
  <c r="H23" i="1"/>
  <c r="H76" i="1"/>
  <c r="H35" i="1"/>
  <c r="H81" i="1"/>
  <c r="H92" i="1"/>
  <c r="H75" i="1"/>
  <c r="H69" i="1"/>
  <c r="H3" i="1"/>
  <c r="H64" i="1"/>
  <c r="H7" i="1"/>
  <c r="H65" i="1"/>
  <c r="H13" i="1"/>
  <c r="H89" i="1"/>
  <c r="H31" i="1"/>
  <c r="H68" i="1"/>
  <c r="H74" i="1"/>
  <c r="H24" i="1"/>
  <c r="H48" i="1"/>
  <c r="H59" i="1"/>
  <c r="H20" i="1"/>
  <c r="H78" i="1"/>
  <c r="H58" i="1"/>
  <c r="H32" i="1"/>
  <c r="H97" i="1"/>
  <c r="H25" i="1"/>
  <c r="H4" i="1"/>
  <c r="H27" i="1"/>
  <c r="H38" i="1"/>
  <c r="H53" i="1"/>
  <c r="H33" i="1"/>
  <c r="H5" i="1"/>
  <c r="H54" i="1"/>
  <c r="H26" i="1"/>
  <c r="H94" i="1"/>
  <c r="H55" i="1"/>
  <c r="H52" i="1"/>
  <c r="H51" i="1"/>
  <c r="H87" i="1"/>
  <c r="H71" i="1"/>
  <c r="H93" i="1"/>
  <c r="H100" i="1"/>
  <c r="H17" i="1"/>
  <c r="H91" i="1"/>
  <c r="H99" i="1"/>
  <c r="H40" i="1"/>
  <c r="H95" i="1"/>
  <c r="H72" i="1"/>
  <c r="H96" i="1"/>
  <c r="H88" i="1"/>
  <c r="H34" i="1"/>
  <c r="H73" i="1"/>
  <c r="H8" i="1"/>
  <c r="H14" i="1"/>
  <c r="H57" i="1"/>
  <c r="H9" i="1"/>
  <c r="H77" i="1"/>
  <c r="H6" i="1"/>
  <c r="H63" i="1"/>
  <c r="H83" i="1"/>
  <c r="H45" i="1"/>
  <c r="H39" i="1"/>
  <c r="H47" i="1"/>
  <c r="H49" i="1"/>
  <c r="H66" i="1"/>
  <c r="H41" i="1"/>
  <c r="H90" i="1"/>
  <c r="H102" i="1"/>
  <c r="H84" i="1"/>
  <c r="H37" i="1"/>
  <c r="H86" i="1"/>
  <c r="H36" i="1"/>
  <c r="H60" i="1"/>
  <c r="H19" i="1"/>
  <c r="H61" i="1"/>
  <c r="H85" i="1"/>
  <c r="H16" i="1"/>
  <c r="H29" i="1"/>
  <c r="H42" i="1"/>
  <c r="H80" i="1"/>
  <c r="H98" i="1"/>
  <c r="H56" i="1"/>
  <c r="H11" i="1"/>
  <c r="H18" i="1"/>
  <c r="H101" i="1"/>
  <c r="H82" i="1"/>
  <c r="H44" i="1"/>
  <c r="H30" i="1"/>
  <c r="H12" i="1"/>
  <c r="H15" i="1"/>
  <c r="H21" i="1"/>
  <c r="H43" i="1"/>
  <c r="H28" i="1"/>
  <c r="H46" i="1"/>
  <c r="E51" i="18" a="1"/>
  <c r="E51" i="18" s="1"/>
  <c r="I79" i="1"/>
  <c r="G79" i="1" s="1"/>
  <c r="I62" i="1"/>
  <c r="G62" i="1" s="1"/>
  <c r="I10" i="1"/>
  <c r="G10" i="1" s="1"/>
  <c r="I67" i="1"/>
  <c r="G67" i="1" s="1"/>
  <c r="I22" i="1"/>
  <c r="G22" i="1" s="1"/>
  <c r="I70" i="1"/>
  <c r="G70" i="1" s="1"/>
  <c r="I23" i="1"/>
  <c r="G23" i="1" s="1"/>
  <c r="I76" i="1"/>
  <c r="G76" i="1" s="1"/>
  <c r="I35" i="1"/>
  <c r="G35" i="1" s="1"/>
  <c r="I81" i="1"/>
  <c r="G81" i="1" s="1"/>
  <c r="I92" i="1"/>
  <c r="G92" i="1" s="1"/>
  <c r="I75" i="1"/>
  <c r="G75" i="1" s="1"/>
  <c r="I69" i="1"/>
  <c r="G69" i="1" s="1"/>
  <c r="I3" i="1"/>
  <c r="G3" i="1" s="1"/>
  <c r="I64" i="1"/>
  <c r="G64" i="1" s="1"/>
  <c r="I7" i="1"/>
  <c r="G7" i="1" s="1"/>
  <c r="I65" i="1"/>
  <c r="G65" i="1" s="1"/>
  <c r="I13" i="1"/>
  <c r="G13" i="1" s="1"/>
  <c r="I89" i="1"/>
  <c r="G89" i="1" s="1"/>
  <c r="I31" i="1"/>
  <c r="G31" i="1" s="1"/>
  <c r="I68" i="1"/>
  <c r="G68" i="1" s="1"/>
  <c r="I74" i="1"/>
  <c r="G74" i="1" s="1"/>
  <c r="I24" i="1"/>
  <c r="G24" i="1" s="1"/>
  <c r="I48" i="1"/>
  <c r="G48" i="1" s="1"/>
  <c r="I59" i="1"/>
  <c r="G59" i="1" s="1"/>
  <c r="I20" i="1"/>
  <c r="G20" i="1" s="1"/>
  <c r="I78" i="1"/>
  <c r="G78" i="1" s="1"/>
  <c r="I58" i="1"/>
  <c r="G58" i="1" s="1"/>
  <c r="I32" i="1"/>
  <c r="G32" i="1" s="1"/>
  <c r="I97" i="1"/>
  <c r="G97" i="1" s="1"/>
  <c r="I25" i="1"/>
  <c r="G25" i="1" s="1"/>
  <c r="I4" i="1"/>
  <c r="G4" i="1" s="1"/>
  <c r="I27" i="1"/>
  <c r="G27" i="1" s="1"/>
  <c r="I38" i="1"/>
  <c r="G38" i="1" s="1"/>
  <c r="I53" i="1"/>
  <c r="G53" i="1" s="1"/>
  <c r="I33" i="1"/>
  <c r="G33" i="1" s="1"/>
  <c r="I5" i="1"/>
  <c r="G5" i="1" s="1"/>
  <c r="I54" i="1"/>
  <c r="G54" i="1" s="1"/>
  <c r="I26" i="1"/>
  <c r="G26" i="1" s="1"/>
  <c r="I94" i="1"/>
  <c r="G94" i="1" s="1"/>
  <c r="I55" i="1"/>
  <c r="G55" i="1" s="1"/>
  <c r="I52" i="1"/>
  <c r="G52" i="1" s="1"/>
  <c r="I51" i="1"/>
  <c r="G51" i="1" s="1"/>
  <c r="I87" i="1"/>
  <c r="G87" i="1" s="1"/>
  <c r="I71" i="1"/>
  <c r="G71" i="1" s="1"/>
  <c r="I93" i="1"/>
  <c r="G93" i="1" s="1"/>
  <c r="I100" i="1"/>
  <c r="G100" i="1" s="1"/>
  <c r="I17" i="1"/>
  <c r="G17" i="1" s="1"/>
  <c r="I91" i="1"/>
  <c r="G91" i="1" s="1"/>
  <c r="I99" i="1"/>
  <c r="G99" i="1" s="1"/>
  <c r="I40" i="1"/>
  <c r="G40" i="1" s="1"/>
  <c r="I95" i="1"/>
  <c r="G95" i="1" s="1"/>
  <c r="I72" i="1"/>
  <c r="G72" i="1" s="1"/>
  <c r="I96" i="1"/>
  <c r="G96" i="1" s="1"/>
  <c r="I88" i="1"/>
  <c r="G88" i="1" s="1"/>
  <c r="I34" i="1"/>
  <c r="G34" i="1" s="1"/>
  <c r="I73" i="1"/>
  <c r="G73" i="1" s="1"/>
  <c r="I8" i="1"/>
  <c r="G8" i="1" s="1"/>
  <c r="I14" i="1"/>
  <c r="G14" i="1" s="1"/>
  <c r="I57" i="1"/>
  <c r="G57" i="1" s="1"/>
  <c r="I9" i="1"/>
  <c r="G9" i="1" s="1"/>
  <c r="I77" i="1"/>
  <c r="G77" i="1" s="1"/>
  <c r="I6" i="1"/>
  <c r="G6" i="1" s="1"/>
  <c r="I63" i="1"/>
  <c r="G63" i="1" s="1"/>
  <c r="I83" i="1"/>
  <c r="G83" i="1" s="1"/>
  <c r="I45" i="1"/>
  <c r="G45" i="1" s="1"/>
  <c r="I39" i="1"/>
  <c r="G39" i="1" s="1"/>
  <c r="I47" i="1"/>
  <c r="G47" i="1" s="1"/>
  <c r="I49" i="1"/>
  <c r="G49" i="1" s="1"/>
  <c r="I66" i="1"/>
  <c r="G66" i="1" s="1"/>
  <c r="I41" i="1"/>
  <c r="G41" i="1" s="1"/>
  <c r="I90" i="1"/>
  <c r="G90" i="1" s="1"/>
  <c r="I102" i="1"/>
  <c r="G102" i="1" s="1"/>
  <c r="I84" i="1"/>
  <c r="G84" i="1" s="1"/>
  <c r="I37" i="1"/>
  <c r="G37" i="1" s="1"/>
  <c r="I86" i="1"/>
  <c r="G86" i="1" s="1"/>
  <c r="I36" i="1"/>
  <c r="G36" i="1" s="1"/>
  <c r="I60" i="1"/>
  <c r="G60" i="1" s="1"/>
  <c r="I19" i="1"/>
  <c r="G19" i="1" s="1"/>
  <c r="I61" i="1"/>
  <c r="G61" i="1" s="1"/>
  <c r="I85" i="1"/>
  <c r="G85" i="1" s="1"/>
  <c r="I16" i="1"/>
  <c r="G16" i="1" s="1"/>
  <c r="I29" i="1"/>
  <c r="G29" i="1" s="1"/>
  <c r="I42" i="1"/>
  <c r="G42" i="1" s="1"/>
  <c r="I80" i="1"/>
  <c r="G80" i="1" s="1"/>
  <c r="I98" i="1"/>
  <c r="G98" i="1" s="1"/>
  <c r="I56" i="1"/>
  <c r="G56" i="1" s="1"/>
  <c r="I11" i="1"/>
  <c r="G11" i="1" s="1"/>
  <c r="I18" i="1"/>
  <c r="G18" i="1" s="1"/>
  <c r="I101" i="1"/>
  <c r="G101" i="1" s="1"/>
  <c r="I82" i="1"/>
  <c r="G82" i="1" s="1"/>
  <c r="I44" i="1"/>
  <c r="G44" i="1" s="1"/>
  <c r="I30" i="1"/>
  <c r="G30" i="1" s="1"/>
  <c r="I12" i="1"/>
  <c r="G12" i="1" s="1"/>
  <c r="I15" i="1"/>
  <c r="G15" i="1" s="1"/>
  <c r="I21" i="1"/>
  <c r="G21" i="1" s="1"/>
  <c r="I43" i="1"/>
  <c r="G43" i="1" s="1"/>
  <c r="I28" i="1"/>
  <c r="G28" i="1" s="1"/>
  <c r="I46" i="1"/>
  <c r="G46" i="1" s="1"/>
  <c r="J269" i="11"/>
  <c r="H265" i="11"/>
  <c r="H258" i="11"/>
  <c r="H244" i="11"/>
  <c r="BP2" i="18"/>
  <c r="BF2" i="18"/>
  <c r="BM2" i="18"/>
  <c r="BJ2" i="18"/>
  <c r="S77" i="23" l="1"/>
  <c r="T77" i="23" s="1"/>
  <c r="T80" i="23"/>
  <c r="T78" i="23"/>
  <c r="T79" i="23"/>
  <c r="N80" i="24"/>
  <c r="N78" i="24"/>
  <c r="T82" i="23"/>
  <c r="T81" i="23"/>
  <c r="X42" i="23"/>
  <c r="Y42" i="23" s="1"/>
  <c r="AC66" i="23" a="1"/>
  <c r="AC66" i="23" s="1"/>
  <c r="M77" i="24"/>
  <c r="N77" i="24" s="1"/>
  <c r="N81" i="24"/>
  <c r="N82" i="24"/>
  <c r="W77" i="23"/>
  <c r="X77" i="23" s="1"/>
  <c r="X78" i="23"/>
  <c r="X80" i="23"/>
  <c r="X81" i="23"/>
  <c r="X79" i="23"/>
  <c r="N80" i="23"/>
  <c r="N82" i="23"/>
  <c r="N81" i="23"/>
  <c r="N79" i="23"/>
  <c r="N78" i="23"/>
  <c r="X82" i="23"/>
  <c r="AI58" i="23"/>
  <c r="AH58" i="23"/>
  <c r="AH60" i="23"/>
  <c r="AH59" i="23"/>
  <c r="AI61" i="23"/>
  <c r="AI60" i="23"/>
  <c r="AI59" i="23"/>
  <c r="Y43" i="23"/>
  <c r="Y44" i="23"/>
  <c r="Z42" i="23"/>
  <c r="Z45" i="23"/>
  <c r="Y45" i="23"/>
  <c r="Z44" i="23"/>
  <c r="Z43" i="23"/>
  <c r="AH61" i="23"/>
  <c r="Z46" i="23"/>
  <c r="AB47" i="23"/>
  <c r="AG49" i="23"/>
  <c r="AH49" i="23" s="1"/>
  <c r="AI50" i="23"/>
  <c r="AI51" i="23"/>
  <c r="AI52" i="23"/>
  <c r="AH50" i="23"/>
  <c r="AH51" i="23"/>
  <c r="AH52" i="23"/>
  <c r="AB49" i="23"/>
  <c r="AB48" i="23"/>
  <c r="AA49" i="23"/>
  <c r="AC49" i="23" s="1"/>
  <c r="AA48" i="23"/>
  <c r="AC48" i="23" s="1"/>
  <c r="AA55" i="23"/>
  <c r="AB54" i="23"/>
  <c r="AB57" i="23"/>
  <c r="AB56" i="23"/>
  <c r="AA57" i="23"/>
  <c r="AA56" i="23"/>
  <c r="AB55" i="23"/>
  <c r="AC47" i="23"/>
  <c r="M48" i="1"/>
  <c r="M47" i="1"/>
  <c r="M46" i="1"/>
  <c r="M55" i="1"/>
  <c r="M52" i="1"/>
  <c r="M54" i="1"/>
  <c r="M53" i="1"/>
  <c r="L48" i="1"/>
  <c r="L47" i="1"/>
  <c r="L46" i="1"/>
  <c r="L87" i="2"/>
  <c r="L39" i="2"/>
  <c r="L17" i="2"/>
  <c r="L14" i="2"/>
  <c r="L13" i="2"/>
  <c r="K89" i="2"/>
  <c r="L89" i="2" s="1"/>
  <c r="K86" i="2"/>
  <c r="L86" i="2" s="1"/>
  <c r="M45" i="23"/>
  <c r="L61" i="2"/>
  <c r="L93" i="2"/>
  <c r="L21" i="2"/>
  <c r="L92" i="2"/>
  <c r="L20" i="2"/>
  <c r="L91" i="2"/>
  <c r="L43" i="2"/>
  <c r="L19" i="2"/>
  <c r="L90" i="2"/>
  <c r="L42" i="2"/>
  <c r="L18" i="2"/>
  <c r="L69" i="2"/>
  <c r="L45" i="2"/>
  <c r="L44" i="2"/>
  <c r="L80" i="2"/>
  <c r="L56" i="2"/>
  <c r="L55" i="2"/>
  <c r="L54" i="2"/>
  <c r="K68" i="2"/>
  <c r="L68" i="2" s="1"/>
  <c r="L32" i="2"/>
  <c r="L78" i="2"/>
  <c r="K69" i="2"/>
  <c r="K31" i="2"/>
  <c r="L31" i="2" s="1"/>
  <c r="L37" i="2"/>
  <c r="K85" i="2"/>
  <c r="L85" i="2" s="1"/>
  <c r="L8" i="2"/>
  <c r="L79" i="2"/>
  <c r="L7" i="2"/>
  <c r="L6" i="2"/>
  <c r="K67" i="2"/>
  <c r="L67" i="2" s="1"/>
  <c r="K66" i="2"/>
  <c r="L66" i="2" s="1"/>
  <c r="K30" i="2"/>
  <c r="L30" i="2" s="1"/>
  <c r="L72" i="2"/>
  <c r="L83" i="2"/>
  <c r="L59" i="2"/>
  <c r="L35" i="2"/>
  <c r="L11" i="2"/>
  <c r="L82" i="2"/>
  <c r="L58" i="2"/>
  <c r="L34" i="2"/>
  <c r="L10" i="2"/>
  <c r="L81" i="2"/>
  <c r="L57" i="2"/>
  <c r="L33" i="2"/>
  <c r="L9" i="2"/>
  <c r="K97" i="2"/>
  <c r="L97" i="2" s="1"/>
  <c r="K25" i="2"/>
  <c r="L25" i="2" s="1"/>
  <c r="L49" i="2"/>
  <c r="L71" i="2"/>
  <c r="L94" i="2"/>
  <c r="L46" i="2"/>
  <c r="L22" i="2"/>
  <c r="K96" i="2"/>
  <c r="L96" i="2" s="1"/>
  <c r="K72" i="2"/>
  <c r="K48" i="2"/>
  <c r="L48" i="2" s="1"/>
  <c r="K24" i="2"/>
  <c r="L24" i="2" s="1"/>
  <c r="L95" i="2"/>
  <c r="L23" i="2"/>
  <c r="K47" i="2"/>
  <c r="L47" i="2" s="1"/>
  <c r="L73" i="2"/>
  <c r="L70" i="2"/>
  <c r="M2" i="14"/>
  <c r="AI49" i="23" l="1"/>
  <c r="K10" i="3" a="1"/>
  <c r="K10" i="3" s="1"/>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AC4" i="12"/>
  <c r="AG5" i="12"/>
  <c r="AG6" i="12"/>
  <c r="AG7" i="12"/>
  <c r="AG8" i="12"/>
  <c r="AG9" i="12"/>
  <c r="AG4" i="12"/>
  <c r="AE5" i="12"/>
  <c r="AE6" i="12"/>
  <c r="AE7" i="12"/>
  <c r="AE8" i="12"/>
  <c r="AE9" i="12"/>
  <c r="AE4" i="12"/>
  <c r="AC5" i="12"/>
  <c r="AC6" i="12"/>
  <c r="AC7" i="12"/>
  <c r="AC8" i="12"/>
  <c r="AC9" i="12"/>
  <c r="F39" i="11"/>
  <c r="B31" i="11"/>
  <c r="K2" i="12"/>
  <c r="M38" i="10"/>
  <c r="S44" i="10"/>
  <c r="S45" i="10"/>
  <c r="S46" i="10"/>
  <c r="S43" i="10"/>
  <c r="R9" i="10"/>
  <c r="P43" i="10"/>
  <c r="T9" i="10"/>
  <c r="M49" i="10"/>
  <c r="L13" i="10"/>
  <c r="M46" i="10"/>
  <c r="P9" i="10"/>
  <c r="M44" i="10"/>
  <c r="N9" i="10"/>
  <c r="M42" i="10"/>
  <c r="L9" i="10"/>
  <c r="S36" i="10"/>
  <c r="V26" i="10"/>
  <c r="S34" i="10"/>
  <c r="T26" i="10"/>
  <c r="R36" i="10"/>
  <c r="V25" i="10"/>
  <c r="R34" i="10"/>
  <c r="T25" i="10"/>
  <c r="N38" i="10"/>
  <c r="P26" i="10"/>
  <c r="N36" i="10"/>
  <c r="N26" i="10"/>
  <c r="N34" i="10"/>
  <c r="L26" i="10"/>
  <c r="P25" i="10"/>
  <c r="M34" i="10"/>
  <c r="M36" i="10"/>
  <c r="N25" i="10"/>
  <c r="L25" i="10"/>
  <c r="R10" i="10"/>
  <c r="R11" i="10"/>
  <c r="R12" i="10"/>
  <c r="M47" i="9" a="1"/>
  <c r="M47" i="9" s="1"/>
  <c r="M41" i="9" a="1"/>
  <c r="M41" i="9" s="1"/>
  <c r="M42" i="9" a="1"/>
  <c r="M42" i="9" s="1"/>
  <c r="M43" i="9" a="1"/>
  <c r="M43" i="9" s="1"/>
  <c r="M44" i="9" a="1"/>
  <c r="M44" i="9" s="1"/>
  <c r="M45" i="9" a="1"/>
  <c r="M45" i="9" s="1"/>
  <c r="M46" i="9" a="1"/>
  <c r="M46" i="9" s="1"/>
  <c r="M40" i="9" a="1"/>
  <c r="M40" i="9" s="1"/>
  <c r="O28" i="9"/>
  <c r="U31" i="9"/>
  <c r="U32" i="9"/>
  <c r="U33" i="9"/>
  <c r="U30" i="9"/>
  <c r="M28" i="9"/>
  <c r="O29" i="9"/>
  <c r="O30" i="9"/>
  <c r="O31" i="9"/>
  <c r="O32" i="9"/>
  <c r="O33" i="9"/>
  <c r="O34" i="9"/>
  <c r="O35" i="9"/>
  <c r="S27" i="9"/>
  <c r="S28" i="9"/>
  <c r="M31" i="9"/>
  <c r="M30" i="9"/>
  <c r="P12" i="9"/>
  <c r="M29" i="9"/>
  <c r="L29" i="9"/>
  <c r="L28" i="9"/>
  <c r="S12" i="9"/>
  <c r="V12" i="9" s="1"/>
  <c r="S13" i="9"/>
  <c r="V13" i="9" s="1"/>
  <c r="S14" i="9"/>
  <c r="V14" i="9" s="1"/>
  <c r="S15" i="9"/>
  <c r="V15" i="9" s="1"/>
  <c r="S16" i="9"/>
  <c r="V16" i="9" s="1"/>
  <c r="S17" i="9"/>
  <c r="V17" i="9" s="1"/>
  <c r="S18" i="9"/>
  <c r="V18" i="9" s="1"/>
  <c r="S19" i="9"/>
  <c r="V19" i="9" s="1"/>
  <c r="S20" i="9"/>
  <c r="V20" i="9" s="1"/>
  <c r="S21" i="9"/>
  <c r="V21" i="9" s="1"/>
  <c r="S22" i="9"/>
  <c r="V22" i="9" s="1"/>
  <c r="S11" i="9"/>
  <c r="V11" i="9" s="1"/>
  <c r="R12" i="9"/>
  <c r="U12" i="9" s="1"/>
  <c r="R13" i="9"/>
  <c r="U13" i="9" s="1"/>
  <c r="R14" i="9"/>
  <c r="U14" i="9" s="1"/>
  <c r="R15" i="9"/>
  <c r="U15" i="9" s="1"/>
  <c r="R16" i="9"/>
  <c r="U16" i="9" s="1"/>
  <c r="R17" i="9"/>
  <c r="U17" i="9" s="1"/>
  <c r="R18" i="9"/>
  <c r="U18" i="9" s="1"/>
  <c r="R19" i="9"/>
  <c r="U19" i="9" s="1"/>
  <c r="R20" i="9"/>
  <c r="U20" i="9" s="1"/>
  <c r="R21" i="9"/>
  <c r="U21" i="9" s="1"/>
  <c r="R22" i="9"/>
  <c r="U22" i="9" s="1"/>
  <c r="R11" i="9"/>
  <c r="U11" i="9" s="1"/>
  <c r="L11" i="9"/>
  <c r="N11" i="9"/>
  <c r="P13" i="9"/>
  <c r="P14" i="9"/>
  <c r="P15" i="9"/>
  <c r="P16" i="9"/>
  <c r="P17" i="9"/>
  <c r="P18" i="9"/>
  <c r="P19" i="9"/>
  <c r="P20" i="9"/>
  <c r="P21" i="9"/>
  <c r="P22" i="9"/>
  <c r="P11" i="9"/>
  <c r="N12" i="9"/>
  <c r="N13" i="9"/>
  <c r="N14" i="9"/>
  <c r="N15" i="9"/>
  <c r="N16" i="9"/>
  <c r="N17" i="9"/>
  <c r="N18" i="9"/>
  <c r="N19" i="9"/>
  <c r="N20" i="9"/>
  <c r="N21" i="9"/>
  <c r="N22" i="9"/>
  <c r="L12" i="9"/>
  <c r="L13" i="9"/>
  <c r="L14" i="9"/>
  <c r="L15" i="9"/>
  <c r="L16" i="9"/>
  <c r="L17" i="9"/>
  <c r="L18" i="9"/>
  <c r="L19" i="9"/>
  <c r="L20" i="9"/>
  <c r="L21" i="9"/>
  <c r="L22" i="9"/>
  <c r="R33" i="8"/>
  <c r="P30" i="8"/>
  <c r="S30" i="8" s="1" a="1"/>
  <c r="S30" i="8" s="1"/>
  <c r="P31" i="8"/>
  <c r="S31" i="8" s="1" a="1"/>
  <c r="S31" i="8" s="1"/>
  <c r="P32" i="8"/>
  <c r="S32" i="8" s="1" a="1"/>
  <c r="S32" i="8" s="1"/>
  <c r="P33" i="8"/>
  <c r="S33" i="8" s="1" a="1"/>
  <c r="S33" i="8" s="1"/>
  <c r="O12" i="8"/>
  <c r="O21" i="8" a="1"/>
  <c r="O21" i="8" s="1"/>
  <c r="L20" i="8"/>
  <c r="O22" i="8" a="1"/>
  <c r="O22" i="8" s="1"/>
  <c r="O23" i="8" a="1"/>
  <c r="O23" i="8" s="1"/>
  <c r="O20" i="8" a="1"/>
  <c r="O20" i="8" s="1"/>
  <c r="U12" i="8"/>
  <c r="L21" i="8"/>
  <c r="L22" i="8"/>
  <c r="L23" i="8"/>
  <c r="U13" i="8"/>
  <c r="U14" i="8"/>
  <c r="U15" i="8"/>
  <c r="S12" i="8"/>
  <c r="Q12" i="8" s="1" a="1"/>
  <c r="Q12" i="8" s="1"/>
  <c r="S15" i="8"/>
  <c r="Q15" i="8" s="1" a="1"/>
  <c r="Q15" i="8" s="1"/>
  <c r="S13" i="8"/>
  <c r="Q13" i="8" s="1" a="1"/>
  <c r="Q13" i="8" s="1"/>
  <c r="S14" i="8"/>
  <c r="Q14" i="8" s="1" a="1"/>
  <c r="Q14" i="8" s="1"/>
  <c r="O13" i="8"/>
  <c r="O14" i="8"/>
  <c r="O15" i="8"/>
  <c r="L13" i="8"/>
  <c r="L14" i="8"/>
  <c r="L15" i="8"/>
  <c r="L12" i="8"/>
  <c r="U18" i="4"/>
  <c r="S30" i="6"/>
  <c r="T34" i="6"/>
  <c r="T35" i="6"/>
  <c r="T36" i="6"/>
  <c r="T33" i="6"/>
  <c r="R34" i="6"/>
  <c r="R35" i="6"/>
  <c r="R36" i="6"/>
  <c r="R33" i="6"/>
  <c r="N34" i="6"/>
  <c r="N35" i="6"/>
  <c r="N36" i="6"/>
  <c r="N33" i="6"/>
  <c r="L34" i="6"/>
  <c r="L35" i="6"/>
  <c r="L36" i="6"/>
  <c r="L33" i="6"/>
  <c r="M30" i="6"/>
  <c r="Q10" i="6"/>
  <c r="Q11" i="6"/>
  <c r="Q12" i="6"/>
  <c r="Q13" i="6"/>
  <c r="Q14" i="6"/>
  <c r="Q15" i="6"/>
  <c r="Q16" i="6"/>
  <c r="Q17" i="6"/>
  <c r="Q18" i="6"/>
  <c r="Q19" i="6"/>
  <c r="Q20" i="6"/>
  <c r="Q21" i="6"/>
  <c r="Q22" i="6"/>
  <c r="Q23" i="6"/>
  <c r="Q24" i="6"/>
  <c r="Q9" i="6"/>
  <c r="O10" i="6"/>
  <c r="U10" i="6" s="1"/>
  <c r="O11" i="6"/>
  <c r="U11" i="6" s="1"/>
  <c r="O12" i="6"/>
  <c r="U12" i="6" s="1"/>
  <c r="O13" i="6"/>
  <c r="U13" i="6" s="1"/>
  <c r="O14" i="6"/>
  <c r="U14" i="6" s="1"/>
  <c r="O15" i="6"/>
  <c r="S15" i="6" s="1"/>
  <c r="O16" i="6"/>
  <c r="S16" i="6" s="1"/>
  <c r="O17" i="6"/>
  <c r="S17" i="6" s="1"/>
  <c r="O18" i="6"/>
  <c r="U18" i="6" s="1"/>
  <c r="O19" i="6"/>
  <c r="U19" i="6" s="1"/>
  <c r="O20" i="6"/>
  <c r="U20" i="6" s="1"/>
  <c r="O21" i="6"/>
  <c r="U21" i="6" s="1"/>
  <c r="O22" i="6"/>
  <c r="U22" i="6" s="1"/>
  <c r="O23" i="6"/>
  <c r="U23" i="6" s="1"/>
  <c r="O24" i="6"/>
  <c r="U24" i="6" s="1"/>
  <c r="O9" i="6"/>
  <c r="U9" i="6" s="1"/>
  <c r="M9" i="6"/>
  <c r="M10" i="6"/>
  <c r="M11" i="6"/>
  <c r="M12" i="6"/>
  <c r="M13" i="6"/>
  <c r="M14" i="6"/>
  <c r="M15" i="6"/>
  <c r="M16" i="6"/>
  <c r="M17" i="6"/>
  <c r="M18" i="6"/>
  <c r="M19" i="6"/>
  <c r="M20" i="6"/>
  <c r="M21" i="6"/>
  <c r="M22" i="6"/>
  <c r="M23" i="6"/>
  <c r="M24" i="6"/>
  <c r="K10" i="6"/>
  <c r="K11" i="6"/>
  <c r="K12" i="6"/>
  <c r="K13" i="6"/>
  <c r="K14" i="6"/>
  <c r="K15" i="6"/>
  <c r="K16" i="6"/>
  <c r="K17" i="6"/>
  <c r="K18" i="6"/>
  <c r="K19" i="6"/>
  <c r="K20" i="6"/>
  <c r="K21" i="6"/>
  <c r="K22" i="6"/>
  <c r="K23" i="6"/>
  <c r="K24" i="6"/>
  <c r="K9" i="6"/>
  <c r="H9" i="5"/>
  <c r="J25" i="5"/>
  <c r="J26" i="5"/>
  <c r="J27" i="5"/>
  <c r="T15" i="5"/>
  <c r="T14" i="5"/>
  <c r="T13" i="5"/>
  <c r="L13" i="5"/>
  <c r="L14" i="5"/>
  <c r="L15" i="5"/>
  <c r="L16" i="5"/>
  <c r="L17" i="5"/>
  <c r="L18" i="5"/>
  <c r="L19" i="5"/>
  <c r="L20" i="5"/>
  <c r="L21" i="5"/>
  <c r="L22" i="5"/>
  <c r="L23" i="5"/>
  <c r="L24" i="5"/>
  <c r="L25" i="5"/>
  <c r="L26" i="5"/>
  <c r="L27" i="5"/>
  <c r="L28" i="5"/>
  <c r="L29" i="5"/>
  <c r="L30" i="5"/>
  <c r="L31" i="5"/>
  <c r="L32" i="5"/>
  <c r="L12" i="5"/>
  <c r="P12" i="5"/>
  <c r="P13" i="5"/>
  <c r="P14" i="5"/>
  <c r="P15" i="5"/>
  <c r="P16" i="5"/>
  <c r="P17" i="5"/>
  <c r="P18" i="5"/>
  <c r="P19" i="5"/>
  <c r="P20" i="5"/>
  <c r="P21" i="5"/>
  <c r="P22" i="5"/>
  <c r="P23" i="5"/>
  <c r="P24" i="5"/>
  <c r="P25" i="5"/>
  <c r="P26" i="5"/>
  <c r="P27" i="5"/>
  <c r="P28" i="5"/>
  <c r="P29" i="5"/>
  <c r="P30" i="5"/>
  <c r="P31" i="5"/>
  <c r="P32" i="5"/>
  <c r="H13" i="5"/>
  <c r="H14" i="5"/>
  <c r="H15" i="5"/>
  <c r="H16" i="5"/>
  <c r="H17" i="5"/>
  <c r="H18" i="5"/>
  <c r="H19" i="5"/>
  <c r="H20" i="5"/>
  <c r="H21" i="5"/>
  <c r="H12" i="5"/>
  <c r="J9" i="5"/>
  <c r="L9" i="5"/>
  <c r="N13" i="5"/>
  <c r="N14" i="5"/>
  <c r="N15" i="5"/>
  <c r="N16" i="5"/>
  <c r="N17" i="5"/>
  <c r="N18" i="5"/>
  <c r="N19" i="5"/>
  <c r="N20" i="5"/>
  <c r="N21" i="5"/>
  <c r="N22" i="5"/>
  <c r="N23" i="5"/>
  <c r="N24" i="5"/>
  <c r="N25" i="5"/>
  <c r="N26" i="5"/>
  <c r="N27" i="5"/>
  <c r="N28" i="5"/>
  <c r="N29" i="5"/>
  <c r="N30" i="5"/>
  <c r="N31" i="5"/>
  <c r="N32" i="5"/>
  <c r="N12" i="5"/>
  <c r="R9" i="5"/>
  <c r="P10" i="5"/>
  <c r="P9" i="5"/>
  <c r="N9" i="5"/>
  <c r="H10" i="5"/>
  <c r="N10" i="3" a="1"/>
  <c r="N10" i="3" s="1"/>
  <c r="T18" i="4"/>
  <c r="S18" i="4"/>
  <c r="R18" i="4"/>
  <c r="L25" i="4"/>
  <c r="P18" i="4"/>
  <c r="P10" i="4" s="1"/>
  <c r="N18" i="4"/>
  <c r="L18" i="4"/>
  <c r="N20" i="4" s="1"/>
  <c r="P12" i="4"/>
  <c r="L10" i="4"/>
  <c r="N11" i="3" a="1"/>
  <c r="N11" i="3" s="1"/>
  <c r="N12" i="3" a="1"/>
  <c r="N12" i="3" s="1"/>
  <c r="N13" i="3" a="1"/>
  <c r="N13" i="3" s="1"/>
  <c r="N14" i="3" a="1"/>
  <c r="N14" i="3" s="1"/>
  <c r="N15" i="3" a="1"/>
  <c r="N15" i="3" s="1"/>
  <c r="N16" i="3" a="1"/>
  <c r="N16" i="3" s="1"/>
  <c r="N17" i="3" a="1"/>
  <c r="N17" i="3" s="1"/>
  <c r="K11" i="3" a="1"/>
  <c r="K11" i="3" s="1"/>
  <c r="K12" i="3" a="1"/>
  <c r="K12" i="3" s="1"/>
  <c r="K13" i="3" a="1"/>
  <c r="K13" i="3" s="1"/>
  <c r="K14" i="3" a="1"/>
  <c r="K14" i="3" s="1"/>
  <c r="K15" i="3" a="1"/>
  <c r="K15" i="3"/>
  <c r="K16" i="3" a="1"/>
  <c r="K16" i="3" s="1"/>
  <c r="K17" i="3" a="1"/>
  <c r="K17" i="3" s="1"/>
  <c r="G23" i="3"/>
  <c r="G11" i="3"/>
  <c r="G12" i="3"/>
  <c r="G13" i="3"/>
  <c r="G14" i="3"/>
  <c r="G15" i="3"/>
  <c r="G16" i="3"/>
  <c r="G17" i="3"/>
  <c r="G10" i="3"/>
  <c r="X170" i="2"/>
  <c r="X166" i="2"/>
  <c r="X167" i="2"/>
  <c r="X168" i="2"/>
  <c r="X169" i="2"/>
  <c r="X165" i="2"/>
  <c r="Z7" i="2"/>
  <c r="Z6" i="2"/>
  <c r="Z22" i="2"/>
  <c r="W25" i="2" a="1"/>
  <c r="W25" i="2" s="1"/>
  <c r="X21" i="2"/>
  <c r="AB10" i="2"/>
  <c r="AB9" i="2"/>
  <c r="AB6" i="2"/>
  <c r="AB7" i="2"/>
  <c r="AB8" i="2"/>
  <c r="AB5" i="2"/>
  <c r="AB14" i="2"/>
  <c r="AB15" i="2"/>
  <c r="AB16" i="2"/>
  <c r="AB17" i="2"/>
  <c r="AB13" i="2"/>
  <c r="AA14" i="2"/>
  <c r="AA15" i="2"/>
  <c r="AA16" i="2"/>
  <c r="AA17" i="2"/>
  <c r="AA13" i="2"/>
  <c r="X15" i="2"/>
  <c r="X14" i="2"/>
  <c r="X16" i="2" s="1"/>
  <c r="X18" i="2" s="1"/>
  <c r="X13" i="2"/>
  <c r="X12" i="2"/>
  <c r="Z10" i="2" l="1"/>
  <c r="O38" i="8" a="1"/>
  <c r="O38" i="8" s="1"/>
  <c r="L38" i="6"/>
  <c r="P51" i="10"/>
  <c r="U21" i="4"/>
  <c r="U17" i="6"/>
  <c r="U15" i="6"/>
  <c r="S14" i="6"/>
  <c r="S10" i="6"/>
  <c r="S9" i="6"/>
  <c r="S24" i="6"/>
  <c r="S23" i="6"/>
  <c r="S13" i="6"/>
  <c r="S12" i="6"/>
  <c r="S11" i="6"/>
  <c r="U16" i="6"/>
  <c r="S22" i="6"/>
  <c r="S21" i="6"/>
  <c r="S20" i="6"/>
  <c r="S19" i="6"/>
  <c r="S18" i="6"/>
  <c r="S19" i="4"/>
  <c r="R19" i="4"/>
  <c r="U19" i="4"/>
  <c r="Z9" i="2"/>
  <c r="Z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6D32986-848F-454E-9079-3910EF670FC5}" keepAlive="1" name="ModelConnection_ExternalData_1" description="Data Model" type="5" refreshedVersion="8" minRefreshableVersion="5" saveData="1">
    <dbPr connection="Data Model Connection" command="DRILLTHROUGH MAXROWS 1000 SELECT FROM [Model] WHERE ([Measures].[sum of sales]) RETURN [$Table1].[Date],[$Table1].[Product],[$Table1].[Category],[$Table1].[Region],[$Table1].[Sales Amount],[$Table1].[Quantity Sold],[$Table1].[bin],[$Table1].[Column1],[$Table1].[age]" commandType="4"/>
    <extLst>
      <ext xmlns:x15="http://schemas.microsoft.com/office/spreadsheetml/2010/11/main" uri="{DE250136-89BD-433C-8126-D09CA5730AF9}">
        <x15:connection id="" model="1"/>
      </ext>
    </extLst>
  </connection>
  <connection id="2" xr16:uid="{F27D6A5F-FB0C-4F88-A6CB-5CC50499B6F2}" keepAlive="1" name="ModelConnection_ExternalData_11" description="Data Model" type="5" refreshedVersion="8" minRefreshableVersion="5" saveData="1">
    <dbPr connection="Data Model Connection" command="DRILLTHROUGH MAXROWS 1000 SELECT FROM [Model] WHERE ((([Measures].[Sum of Quantity Sold],[Table1].[Region].&amp;[East]),[Table1].[Category].&amp;[Appliances])) RETURN [$Table1].[Date],[$Table1].[Product],[$Table1].[Category],[$Table1].[Region],[$Table1].[Sales Amount],[$Table1].[Quantity Sold],[$Table1].[bin],[$Table1].[Column1],[$Table1].[age]" commandType="4"/>
    <extLst>
      <ext xmlns:x15="http://schemas.microsoft.com/office/spreadsheetml/2010/11/main" uri="{DE250136-89BD-433C-8126-D09CA5730AF9}">
        <x15:connection id="" model="1"/>
      </ext>
    </extLst>
  </connection>
  <connection id="3" xr16:uid="{4C986FCC-966B-4066-BE8B-C53EF16BC121}"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4" xr16:uid="{823EE8F3-2F37-4C8F-8F10-6F93AC1EE028}"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5" xr16:uid="{72A973B9-89AA-4E05-97E8-AC60E2F0BF8C}" keepAlive="1" name="Query - Table1 (3)" description="Connection to the 'Table1 (3)' query in the workbook." type="5" refreshedVersion="8" background="1" saveData="1">
    <dbPr connection="Provider=Microsoft.Mashup.OleDb.1;Data Source=$Workbook$;Location=&quot;Table1 (3)&quot;;Extended Properties=&quot;&quot;" command="SELECT * FROM [Table1 (3)]"/>
  </connection>
  <connection id="6" xr16:uid="{C222DA3D-69DE-4A9D-A070-83AF71163895}" keepAlive="1" name="Query - Table1 (4)" description="Connection to the 'Table1 (4)' query in the workbook." type="5" refreshedVersion="8" background="1" saveData="1">
    <dbPr connection="Provider=Microsoft.Mashup.OleDb.1;Data Source=$Workbook$;Location=&quot;Table1 (4)&quot;;Extended Properties=&quot;&quot;" command="SELECT * FROM [Table1 (4)]"/>
  </connection>
  <connection id="7" xr16:uid="{CFEE9AE3-83D9-4502-8DC7-E2DE892723F9}" keepAlive="1" name="Query - Table1 (5)" description="Connection to the 'Table1 (5)' query in the workbook." type="5" refreshedVersion="8" background="1" saveData="1">
    <dbPr connection="Provider=Microsoft.Mashup.OleDb.1;Data Source=$Workbook$;Location=&quot;Table1 (5)&quot;;Extended Properties=&quot;&quot;" command="SELECT * FROM [Table1 (5)]"/>
  </connection>
  <connection id="8" xr16:uid="{8835524E-5AE8-4740-93B7-0F4983B2B3D7}" keepAlive="1" name="Query - Table1 (6)" description="Connection to the 'Table1 (6)' query in the workbook." type="5" refreshedVersion="8" background="1" saveData="1">
    <dbPr connection="Provider=Microsoft.Mashup.OleDb.1;Data Source=$Workbook$;Location=&quot;Table1 (6)&quot;;Extended Properties=&quot;&quot;" command="SELECT * FROM [Table1 (6)]"/>
  </connection>
  <connection id="9" xr16:uid="{E20E675C-357C-48A2-9555-69AA2EC4F01E}" keepAlive="1" name="Query - Table1 (7)" description="Connection to the 'Table1 (7)' query in the workbook." type="5" refreshedVersion="8" background="1" saveData="1">
    <dbPr connection="Provider=Microsoft.Mashup.OleDb.1;Data Source=$Workbook$;Location=&quot;Table1 (7)&quot;;Extended Properties=&quot;&quot;" command="SELECT * FROM [Table1 (7)]"/>
  </connection>
  <connection id="10" xr16:uid="{6DE3DA21-39D1-44CF-B00F-75B1ED1753CE}" keepAlive="1" name="Query - Table1 (8)" description="Connection to the 'Table1 (8)' query in the workbook." type="5" refreshedVersion="8" background="1" saveData="1">
    <dbPr connection="Provider=Microsoft.Mashup.OleDb.1;Data Source=$Workbook$;Location=&quot;Table1 (8)&quot;;Extended Properties=&quot;&quot;" command="SELECT * FROM [Table1 (8)]"/>
  </connection>
  <connection id="11" xr16:uid="{0CD0892E-2BF9-4042-86DB-F4BF0E2F0056}" keepAlive="1" name="Query - Table1 (9)" description="Connection to the 'Table1 (9)' query in the workbook." type="5" refreshedVersion="8" background="1" saveData="1">
    <dbPr connection="Provider=Microsoft.Mashup.OleDb.1;Data Source=$Workbook$;Location=&quot;Table1 (9)&quot;;Extended Properties=&quot;&quot;" command="SELECT * FROM [Table1 (9)]"/>
  </connection>
  <connection id="12" xr16:uid="{E03115C0-74C8-41EB-BCF1-0DB67E4F4F8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3" xr16:uid="{6BC653A5-199A-4A49-A00F-979E23270E54}" name="WorksheetConnection_Excel practice2.xlsx!Table1" type="102" refreshedVersion="8" minRefreshableVersion="5">
    <extLst>
      <ext xmlns:x15="http://schemas.microsoft.com/office/spreadsheetml/2010/11/main" uri="{DE250136-89BD-433C-8126-D09CA5730AF9}">
        <x15:connection id="Table1" autoDelete="1">
          <x15:rangePr sourceName="_xlcn.WorksheetConnection_Excelpractice2.xlsxTable11"/>
        </x15:connection>
      </ext>
    </extLst>
  </connection>
  <connection id="14" xr16:uid="{C02B4741-2C13-4473-8487-C413566045E5}" name="WorksheetConnection_Excel practice3.xlsx!Table22" type="102" refreshedVersion="8" minRefreshableVersion="5">
    <extLst>
      <ext xmlns:x15="http://schemas.microsoft.com/office/spreadsheetml/2010/11/main" uri="{DE250136-89BD-433C-8126-D09CA5730AF9}">
        <x15:connection id="Table22">
          <x15:rangePr sourceName="_xlcn.WorksheetConnection_Excelpractice3.xlsxTable221"/>
        </x15:connection>
      </ext>
    </extLst>
  </connection>
  <connection id="15" xr16:uid="{1690C594-D9F4-4042-A0A5-3A4CECB690EF}" name="WorksheetConnection_Excel practice3.xlsx!Table221" type="102" refreshedVersion="8" minRefreshableVersion="5">
    <extLst>
      <ext xmlns:x15="http://schemas.microsoft.com/office/spreadsheetml/2010/11/main" uri="{DE250136-89BD-433C-8126-D09CA5730AF9}">
        <x15:connection id="Table22 1">
          <x15:rangePr sourceName="_xlcn.WorksheetConnection_Excelpractice3.xlsxTable2211"/>
        </x15:connection>
      </ext>
    </extLst>
  </connection>
  <connection id="16" xr16:uid="{08292B84-E654-4390-A644-7B7B3ECD46E4}" name="WorksheetConnection_Excel practice3.xlsx!Table222" type="102" refreshedVersion="8" minRefreshableVersion="5">
    <extLst>
      <ext xmlns:x15="http://schemas.microsoft.com/office/spreadsheetml/2010/11/main" uri="{DE250136-89BD-433C-8126-D09CA5730AF9}">
        <x15:connection id="Table22 2">
          <x15:rangePr sourceName="_xlcn.WorksheetConnection_Excelpractice3.xlsxTable2221"/>
        </x15:connection>
      </ext>
    </extLst>
  </connection>
  <connection id="17" xr16:uid="{2B05857A-1F02-4AB8-81E6-A384EF6B2E19}" name="WorksheetConnection_Excel practice3.xlsx!Table223" type="102" refreshedVersion="8" minRefreshableVersion="5">
    <extLst>
      <ext xmlns:x15="http://schemas.microsoft.com/office/spreadsheetml/2010/11/main" uri="{DE250136-89BD-433C-8126-D09CA5730AF9}">
        <x15:connection id="Table22 3">
          <x15:rangePr sourceName="_xlcn.WorksheetConnection_Excelpractice3.xlsxTable2231"/>
        </x15:connection>
      </ext>
    </extLst>
  </connection>
  <connection id="18" xr16:uid="{E9FA3736-0786-45F8-8790-9A7BDC107693}" name="WorksheetConnection_Excel practice3.xlsx!Table224" type="102" refreshedVersion="8" minRefreshableVersion="5">
    <extLst>
      <ext xmlns:x15="http://schemas.microsoft.com/office/spreadsheetml/2010/11/main" uri="{DE250136-89BD-433C-8126-D09CA5730AF9}">
        <x15:connection id="Table22 4">
          <x15:rangePr sourceName="_xlcn.WorksheetConnection_Excelpractice3.xlsxTable2241"/>
        </x15:connection>
      </ext>
    </extLst>
  </connection>
  <connection id="19" xr16:uid="{0A218C8D-5E9A-4610-867A-0059B9D09800}" name="WorksheetConnection_Excel practice3.xlsx!Table225" type="102" refreshedVersion="8" minRefreshableVersion="5">
    <extLst>
      <ext xmlns:x15="http://schemas.microsoft.com/office/spreadsheetml/2010/11/main" uri="{DE250136-89BD-433C-8126-D09CA5730AF9}">
        <x15:connection id="Table22 5">
          <x15:rangePr sourceName="_xlcn.WorksheetConnection_Excelpractice3.xlsxTable225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<sst xmlns="http://schemas.openxmlformats.org/spreadsheetml/2006/main" count="6835" uniqueCount="474">
  <si>
    <t>Date</t>
  </si>
  <si>
    <t>Product</t>
  </si>
  <si>
    <t>Category</t>
  </si>
  <si>
    <t>Region</t>
  </si>
  <si>
    <t>Sales Amount</t>
  </si>
  <si>
    <t>Quantity Sold</t>
  </si>
  <si>
    <t>2025-02-09</t>
  </si>
  <si>
    <t>2025-03-18</t>
  </si>
  <si>
    <t>2025-01-19</t>
  </si>
  <si>
    <t>2025-02-06</t>
  </si>
  <si>
    <t>2025-02-05</t>
  </si>
  <si>
    <t>2025-04-28</t>
  </si>
  <si>
    <t>2025-03-04</t>
  </si>
  <si>
    <t>2025-04-17</t>
  </si>
  <si>
    <t>2025-03-19</t>
  </si>
  <si>
    <t>2025-05-01</t>
  </si>
  <si>
    <t>2025-01-20</t>
  </si>
  <si>
    <t>2025-03-23</t>
  </si>
  <si>
    <t>2025-02-11</t>
  </si>
  <si>
    <t>2025-04-20</t>
  </si>
  <si>
    <t>2025-03-06</t>
  </si>
  <si>
    <t>2025-03-25</t>
  </si>
  <si>
    <t>2025-03-16</t>
  </si>
  <si>
    <t>2025-03-05</t>
  </si>
  <si>
    <t>2025-02-15</t>
  </si>
  <si>
    <t>2025-01-24</t>
  </si>
  <si>
    <t>2025-01-06</t>
  </si>
  <si>
    <t>2025-01-03</t>
  </si>
  <si>
    <t>2025-02-13</t>
  </si>
  <si>
    <t>2025-01-22</t>
  </si>
  <si>
    <t>2025-03-28</t>
  </si>
  <si>
    <t>2025-01-13</t>
  </si>
  <si>
    <t>2025-02-28</t>
  </si>
  <si>
    <t>2025-04-15</t>
  </si>
  <si>
    <t>2025-02-04</t>
  </si>
  <si>
    <t>2025-03-31</t>
  </si>
  <si>
    <t>2025-02-26</t>
  </si>
  <si>
    <t>2025-04-01</t>
  </si>
  <si>
    <t>2025-04-02</t>
  </si>
  <si>
    <t>2025-02-16</t>
  </si>
  <si>
    <t>2025-03-09</t>
  </si>
  <si>
    <t>2025-02-07</t>
  </si>
  <si>
    <t>2025-02-17</t>
  </si>
  <si>
    <t>2025-03-12</t>
  </si>
  <si>
    <t>2025-03-03</t>
  </si>
  <si>
    <t>2025-03-30</t>
  </si>
  <si>
    <t>2025-02-19</t>
  </si>
  <si>
    <t>2025-04-07</t>
  </si>
  <si>
    <t>2025-04-19</t>
  </si>
  <si>
    <t>2025-01-01</t>
  </si>
  <si>
    <t>2025-02-25</t>
  </si>
  <si>
    <t>2025-01-12</t>
  </si>
  <si>
    <t>2025-02-14</t>
  </si>
  <si>
    <t>2025-01-29</t>
  </si>
  <si>
    <t>2025-02-18</t>
  </si>
  <si>
    <t>2025-03-08</t>
  </si>
  <si>
    <t>2025-01-02</t>
  </si>
  <si>
    <t>2025-01-23</t>
  </si>
  <si>
    <t>2025-02-01</t>
  </si>
  <si>
    <t>2025-03-11</t>
  </si>
  <si>
    <t>2025-02-22</t>
  </si>
  <si>
    <t>2025-04-14</t>
  </si>
  <si>
    <t>2025-01-09</t>
  </si>
  <si>
    <t>2025-04-09</t>
  </si>
  <si>
    <t>2025-01-08</t>
  </si>
  <si>
    <t>2025-02-02</t>
  </si>
  <si>
    <t>2025-01-10</t>
  </si>
  <si>
    <t>2025-02-24</t>
  </si>
  <si>
    <t>2025-01-11</t>
  </si>
  <si>
    <t>2025-04-30</t>
  </si>
  <si>
    <t>2025-03-15</t>
  </si>
  <si>
    <t>2025-04-18</t>
  </si>
  <si>
    <t>2025-02-23</t>
  </si>
  <si>
    <t>Sneakers</t>
  </si>
  <si>
    <t>Smartphone</t>
  </si>
  <si>
    <t>Shirt</t>
  </si>
  <si>
    <t>Microwave</t>
  </si>
  <si>
    <t>Trousers</t>
  </si>
  <si>
    <t>Blender</t>
  </si>
  <si>
    <t>Boots</t>
  </si>
  <si>
    <t>Laptop</t>
  </si>
  <si>
    <t>Footwear</t>
  </si>
  <si>
    <t>Electronics</t>
  </si>
  <si>
    <t>Clothing</t>
  </si>
  <si>
    <t>Appliances</t>
  </si>
  <si>
    <t>East</t>
  </si>
  <si>
    <t>South</t>
  </si>
  <si>
    <t>West</t>
  </si>
  <si>
    <t>North</t>
  </si>
  <si>
    <t>sum</t>
  </si>
  <si>
    <t>sqrt</t>
  </si>
  <si>
    <t>roung</t>
  </si>
  <si>
    <t>left</t>
  </si>
  <si>
    <t>right</t>
  </si>
  <si>
    <t>average</t>
  </si>
  <si>
    <t>min</t>
  </si>
  <si>
    <t>max</t>
  </si>
  <si>
    <t>median</t>
  </si>
  <si>
    <t>rank</t>
  </si>
  <si>
    <t>len</t>
  </si>
  <si>
    <t>santhosh</t>
  </si>
  <si>
    <t>vicky</t>
  </si>
  <si>
    <t>nandha</t>
  </si>
  <si>
    <t>uday</t>
  </si>
  <si>
    <t>vignesh</t>
  </si>
  <si>
    <t>meadian</t>
  </si>
  <si>
    <t>round avg</t>
  </si>
  <si>
    <t>first letter</t>
  </si>
  <si>
    <t>lastletter</t>
  </si>
  <si>
    <t>len of names</t>
  </si>
  <si>
    <t>rank avg</t>
  </si>
  <si>
    <t>dense rank</t>
  </si>
  <si>
    <t>filter by firstletter</t>
  </si>
  <si>
    <t>5+1</t>
  </si>
  <si>
    <t>networkdays</t>
  </si>
  <si>
    <t>today</t>
  </si>
  <si>
    <t>eomonth</t>
  </si>
  <si>
    <t>NETWORKDAYS</t>
  </si>
  <si>
    <t>EOMONTH</t>
  </si>
  <si>
    <t>YEAR</t>
  </si>
  <si>
    <t>MONTH</t>
  </si>
  <si>
    <t>DAY</t>
  </si>
  <si>
    <t>TODAY()</t>
  </si>
  <si>
    <t>WEEKDAY</t>
  </si>
  <si>
    <t>DATE</t>
  </si>
  <si>
    <t>find</t>
  </si>
  <si>
    <t>A</t>
  </si>
  <si>
    <t>P</t>
  </si>
  <si>
    <t>L</t>
  </si>
  <si>
    <t>E</t>
  </si>
  <si>
    <t>APPLE</t>
  </si>
  <si>
    <t>replace</t>
  </si>
  <si>
    <t>substitute</t>
  </si>
  <si>
    <t>mid</t>
  </si>
  <si>
    <t>search</t>
  </si>
  <si>
    <t>CONCAT</t>
  </si>
  <si>
    <t>ABC-2026-001</t>
  </si>
  <si>
    <t>SANTHOSH</t>
  </si>
  <si>
    <t xml:space="preserve"> SANTHU</t>
  </si>
  <si>
    <t>FIRSTNAME</t>
  </si>
  <si>
    <t>LASTNAME</t>
  </si>
  <si>
    <t>SHIV</t>
  </si>
  <si>
    <t>KESHAV</t>
  </si>
  <si>
    <t>ASHOK</t>
  </si>
  <si>
    <t>G</t>
  </si>
  <si>
    <t>FULLNAME</t>
  </si>
  <si>
    <t>UDAY</t>
  </si>
  <si>
    <t>KIRAN</t>
  </si>
  <si>
    <t>find--&gt; Case Sensitive</t>
  </si>
  <si>
    <t>Search--&gt;Not Case Sensitive</t>
  </si>
  <si>
    <t>sub</t>
  </si>
  <si>
    <t>product</t>
  </si>
  <si>
    <t>fact</t>
  </si>
  <si>
    <t>roundup</t>
  </si>
  <si>
    <t>roungdown</t>
  </si>
  <si>
    <t>sumifs</t>
  </si>
  <si>
    <t>mod</t>
  </si>
  <si>
    <t>sumif</t>
  </si>
  <si>
    <t>total sum</t>
  </si>
  <si>
    <t>tt sum</t>
  </si>
  <si>
    <t>total avg</t>
  </si>
  <si>
    <t>avgif</t>
  </si>
  <si>
    <t>avgifs</t>
  </si>
  <si>
    <t>Basic Formulas</t>
  </si>
  <si>
    <t>Median</t>
  </si>
  <si>
    <t>Left</t>
  </si>
  <si>
    <t>Right</t>
  </si>
  <si>
    <t>round</t>
  </si>
  <si>
    <t>Date Functions</t>
  </si>
  <si>
    <t>Date()</t>
  </si>
  <si>
    <t>NERWORDAYS()</t>
  </si>
  <si>
    <t>YEAR()</t>
  </si>
  <si>
    <t>MONTH()</t>
  </si>
  <si>
    <t>DAY()</t>
  </si>
  <si>
    <t>WEEKDAY()</t>
  </si>
  <si>
    <t>EOMONTH()</t>
  </si>
  <si>
    <t>String Funcitons</t>
  </si>
  <si>
    <t>Find</t>
  </si>
  <si>
    <t>Search</t>
  </si>
  <si>
    <t>Replace</t>
  </si>
  <si>
    <t>Sustitute</t>
  </si>
  <si>
    <t>Concat</t>
  </si>
  <si>
    <t>Mid</t>
  </si>
  <si>
    <t>math functions</t>
  </si>
  <si>
    <t>SQRT</t>
  </si>
  <si>
    <t>Fact</t>
  </si>
  <si>
    <t>MOD</t>
  </si>
  <si>
    <t>Roundup</t>
  </si>
  <si>
    <t>Rounddown</t>
  </si>
  <si>
    <t>avg</t>
  </si>
  <si>
    <t>Hloookup</t>
  </si>
  <si>
    <t>Vlookup</t>
  </si>
  <si>
    <t>Xlookup</t>
  </si>
  <si>
    <t>Index</t>
  </si>
  <si>
    <t>Match</t>
  </si>
  <si>
    <t>Index+Match</t>
  </si>
  <si>
    <t>month</t>
  </si>
  <si>
    <t>jan</t>
  </si>
  <si>
    <t>feb</t>
  </si>
  <si>
    <t>mar</t>
  </si>
  <si>
    <t>apr</t>
  </si>
  <si>
    <t>type</t>
  </si>
  <si>
    <t>footwear</t>
  </si>
  <si>
    <t>clothing</t>
  </si>
  <si>
    <t>appliances</t>
  </si>
  <si>
    <t>sales</t>
  </si>
  <si>
    <t>Hlookup</t>
  </si>
  <si>
    <t>electronics</t>
  </si>
  <si>
    <t>match</t>
  </si>
  <si>
    <t>shirt</t>
  </si>
  <si>
    <t>microwave</t>
  </si>
  <si>
    <t>east</t>
  </si>
  <si>
    <t>west</t>
  </si>
  <si>
    <t>north</t>
  </si>
  <si>
    <t>south</t>
  </si>
  <si>
    <t>name</t>
  </si>
  <si>
    <t>marks</t>
  </si>
  <si>
    <t>dept</t>
  </si>
  <si>
    <t>B</t>
  </si>
  <si>
    <t>C</t>
  </si>
  <si>
    <t>D</t>
  </si>
  <si>
    <t>CSD</t>
  </si>
  <si>
    <t>CSE</t>
  </si>
  <si>
    <t>AI</t>
  </si>
  <si>
    <t>CST</t>
  </si>
  <si>
    <t>top</t>
  </si>
  <si>
    <t>xlookup</t>
  </si>
  <si>
    <t>Lookups</t>
  </si>
  <si>
    <t>Vlooup</t>
  </si>
  <si>
    <t>Index + Match</t>
  </si>
  <si>
    <t>Index+filter</t>
  </si>
  <si>
    <t>large</t>
  </si>
  <si>
    <t>unique</t>
  </si>
  <si>
    <t>sort_Take</t>
  </si>
  <si>
    <t>choose</t>
  </si>
  <si>
    <t xml:space="preserve"> </t>
  </si>
  <si>
    <t>index+filter</t>
  </si>
  <si>
    <t>AND</t>
  </si>
  <si>
    <t>OR</t>
  </si>
  <si>
    <t>NOT</t>
  </si>
  <si>
    <t>ISERROR</t>
  </si>
  <si>
    <t>ISNUMBER</t>
  </si>
  <si>
    <t>ISBLANK</t>
  </si>
  <si>
    <t>IFERROR</t>
  </si>
  <si>
    <t>IF</t>
  </si>
  <si>
    <t>IFELSE</t>
  </si>
  <si>
    <t>Nested If</t>
  </si>
  <si>
    <t>Product Sold(AND)</t>
  </si>
  <si>
    <t>Product Sold(OR)</t>
  </si>
  <si>
    <t>XOR</t>
  </si>
  <si>
    <t>AND+IF</t>
  </si>
  <si>
    <t>Person</t>
  </si>
  <si>
    <t>Not Full</t>
  </si>
  <si>
    <t>Full</t>
  </si>
  <si>
    <t>Switch</t>
  </si>
  <si>
    <t>count</t>
  </si>
  <si>
    <t>counta</t>
  </si>
  <si>
    <t>countblank</t>
  </si>
  <si>
    <t>countifs</t>
  </si>
  <si>
    <t>mean</t>
  </si>
  <si>
    <t>mode</t>
  </si>
  <si>
    <t>correl</t>
  </si>
  <si>
    <t>stdev</t>
  </si>
  <si>
    <t>countif</t>
  </si>
  <si>
    <t>var</t>
  </si>
  <si>
    <t>Quantity</t>
  </si>
  <si>
    <t>sample</t>
  </si>
  <si>
    <t>population</t>
  </si>
  <si>
    <t>Region_encode</t>
  </si>
  <si>
    <t>company</t>
  </si>
  <si>
    <t>Sales</t>
  </si>
  <si>
    <t>Cognizant</t>
  </si>
  <si>
    <t>Google</t>
  </si>
  <si>
    <t>Amazon</t>
  </si>
  <si>
    <t>Netflix</t>
  </si>
  <si>
    <t>Logo</t>
  </si>
  <si>
    <t>Formatting</t>
  </si>
  <si>
    <t>Number</t>
  </si>
  <si>
    <t>Alignment</t>
  </si>
  <si>
    <t>Font</t>
  </si>
  <si>
    <t>Border</t>
  </si>
  <si>
    <t>Fill</t>
  </si>
  <si>
    <t>`</t>
  </si>
  <si>
    <t xml:space="preserve">                                          </t>
  </si>
  <si>
    <t>hide 0's</t>
  </si>
  <si>
    <t>hide negatives</t>
  </si>
  <si>
    <t>hide positives</t>
  </si>
  <si>
    <t>positive with name</t>
  </si>
  <si>
    <t>negative and value</t>
  </si>
  <si>
    <t>#.0</t>
  </si>
  <si>
    <t>#.00</t>
  </si>
  <si>
    <t>#.000</t>
  </si>
  <si>
    <t>For Decimal Places</t>
  </si>
  <si>
    <t>0.0'</t>
  </si>
  <si>
    <t>0.00'</t>
  </si>
  <si>
    <t>custom formatting</t>
  </si>
  <si>
    <t>#,##0;-#,##0;#,##0;</t>
  </si>
  <si>
    <t>#,##0"Posii";-#,##0;#,##0;</t>
  </si>
  <si>
    <t>#,##0;-#,##0"Nega";#,##0;</t>
  </si>
  <si>
    <t>to hide blank the respective section.</t>
  </si>
  <si>
    <t>conditional Formating</t>
  </si>
  <si>
    <t>MIN</t>
  </si>
  <si>
    <t>MAX</t>
  </si>
  <si>
    <t>correlation</t>
  </si>
  <si>
    <t>ANOVA</t>
  </si>
  <si>
    <t>Anova: Single Factor</t>
  </si>
  <si>
    <t>SUMMARY</t>
  </si>
  <si>
    <t>Groups</t>
  </si>
  <si>
    <t>Count</t>
  </si>
  <si>
    <t>Sum</t>
  </si>
  <si>
    <t>Average</t>
  </si>
  <si>
    <t>Variance</t>
  </si>
  <si>
    <t>Source of Variation</t>
  </si>
  <si>
    <t>SS</t>
  </si>
  <si>
    <t>df</t>
  </si>
  <si>
    <t>MS</t>
  </si>
  <si>
    <t>F</t>
  </si>
  <si>
    <t>P-value</t>
  </si>
  <si>
    <t>F crit</t>
  </si>
  <si>
    <t>Between Groups</t>
  </si>
  <si>
    <t>Within Groups</t>
  </si>
  <si>
    <t>Total</t>
  </si>
  <si>
    <t>Anova: Two-Factor Without Replication</t>
  </si>
  <si>
    <t>Rows</t>
  </si>
  <si>
    <t>Columns</t>
  </si>
  <si>
    <t>Error</t>
  </si>
  <si>
    <t>Largest(1)</t>
  </si>
  <si>
    <t>Smallest(1)</t>
  </si>
  <si>
    <t>Confidence Level(95.0%)</t>
  </si>
  <si>
    <t>Mean</t>
  </si>
  <si>
    <t>Standard Error</t>
  </si>
  <si>
    <t>Mode</t>
  </si>
  <si>
    <t>Standard Deviation</t>
  </si>
  <si>
    <t>Sample Variance</t>
  </si>
  <si>
    <t>Kurtosis</t>
  </si>
  <si>
    <t>Skewness</t>
  </si>
  <si>
    <t>Range</t>
  </si>
  <si>
    <t>Minimum</t>
  </si>
  <si>
    <t>Maximum</t>
  </si>
  <si>
    <t>Descriptive Statistics</t>
  </si>
  <si>
    <t>Region2</t>
  </si>
  <si>
    <t>Anova: Two-Factor With Replication</t>
  </si>
  <si>
    <t>Sample</t>
  </si>
  <si>
    <t>Interaction</t>
  </si>
  <si>
    <t>Within</t>
  </si>
  <si>
    <t>SUMMARY OUTPUT</t>
  </si>
  <si>
    <t>Regression Statistics</t>
  </si>
  <si>
    <t>Multiple R</t>
  </si>
  <si>
    <t>R Square</t>
  </si>
  <si>
    <t>Adjusted R Square</t>
  </si>
  <si>
    <t>Observations</t>
  </si>
  <si>
    <t>Regression</t>
  </si>
  <si>
    <t>Residual</t>
  </si>
  <si>
    <t>Intercept</t>
  </si>
  <si>
    <t>Significance F</t>
  </si>
  <si>
    <t>Coefficients</t>
  </si>
  <si>
    <t>t Stat</t>
  </si>
  <si>
    <t>Lower 95%</t>
  </si>
  <si>
    <t>Upper 95%</t>
  </si>
  <si>
    <t>Lower 95.0%</t>
  </si>
  <si>
    <t>Upper 95.0%</t>
  </si>
  <si>
    <t>RESIDUAL OUTPUT</t>
  </si>
  <si>
    <t>Observation</t>
  </si>
  <si>
    <t>Predicted 1</t>
  </si>
  <si>
    <t>Residuals</t>
  </si>
  <si>
    <t>PROBABILITY OUTPUT</t>
  </si>
  <si>
    <t>Percentile</t>
  </si>
  <si>
    <t>Row Labels</t>
  </si>
  <si>
    <t>Grand Total</t>
  </si>
  <si>
    <t>Sum of Sales Amount</t>
  </si>
  <si>
    <t>Sum of Quantity Sold</t>
  </si>
  <si>
    <t>Column Labels</t>
  </si>
  <si>
    <t>p1</t>
  </si>
  <si>
    <t>p2</t>
  </si>
  <si>
    <t>p3</t>
  </si>
  <si>
    <t>item1</t>
  </si>
  <si>
    <t>item2</t>
  </si>
  <si>
    <t>item3</t>
  </si>
  <si>
    <t>item4</t>
  </si>
  <si>
    <t>item5</t>
  </si>
  <si>
    <t>item6</t>
  </si>
  <si>
    <t>item7</t>
  </si>
  <si>
    <t>item8</t>
  </si>
  <si>
    <t>item9</t>
  </si>
  <si>
    <t>item10</t>
  </si>
  <si>
    <t>regions</t>
  </si>
  <si>
    <t>Items</t>
  </si>
  <si>
    <t>F&gt;F critic</t>
  </si>
  <si>
    <t>Accept H0</t>
  </si>
  <si>
    <t>p-value&lt;=0.05</t>
  </si>
  <si>
    <t>Reject H0</t>
  </si>
  <si>
    <t>p-value&lt;0.05</t>
  </si>
  <si>
    <t>Platforms</t>
  </si>
  <si>
    <t>bt</t>
  </si>
  <si>
    <t>at</t>
  </si>
  <si>
    <t>differ</t>
  </si>
  <si>
    <t>A Practical Example: Coin Flipping</t>
  </si>
  <si>
    <t>Imagine you are testing if a coin is fair. A fair coin lands on heads \(50\%\) of the time (\(H_0: p = 0.5\)).</t>
  </si>
  <si>
    <t>One-Tailed Test: If you strongly suspect the coin is rigged to land on heads more often, your hypothesis is \(H_1: p &gt; 0.5\). You only reject the null if the coin lands on heads significantly more than \(50\%\) of the time. [1]</t>
  </si>
  <si>
    <r>
      <t>Two-Tailed Test:</t>
    </r>
    <r>
      <rPr>
        <sz val="12"/>
        <color theme="1"/>
        <rFont val="Arial"/>
        <family val="2"/>
      </rPr>
      <t xml:space="preserve"> If you just want to know if the coin is </t>
    </r>
    <r>
      <rPr>
        <i/>
        <sz val="12"/>
        <color theme="1"/>
        <rFont val="Arial"/>
        <family val="2"/>
      </rPr>
      <t>rigged in general</t>
    </r>
    <r>
      <rPr>
        <sz val="12"/>
        <color theme="1"/>
        <rFont val="Arial"/>
        <family val="2"/>
      </rPr>
      <t>, your hypothesis is \(H_1: p \neq 0.5\). You will reject the null hypothesis if the coin lands on heads far too often (rigged) OR if it lands on heads far too rarely (also rigged).</t>
    </r>
  </si>
  <si>
    <t>age</t>
  </si>
  <si>
    <t>Column1</t>
  </si>
  <si>
    <t>bin</t>
  </si>
  <si>
    <t>450-500</t>
  </si>
  <si>
    <t>400-450</t>
  </si>
  <si>
    <t>Above 500</t>
  </si>
  <si>
    <t>February</t>
  </si>
  <si>
    <t>March</t>
  </si>
  <si>
    <t>January</t>
  </si>
  <si>
    <t>April</t>
  </si>
  <si>
    <t>May</t>
  </si>
  <si>
    <t>average sales</t>
  </si>
  <si>
    <t>sum of sales</t>
  </si>
  <si>
    <t>Table1[Date]</t>
  </si>
  <si>
    <t>Table1[Product]</t>
  </si>
  <si>
    <t>Table1[Category]</t>
  </si>
  <si>
    <t>Table1[Region]</t>
  </si>
  <si>
    <t>Table1[Sales Amount]</t>
  </si>
  <si>
    <t>Table1[Quantity Sold]</t>
  </si>
  <si>
    <t>Table1[bin]</t>
  </si>
  <si>
    <t>Table1[Column1]</t>
  </si>
  <si>
    <t>Table1[age]</t>
  </si>
  <si>
    <t>Data returned for sum of sales (First 1000 rows).</t>
  </si>
  <si>
    <t>Data returned for Sum of Quantity Sold, East, Appliances (First 1000 rows).</t>
  </si>
  <si>
    <t>Total Quantity Sold</t>
  </si>
  <si>
    <t>Average Quantity Sold</t>
  </si>
  <si>
    <t>Error Checking</t>
  </si>
  <si>
    <t>text to data</t>
  </si>
  <si>
    <t>data valiatin</t>
  </si>
  <si>
    <t>merge</t>
  </si>
  <si>
    <t>flter and sorting</t>
  </si>
  <si>
    <t>wrap text</t>
  </si>
  <si>
    <t>shiv</t>
  </si>
  <si>
    <t>krishna</t>
  </si>
  <si>
    <t>data validation</t>
  </si>
  <si>
    <t>3-122,b ramsagaram,beluguppa,atp.</t>
  </si>
  <si>
    <t>merge center</t>
  </si>
  <si>
    <t>error checking</t>
  </si>
  <si>
    <t>3-122,</t>
  </si>
  <si>
    <t>Qty</t>
  </si>
  <si>
    <t>Price</t>
  </si>
  <si>
    <t>Cost</t>
  </si>
  <si>
    <t>SellingPrice</t>
  </si>
  <si>
    <t>Profit</t>
  </si>
  <si>
    <t>Profit(%)</t>
  </si>
  <si>
    <t>Column2</t>
  </si>
  <si>
    <t>gender</t>
  </si>
  <si>
    <t>M</t>
  </si>
  <si>
    <t>krish</t>
  </si>
  <si>
    <t>Scenario</t>
  </si>
  <si>
    <t>Goal Seek</t>
  </si>
  <si>
    <t>Data Table</t>
  </si>
  <si>
    <t>abc,500</t>
  </si>
  <si>
    <t>santho</t>
  </si>
  <si>
    <t>abc</t>
  </si>
  <si>
    <t>What-If Analysis</t>
  </si>
  <si>
    <t>names</t>
  </si>
  <si>
    <t>s1</t>
  </si>
  <si>
    <t>project</t>
  </si>
  <si>
    <t>pct</t>
  </si>
  <si>
    <t>goal seek</t>
  </si>
  <si>
    <t>Macros</t>
  </si>
  <si>
    <t>1.Absolute refrence</t>
  </si>
  <si>
    <t>2.relative reference.</t>
  </si>
  <si>
    <t>Sum of Sales</t>
  </si>
  <si>
    <t>category</t>
  </si>
  <si>
    <t>8</t>
  </si>
  <si>
    <t>6962</t>
  </si>
  <si>
    <t>top 5 sales</t>
  </si>
  <si>
    <t>unique categories</t>
  </si>
  <si>
    <t>Mobile</t>
  </si>
  <si>
    <t>unique product</t>
  </si>
  <si>
    <t>Cell</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</si>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</sst>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4" formatCode="_ &quot;₹&quot;\ * #,##0.00_ ;_ &quot;₹&quot;\ * \-#,##0.00_ ;_ &quot;₹&quot;\ * &quot;-&quot;??_ ;_ @_ "/>
    <numFmt numFmtId="164" formatCode="[$$-409]#,##0.00"/>
    <numFmt numFmtId="165" formatCode="[$Rs.-849]#,##0.00"/>
    <numFmt numFmtId="166" formatCode="###\-###"/>
    <numFmt numFmtId="167" formatCode="\(###\)\-###\-####"/>
    <numFmt numFmtId="168" formatCode="#,##0;\-#,##0;&quot;negative&quot;"/>
    <numFmt numFmtId="169" formatCode="#,##0;&quot;negtaive&quot;"/>
    <numFmt numFmtId="170" formatCode="\-##,#0#,##0,&quot;negtaive&quot;"/>
    <numFmt numFmtId="171" formatCode="0.0"/>
    <numFmt numFmtId="172" formatCode="#.0"/>
    <numFmt numFmtId="173" formatCode="#,#00&quot;positive&quot;;\-#,##0;"/>
    <numFmt numFmtId="174" formatCode="#.00"/>
    <numFmt numFmtId="175" formatCode="#.000"/>
    <numFmt numFmtId="176" formatCode="#,##0&quot;Positive&quot;;\-#,##0;#,##0;"/>
    <numFmt numFmtId="177" formatCode="[$-409]d/mmm/yyyy;@"/>
    <numFmt numFmtId="178" formatCode="@\ &quot;*&quot;"/>
  </numFmts>
  <fonts count="21" x14ac:knownFonts="1">
    <font>
      <sz val="11"/>
      <color theme="1"/>
      <name val="Calibri"/>
      <family val="2"/>
      <scheme val="minor"/>
    </font>
    <font>
      <b/>
      <sz val="11"/>
      <color theme="1"/>
      <name val="Calibri"/>
      <family val="2"/>
      <scheme val="minor"/>
    </font>
    <font>
      <b/>
      <sz val="11"/>
      <color theme="1"/>
      <name val="Calibri"/>
      <family val="2"/>
      <scheme val="minor"/>
    </font>
    <font>
      <sz val="8"/>
      <name val="Calibri"/>
      <family val="2"/>
      <scheme val="minor"/>
    </font>
    <font>
      <b/>
      <sz val="11"/>
      <color theme="0"/>
      <name val="Calibri"/>
      <family val="2"/>
      <scheme val="minor"/>
    </font>
    <font>
      <b/>
      <sz val="14"/>
      <color theme="0"/>
      <name val="Calibri"/>
      <family val="2"/>
      <scheme val="minor"/>
    </font>
    <font>
      <sz val="14"/>
      <color theme="1"/>
      <name val="Calibri"/>
      <family val="2"/>
      <scheme val="minor"/>
    </font>
    <font>
      <sz val="18"/>
      <color theme="1"/>
      <name val="Calibri"/>
      <family val="2"/>
      <scheme val="minor"/>
    </font>
    <font>
      <sz val="20"/>
      <color theme="1"/>
      <name val="Calibri"/>
      <family val="2"/>
      <scheme val="minor"/>
    </font>
    <font>
      <sz val="20"/>
      <color rgb="FFFF0000"/>
      <name val="Calibri"/>
      <family val="2"/>
      <scheme val="minor"/>
    </font>
    <font>
      <b/>
      <sz val="14"/>
      <color theme="1"/>
      <name val="Calibri"/>
      <family val="2"/>
      <scheme val="minor"/>
    </font>
    <font>
      <b/>
      <sz val="12"/>
      <color theme="1"/>
      <name val="Calibri"/>
      <family val="2"/>
      <scheme val="minor"/>
    </font>
    <font>
      <i/>
      <sz val="11"/>
      <color theme="1"/>
      <name val="Calibri"/>
      <family val="2"/>
      <scheme val="minor"/>
    </font>
    <font>
      <i/>
      <sz val="10"/>
      <color theme="1"/>
      <name val="Calibri"/>
      <family val="2"/>
      <scheme val="minor"/>
    </font>
    <font>
      <sz val="12"/>
      <color theme="1"/>
      <name val="Arial"/>
      <family val="2"/>
    </font>
    <font>
      <sz val="15"/>
      <color theme="1"/>
      <name val="Arial"/>
      <family val="2"/>
    </font>
    <font>
      <sz val="12"/>
      <color theme="1"/>
      <name val="Arial"/>
      <family val="2"/>
    </font>
    <font>
      <i/>
      <sz val="12"/>
      <color theme="1"/>
      <name val="Arial"/>
      <family val="2"/>
    </font>
    <font>
      <u/>
      <sz val="11"/>
      <color theme="10"/>
      <name val="Calibri"/>
      <family val="2"/>
      <scheme val="minor"/>
    </font>
    <font>
      <sz val="11"/>
      <color theme="1"/>
      <name val="Calibri"/>
      <family val="2"/>
      <scheme val="minor"/>
    </font>
    <font>
      <sz val="28"/>
      <color theme="1"/>
      <name val="Calibri"/>
      <family val="2"/>
      <scheme val="minor"/>
    </font>
  </fonts>
  <fills count="35">
    <fill>
      <patternFill patternType="none"/>
    </fill>
    <fill>
      <patternFill patternType="gray125"/>
    </fill>
    <fill>
      <patternFill patternType="solid">
        <fgColor theme="9" tint="0.79998168889431442"/>
        <bgColor theme="9" tint="0.79998168889431442"/>
      </patternFill>
    </fill>
    <fill>
      <patternFill patternType="solid">
        <fgColor rgb="FFFFC000"/>
        <bgColor indexed="64"/>
      </patternFill>
    </fill>
    <fill>
      <patternFill patternType="solid">
        <fgColor theme="5"/>
        <bgColor theme="5"/>
      </patternFill>
    </fill>
    <fill>
      <patternFill patternType="solid">
        <fgColor rgb="FFFFFF00"/>
        <bgColor indexed="64"/>
      </patternFill>
    </fill>
    <fill>
      <patternFill patternType="solid">
        <fgColor rgb="FF92D050"/>
        <bgColor indexed="64"/>
      </patternFill>
    </fill>
    <fill>
      <patternFill patternType="solid">
        <fgColor theme="7"/>
        <bgColor theme="7"/>
      </patternFill>
    </fill>
    <fill>
      <patternFill patternType="solid">
        <fgColor rgb="FF00B0F0"/>
        <bgColor indexed="64"/>
      </patternFill>
    </fill>
    <fill>
      <patternFill patternType="solid">
        <fgColor theme="5"/>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6"/>
        <bgColor theme="6"/>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8"/>
        <bgColor theme="8"/>
      </patternFill>
    </fill>
    <fill>
      <patternFill patternType="solid">
        <fgColor theme="6"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0" tint="-0.14999847407452621"/>
        <bgColor theme="0" tint="-0.14999847407452621"/>
      </patternFill>
    </fill>
    <fill>
      <patternFill patternType="solid">
        <fgColor theme="6" tint="0.59996337778862885"/>
        <bgColor theme="5"/>
      </patternFill>
    </fill>
    <fill>
      <patternFill patternType="solid">
        <fgColor theme="6" tint="0.59996337778862885"/>
        <bgColor theme="0" tint="-0.14999847407452621"/>
      </patternFill>
    </fill>
    <fill>
      <patternFill patternType="solid">
        <fgColor theme="6" tint="0.59996337778862885"/>
        <bgColor indexed="64"/>
      </patternFill>
    </fill>
    <fill>
      <patternFill patternType="solid">
        <fgColor theme="1"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rgb="FFFFC000"/>
        <bgColor theme="4" tint="0.79995117038483843"/>
      </patternFill>
    </fill>
  </fills>
  <borders count="27">
    <border>
      <left/>
      <right/>
      <top/>
      <bottom/>
      <diagonal/>
    </border>
    <border>
      <left style="thin">
        <color auto="1"/>
      </left>
      <right style="thin">
        <color auto="1"/>
      </right>
      <top/>
      <bottom style="thin">
        <color auto="1"/>
      </bottom>
      <diagonal/>
    </border>
    <border>
      <left style="thin">
        <color theme="9" tint="0.39997558519241921"/>
      </left>
      <right/>
      <top style="thin">
        <color theme="9" tint="0.39997558519241921"/>
      </top>
      <bottom style="thin">
        <color theme="9" tint="0.39997558519241921"/>
      </bottom>
      <diagonal/>
    </border>
    <border>
      <left/>
      <right style="thin">
        <color theme="0"/>
      </right>
      <top/>
      <bottom style="thick">
        <color theme="0"/>
      </bottom>
      <diagonal/>
    </border>
    <border>
      <left/>
      <right/>
      <top style="thin">
        <color theme="8" tint="0.39997558519241921"/>
      </top>
      <bottom style="thin">
        <color theme="8" tint="0.39997558519241921"/>
      </bottom>
      <diagonal/>
    </border>
    <border>
      <left style="thin">
        <color theme="0"/>
      </left>
      <right style="thin">
        <color theme="0"/>
      </right>
      <top/>
      <bottom style="thick">
        <color theme="0"/>
      </bottom>
      <diagonal/>
    </border>
    <border>
      <left style="thin">
        <color auto="1"/>
      </left>
      <right style="thin">
        <color auto="1"/>
      </right>
      <top style="thin">
        <color auto="1"/>
      </top>
      <bottom style="thin">
        <color auto="1"/>
      </bottom>
      <diagonal/>
    </border>
    <border>
      <left/>
      <right/>
      <top style="medium">
        <color theme="1"/>
      </top>
      <bottom style="medium">
        <color theme="1"/>
      </bottom>
      <diagonal/>
    </border>
    <border>
      <left/>
      <right/>
      <top/>
      <bottom style="medium">
        <color indexed="64"/>
      </bottom>
      <diagonal/>
    </border>
    <border>
      <left/>
      <right/>
      <top style="medium">
        <color indexed="64"/>
      </top>
      <bottom style="thin">
        <color indexed="64"/>
      </bottom>
      <diagonal/>
    </border>
    <border>
      <left/>
      <right/>
      <top/>
      <bottom style="medium">
        <color indexed="18"/>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auto="1"/>
      </left>
      <right/>
      <top style="thin">
        <color auto="1"/>
      </top>
      <bottom/>
      <diagonal/>
    </border>
    <border>
      <left/>
      <right style="thin">
        <color auto="1"/>
      </right>
      <top/>
      <bottom/>
      <diagonal/>
    </border>
    <border>
      <left/>
      <right/>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3">
    <xf numFmtId="0" fontId="0" fillId="0" borderId="0"/>
    <xf numFmtId="0" fontId="18" fillId="0" borderId="0" applyNumberFormat="0" applyFill="0" applyBorder="0" applyAlignment="0" applyProtection="0"/>
    <xf numFmtId="9" fontId="19" fillId="0" borderId="0" applyFont="0" applyFill="0" applyBorder="0" applyAlignment="0" applyProtection="0"/>
  </cellStyleXfs>
  <cellXfs count="132">
    <xf numFmtId="0" fontId="0" fillId="0" borderId="0" xfId="0"/>
    <xf numFmtId="0" fontId="1" fillId="0" borderId="1" xfId="0" applyFont="1" applyBorder="1" applyAlignment="1">
      <alignment horizontal="center" vertical="top"/>
    </xf>
    <xf numFmtId="14" fontId="0" fillId="0" borderId="0" xfId="0" applyNumberFormat="1"/>
    <xf numFmtId="0" fontId="0" fillId="3" borderId="0" xfId="0" applyFill="1"/>
    <xf numFmtId="0" fontId="2" fillId="0" borderId="1" xfId="0" applyFont="1" applyBorder="1" applyAlignment="1">
      <alignment horizontal="center" vertical="top"/>
    </xf>
    <xf numFmtId="14" fontId="0" fillId="2" borderId="2" xfId="0" applyNumberFormat="1" applyFill="1" applyBorder="1"/>
    <xf numFmtId="0" fontId="4" fillId="4" borderId="3" xfId="0" applyFont="1" applyFill="1" applyBorder="1"/>
    <xf numFmtId="0" fontId="0" fillId="5" borderId="0" xfId="0" applyFill="1"/>
    <xf numFmtId="0" fontId="0" fillId="6" borderId="0" xfId="0" applyFill="1"/>
    <xf numFmtId="0" fontId="4" fillId="7" borderId="3" xfId="0" applyFont="1" applyFill="1" applyBorder="1"/>
    <xf numFmtId="0" fontId="0" fillId="8" borderId="0" xfId="0" applyFill="1"/>
    <xf numFmtId="0" fontId="0" fillId="9" borderId="0" xfId="0" applyFill="1"/>
    <xf numFmtId="0" fontId="0" fillId="10" borderId="0" xfId="0" applyFill="1"/>
    <xf numFmtId="0" fontId="0" fillId="11" borderId="0" xfId="0" applyFill="1"/>
    <xf numFmtId="0" fontId="4" fillId="12" borderId="3" xfId="0" applyFont="1" applyFill="1" applyBorder="1"/>
    <xf numFmtId="0" fontId="0" fillId="13" borderId="0" xfId="0" applyFill="1"/>
    <xf numFmtId="0" fontId="0" fillId="14" borderId="0" xfId="0" applyFill="1"/>
    <xf numFmtId="0" fontId="0" fillId="15" borderId="0" xfId="0" applyFill="1"/>
    <xf numFmtId="0" fontId="0" fillId="16" borderId="0" xfId="0" applyFill="1"/>
    <xf numFmtId="0" fontId="5" fillId="12" borderId="3" xfId="0" applyFont="1" applyFill="1" applyBorder="1"/>
    <xf numFmtId="0" fontId="4" fillId="17" borderId="4" xfId="0" applyFont="1" applyFill="1" applyBorder="1"/>
    <xf numFmtId="0" fontId="0" fillId="18" borderId="0" xfId="0" applyFill="1"/>
    <xf numFmtId="0" fontId="0" fillId="19" borderId="0" xfId="0" applyFill="1"/>
    <xf numFmtId="0" fontId="0" fillId="20" borderId="0" xfId="0" applyFill="1"/>
    <xf numFmtId="0" fontId="5" fillId="4" borderId="5" xfId="0" applyFont="1" applyFill="1" applyBorder="1"/>
    <xf numFmtId="2" fontId="6" fillId="21" borderId="0" xfId="0" applyNumberFormat="1" applyFont="1" applyFill="1"/>
    <xf numFmtId="2" fontId="6" fillId="3" borderId="0" xfId="0" applyNumberFormat="1" applyFont="1" applyFill="1"/>
    <xf numFmtId="0" fontId="6" fillId="10" borderId="0" xfId="0" applyFont="1" applyFill="1"/>
    <xf numFmtId="49" fontId="0" fillId="0" borderId="0" xfId="0" applyNumberFormat="1"/>
    <xf numFmtId="0" fontId="0" fillId="22" borderId="0" xfId="0" applyFill="1"/>
    <xf numFmtId="2" fontId="6" fillId="6" borderId="0" xfId="0" applyNumberFormat="1" applyFont="1" applyFill="1"/>
    <xf numFmtId="2" fontId="6" fillId="8" borderId="0" xfId="0" applyNumberFormat="1" applyFont="1" applyFill="1"/>
    <xf numFmtId="0" fontId="7" fillId="22" borderId="0" xfId="0" applyFont="1" applyFill="1" applyAlignment="1">
      <alignment wrapText="1"/>
    </xf>
    <xf numFmtId="0" fontId="0" fillId="22" borderId="0" xfId="0" applyFill="1" applyAlignment="1">
      <alignment wrapText="1"/>
    </xf>
    <xf numFmtId="2" fontId="8" fillId="22" borderId="0" xfId="0" applyNumberFormat="1" applyFont="1" applyFill="1" applyAlignment="1">
      <alignment wrapText="1"/>
    </xf>
    <xf numFmtId="0" fontId="9" fillId="23" borderId="0" xfId="0" applyFont="1" applyFill="1" applyAlignment="1">
      <alignment wrapText="1"/>
    </xf>
    <xf numFmtId="4" fontId="0" fillId="0" borderId="0" xfId="0" applyNumberFormat="1"/>
    <xf numFmtId="164" fontId="0" fillId="0" borderId="0" xfId="0" applyNumberFormat="1"/>
    <xf numFmtId="164" fontId="4" fillId="4" borderId="7" xfId="0" applyNumberFormat="1" applyFont="1" applyFill="1" applyBorder="1"/>
    <xf numFmtId="164" fontId="0" fillId="24" borderId="0" xfId="0" applyNumberFormat="1" applyFill="1"/>
    <xf numFmtId="2" fontId="0" fillId="26" borderId="0" xfId="0" applyNumberFormat="1" applyFill="1" applyAlignment="1">
      <alignment readingOrder="1"/>
    </xf>
    <xf numFmtId="2" fontId="0" fillId="27" borderId="0" xfId="0" applyNumberFormat="1" applyFill="1" applyAlignment="1">
      <alignment readingOrder="1"/>
    </xf>
    <xf numFmtId="2" fontId="10" fillId="25" borderId="7" xfId="0" applyNumberFormat="1" applyFont="1" applyFill="1" applyBorder="1" applyAlignment="1">
      <alignment readingOrder="1"/>
    </xf>
    <xf numFmtId="165" fontId="4" fillId="4" borderId="7" xfId="0" applyNumberFormat="1" applyFont="1" applyFill="1" applyBorder="1"/>
    <xf numFmtId="165" fontId="0" fillId="24" borderId="0" xfId="0" applyNumberFormat="1" applyFill="1"/>
    <xf numFmtId="165" fontId="0" fillId="0" borderId="0" xfId="0" applyNumberFormat="1"/>
    <xf numFmtId="49" fontId="0" fillId="0" borderId="0" xfId="0" applyNumberFormat="1" applyAlignment="1">
      <alignment horizontal="center" vertical="center"/>
    </xf>
    <xf numFmtId="0" fontId="5" fillId="4" borderId="7" xfId="0" applyFont="1" applyFill="1" applyBorder="1" applyAlignment="1">
      <alignment horizontal="center" vertical="center"/>
    </xf>
    <xf numFmtId="0" fontId="0" fillId="24" borderId="0" xfId="0" applyFill="1" applyAlignment="1">
      <alignment horizontal="center" vertical="center"/>
    </xf>
    <xf numFmtId="0" fontId="0" fillId="0" borderId="0" xfId="0" applyAlignment="1">
      <alignment horizontal="center" vertical="center"/>
    </xf>
    <xf numFmtId="4" fontId="5" fillId="4" borderId="7" xfId="0" applyNumberFormat="1" applyFont="1" applyFill="1" applyBorder="1" applyAlignment="1">
      <alignment horizontal="center" vertical="center"/>
    </xf>
    <xf numFmtId="4" fontId="0" fillId="24" borderId="0" xfId="0" applyNumberFormat="1" applyFill="1" applyAlignment="1">
      <alignment horizontal="center" vertical="center"/>
    </xf>
    <xf numFmtId="4" fontId="0" fillId="0" borderId="0" xfId="0" applyNumberFormat="1" applyAlignment="1">
      <alignment horizontal="center" vertical="center"/>
    </xf>
    <xf numFmtId="16" fontId="5" fillId="4" borderId="7" xfId="0" applyNumberFormat="1" applyFont="1" applyFill="1" applyBorder="1" applyAlignment="1">
      <alignment horizontal="center" vertical="center"/>
    </xf>
    <xf numFmtId="16" fontId="0" fillId="24" borderId="0" xfId="0" applyNumberFormat="1" applyFill="1" applyAlignment="1">
      <alignment horizontal="center" vertical="center"/>
    </xf>
    <xf numFmtId="16" fontId="0" fillId="0" borderId="0" xfId="0" applyNumberFormat="1" applyAlignment="1">
      <alignment horizontal="center" vertical="center"/>
    </xf>
    <xf numFmtId="166" fontId="0" fillId="0" borderId="0" xfId="0" applyNumberFormat="1"/>
    <xf numFmtId="44" fontId="0" fillId="0" borderId="0" xfId="0" applyNumberFormat="1"/>
    <xf numFmtId="167" fontId="0" fillId="0" borderId="0" xfId="0" applyNumberFormat="1"/>
    <xf numFmtId="168" fontId="0" fillId="0" borderId="0" xfId="0" applyNumberFormat="1"/>
    <xf numFmtId="169" fontId="0" fillId="0" borderId="0" xfId="0" applyNumberFormat="1"/>
    <xf numFmtId="170" fontId="0" fillId="0" borderId="0" xfId="0" applyNumberFormat="1"/>
    <xf numFmtId="0" fontId="0" fillId="3" borderId="6" xfId="0" applyFill="1" applyBorder="1"/>
    <xf numFmtId="1" fontId="0" fillId="3" borderId="6" xfId="0" applyNumberFormat="1" applyFill="1" applyBorder="1"/>
    <xf numFmtId="171" fontId="0" fillId="3" borderId="6" xfId="0" applyNumberFormat="1" applyFill="1" applyBorder="1"/>
    <xf numFmtId="172" fontId="0" fillId="3" borderId="6" xfId="0" applyNumberFormat="1" applyFill="1" applyBorder="1"/>
    <xf numFmtId="173" fontId="0" fillId="3" borderId="6" xfId="0" applyNumberFormat="1" applyFill="1" applyBorder="1"/>
    <xf numFmtId="174" fontId="0" fillId="3" borderId="6" xfId="0" applyNumberFormat="1" applyFill="1" applyBorder="1"/>
    <xf numFmtId="175" fontId="0" fillId="3" borderId="6" xfId="0" applyNumberFormat="1" applyFill="1" applyBorder="1"/>
    <xf numFmtId="176" fontId="0" fillId="3" borderId="6" xfId="0" applyNumberFormat="1" applyFill="1" applyBorder="1"/>
    <xf numFmtId="0" fontId="0" fillId="6" borderId="0" xfId="0" quotePrefix="1" applyFill="1" applyAlignment="1">
      <alignment horizontal="left" indent="3"/>
    </xf>
    <xf numFmtId="0" fontId="0" fillId="0" borderId="0" xfId="0" applyAlignment="1">
      <alignment horizontal="left" indent="1"/>
    </xf>
    <xf numFmtId="0" fontId="0" fillId="24" borderId="0" xfId="0" applyFill="1"/>
    <xf numFmtId="0" fontId="4" fillId="4" borderId="7" xfId="0" applyFont="1" applyFill="1" applyBorder="1"/>
    <xf numFmtId="49" fontId="4" fillId="4" borderId="7" xfId="0" applyNumberFormat="1" applyFont="1" applyFill="1" applyBorder="1" applyAlignment="1">
      <alignment horizontal="center" vertical="center"/>
    </xf>
    <xf numFmtId="44" fontId="4" fillId="4" borderId="7" xfId="0" applyNumberFormat="1" applyFont="1" applyFill="1" applyBorder="1"/>
    <xf numFmtId="14" fontId="0" fillId="24" borderId="0" xfId="0" applyNumberFormat="1" applyFill="1"/>
    <xf numFmtId="49" fontId="0" fillId="24" borderId="0" xfId="0" applyNumberFormat="1" applyFill="1" applyAlignment="1">
      <alignment horizontal="center" vertical="center"/>
    </xf>
    <xf numFmtId="44" fontId="0" fillId="24" borderId="0" xfId="0" applyNumberFormat="1" applyFill="1"/>
    <xf numFmtId="164" fontId="11" fillId="24" borderId="0" xfId="0" applyNumberFormat="1" applyFont="1" applyFill="1"/>
    <xf numFmtId="164" fontId="11" fillId="0" borderId="0" xfId="0" applyNumberFormat="1" applyFont="1"/>
    <xf numFmtId="0" fontId="0" fillId="28" borderId="0" xfId="0" applyFill="1"/>
    <xf numFmtId="0" fontId="0" fillId="0" borderId="8" xfId="0" applyBorder="1"/>
    <xf numFmtId="0" fontId="12" fillId="0" borderId="9" xfId="0" applyFont="1" applyBorder="1" applyAlignment="1">
      <alignment horizontal="center"/>
    </xf>
    <xf numFmtId="1" fontId="0" fillId="28" borderId="0" xfId="0" applyNumberFormat="1" applyFill="1"/>
    <xf numFmtId="1" fontId="0" fillId="0" borderId="0" xfId="0" applyNumberFormat="1"/>
    <xf numFmtId="0" fontId="13" fillId="0" borderId="10" xfId="0" applyFont="1" applyBorder="1" applyAlignment="1">
      <alignment horizontal="right"/>
    </xf>
    <xf numFmtId="0" fontId="12" fillId="0" borderId="9" xfId="0" applyFont="1" applyBorder="1" applyAlignment="1">
      <alignment horizontal="centerContinuous"/>
    </xf>
    <xf numFmtId="0" fontId="0" fillId="0" borderId="0" xfId="0" pivotButton="1"/>
    <xf numFmtId="0" fontId="0" fillId="0" borderId="0" xfId="0" applyAlignment="1">
      <alignment horizontal="left"/>
    </xf>
    <xf numFmtId="0" fontId="1" fillId="0" borderId="0" xfId="0" applyFont="1"/>
    <xf numFmtId="0" fontId="15" fillId="0" borderId="0" xfId="0" applyFont="1" applyAlignment="1">
      <alignment vertical="center"/>
    </xf>
    <xf numFmtId="0" fontId="14" fillId="0" borderId="0" xfId="0" applyFont="1" applyAlignment="1">
      <alignment vertical="center"/>
    </xf>
    <xf numFmtId="0" fontId="16" fillId="0" borderId="0" xfId="0" applyFont="1" applyAlignment="1">
      <alignment horizontal="left" vertical="center" indent="1"/>
    </xf>
    <xf numFmtId="0" fontId="18" fillId="0" borderId="0" xfId="1" applyAlignment="1">
      <alignment horizontal="left" vertical="center" indent="1"/>
    </xf>
    <xf numFmtId="0" fontId="0" fillId="29" borderId="0" xfId="0" applyFill="1"/>
    <xf numFmtId="0" fontId="0" fillId="0" borderId="0" xfId="0"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177" fontId="0" fillId="0" borderId="0" xfId="0" applyNumberFormat="1"/>
    <xf numFmtId="10" fontId="0" fillId="0" borderId="0" xfId="0" applyNumberFormat="1"/>
    <xf numFmtId="0" fontId="0" fillId="0" borderId="0" xfId="0" applyAlignment="1">
      <alignment horizontal="center" wrapText="1"/>
    </xf>
    <xf numFmtId="9" fontId="0" fillId="0" borderId="0" xfId="2" applyFont="1"/>
    <xf numFmtId="9" fontId="0" fillId="11" borderId="0" xfId="0" applyNumberFormat="1" applyFill="1"/>
    <xf numFmtId="0" fontId="0" fillId="30" borderId="0" xfId="0" applyFill="1"/>
    <xf numFmtId="0" fontId="6" fillId="3" borderId="0" xfId="0" applyFont="1" applyFill="1" applyAlignment="1">
      <alignment horizontal="center"/>
    </xf>
    <xf numFmtId="0" fontId="0" fillId="3" borderId="0" xfId="0" applyFill="1" applyAlignment="1">
      <alignment horizontal="center"/>
    </xf>
    <xf numFmtId="0" fontId="10" fillId="0" borderId="0" xfId="0" applyFont="1" applyAlignment="1">
      <alignment horizontal="center"/>
    </xf>
    <xf numFmtId="0" fontId="0" fillId="0" borderId="0" xfId="0" applyAlignment="1">
      <alignment horizontal="center"/>
    </xf>
    <xf numFmtId="1" fontId="20" fillId="20" borderId="0" xfId="0" applyNumberFormat="1" applyFont="1" applyFill="1" applyAlignment="1">
      <alignment horizontal="center" vertical="center"/>
    </xf>
    <xf numFmtId="0" fontId="6" fillId="5" borderId="0" xfId="0" applyFont="1" applyFill="1" applyAlignment="1">
      <alignment horizontal="center"/>
    </xf>
    <xf numFmtId="0" fontId="0" fillId="5" borderId="0" xfId="0" applyFill="1" applyAlignment="1">
      <alignment horizontal="center"/>
    </xf>
    <xf numFmtId="0" fontId="0" fillId="31" borderId="20" xfId="0" applyFont="1" applyFill="1" applyBorder="1"/>
    <xf numFmtId="0" fontId="0" fillId="32" borderId="20" xfId="0" applyFont="1" applyFill="1" applyBorder="1"/>
    <xf numFmtId="0" fontId="0" fillId="32" borderId="21" xfId="0" applyFont="1" applyFill="1" applyBorder="1"/>
    <xf numFmtId="0" fontId="0" fillId="0" borderId="0" xfId="0" applyNumberFormat="1"/>
    <xf numFmtId="0" fontId="0" fillId="0" borderId="6" xfId="0" applyBorder="1"/>
    <xf numFmtId="0" fontId="0" fillId="0" borderId="22" xfId="0" applyBorder="1"/>
    <xf numFmtId="0" fontId="0" fillId="0" borderId="23" xfId="0" applyBorder="1"/>
    <xf numFmtId="0" fontId="0" fillId="0" borderId="25" xfId="0" applyBorder="1"/>
    <xf numFmtId="0" fontId="0" fillId="3" borderId="24" xfId="0" applyFill="1" applyBorder="1"/>
    <xf numFmtId="0" fontId="0" fillId="0" borderId="26" xfId="0" applyBorder="1"/>
    <xf numFmtId="0" fontId="1" fillId="33" borderId="20" xfId="0" applyFont="1" applyFill="1" applyBorder="1"/>
    <xf numFmtId="0" fontId="1" fillId="34" borderId="0" xfId="0" applyFont="1" applyFill="1"/>
    <xf numFmtId="178" fontId="0" fillId="0" borderId="0" xfId="0" applyNumberFormat="1" applyAlignment="1">
      <alignment horizontal="left"/>
    </xf>
  </cellXfs>
  <cellStyles count="3">
    <cellStyle name="Hyperlink" xfId="1" builtinId="8"/>
    <cellStyle name="Normal" xfId="0" builtinId="0"/>
    <cellStyle name="Percent" xfId="2" builtinId="5"/>
  </cellStyles>
  <dxfs count="94">
    <dxf>
      <font>
        <color rgb="FF9C0006"/>
      </font>
    </dxf>
    <dxf>
      <fill>
        <patternFill>
          <bgColor rgb="FFFF000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patternType="solid">
          <fgColor indexed="64"/>
          <bgColor rgb="FFFFC000"/>
        </patternFill>
      </fill>
      <border diagonalUp="0" diagonalDown="0" outline="0">
        <left style="thin">
          <color auto="1"/>
        </left>
        <right style="thin">
          <color auto="1"/>
        </right>
        <top/>
        <bottom/>
      </border>
    </dxf>
    <dxf>
      <border diagonalUp="0" diagonalDown="0">
        <left style="thin">
          <color auto="1"/>
        </left>
        <right/>
        <top style="thin">
          <color auto="1"/>
        </top>
        <bottom style="thin">
          <color auto="1"/>
        </bottom>
        <vertical/>
        <horizontal/>
      </border>
    </dxf>
    <dxf>
      <fill>
        <patternFill patternType="solid">
          <fgColor indexed="64"/>
          <bgColor rgb="FFFFC000"/>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border diagonalUp="0" diagonalDown="0">
        <left/>
        <right style="thin">
          <color auto="1"/>
        </right>
        <top style="thin">
          <color auto="1"/>
        </top>
        <bottom style="thin">
          <color auto="1"/>
        </bottom>
        <vertical/>
        <horizontal/>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0"/>
        </left>
        <right style="thin">
          <color theme="0"/>
        </right>
        <top style="thin">
          <color theme="0"/>
        </top>
        <bottom style="thin">
          <color theme="0"/>
        </bottom>
        <vertical/>
        <horizontal/>
      </border>
    </dxf>
    <dxf>
      <border outline="0">
        <bottom style="thin">
          <color theme="0"/>
        </bottom>
      </border>
    </dxf>
    <dxf>
      <font>
        <b val="0"/>
        <i val="0"/>
        <strike val="0"/>
        <condense val="0"/>
        <extend val="0"/>
        <outline val="0"/>
        <shadow val="0"/>
        <u val="none"/>
        <vertAlign val="baseline"/>
        <sz val="20"/>
        <color theme="1"/>
        <name val="Calibri"/>
        <family val="2"/>
        <scheme val="minor"/>
      </font>
      <numFmt numFmtId="2" formatCode="0.00"/>
      <fill>
        <patternFill patternType="solid">
          <fgColor indexed="64"/>
          <bgColor theme="0" tint="-4.9989318521683403E-2"/>
        </patternFill>
      </fill>
      <alignment horizontal="general" vertical="bottom" textRotation="0" wrapText="1" indent="0" justifyLastLine="0" shrinkToFit="0" readingOrder="0"/>
    </dxf>
    <dxf>
      <fill>
        <patternFill patternType="solid">
          <fgColor indexed="64"/>
          <bgColor theme="0" tint="-4.9989318521683403E-2"/>
        </patternFill>
      </fill>
      <alignment horizontal="general" vertical="bottom" textRotation="0" wrapText="1" indent="0" justifyLastLine="0" shrinkToFit="0" readingOrder="0"/>
    </dxf>
    <dxf>
      <font>
        <b val="0"/>
        <i val="0"/>
        <strike val="0"/>
        <condense val="0"/>
        <extend val="0"/>
        <outline val="0"/>
        <shadow val="0"/>
        <u val="none"/>
        <vertAlign val="baseline"/>
        <sz val="18"/>
        <color theme="1"/>
        <name val="Calibri"/>
        <family val="2"/>
        <scheme val="minor"/>
      </font>
      <fill>
        <patternFill patternType="solid">
          <fgColor indexed="64"/>
          <bgColor theme="0" tint="-4.9989318521683403E-2"/>
        </patternFill>
      </fill>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20"/>
        <color theme="1"/>
        <name val="Calibri"/>
        <family val="2"/>
        <scheme val="minor"/>
      </font>
      <fill>
        <patternFill patternType="solid">
          <fgColor indexed="64"/>
          <bgColor theme="0" tint="-4.9989318521683403E-2"/>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177" formatCode="[$-409]d/mmm/yyyy;@"/>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border diagonalUp="0" diagonalDown="0" outline="0">
        <left style="thin">
          <color auto="1"/>
        </left>
        <right style="thin">
          <color auto="1"/>
        </right>
        <top/>
        <bottom/>
      </border>
    </dxf>
    <dxf>
      <fill>
        <patternFill patternType="solid">
          <bgColor theme="0" tint="-0.14999847407452621"/>
        </patternFill>
      </fill>
    </dxf>
    <dxf>
      <numFmt numFmtId="1" formatCode="0"/>
    </dxf>
    <dxf>
      <numFmt numFmtId="0" formatCode="General"/>
    </dxf>
    <dxf>
      <numFmt numFmtId="0" formatCode="General"/>
    </dxf>
    <dxf>
      <numFmt numFmtId="0" formatCode="General"/>
    </dxf>
    <dxf>
      <numFmt numFmtId="19" formatCode="dd/mm/yyyy"/>
    </dxf>
    <dxf>
      <fill>
        <patternFill patternType="solid">
          <fgColor indexed="64"/>
          <bgColor theme="1" tint="4.9989318521683403E-2"/>
        </patternFill>
      </fill>
    </dxf>
    <dxf>
      <numFmt numFmtId="164" formatCode="[$$-409]#,##0.00"/>
      <fill>
        <patternFill patternType="darkGray">
          <fgColor theme="2" tint="-0.24994659260841701"/>
          <bgColor indexed="65"/>
        </patternFill>
      </fill>
      <alignment horizontal="left" vertical="center" textRotation="0" wrapText="0" indent="4" justifyLastLine="0" shrinkToFit="0" readingOrder="0"/>
    </dxf>
    <dxf>
      <numFmt numFmtId="34" formatCode="_ &quot;₹&quot;\ * #,##0.00_ ;_ &quot;₹&quot;\ * \-#,##0.00_ ;_ &quot;₹&quot;\ * &quot;-&quot;??_ ;_ @_ "/>
    </dxf>
    <dxf>
      <numFmt numFmtId="0" formatCode="General"/>
    </dxf>
    <dxf>
      <numFmt numFmtId="0" formatCode="General"/>
    </dxf>
    <dxf>
      <numFmt numFmtId="30" formatCode="@"/>
      <alignment horizontal="center" vertic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fill>
        <patternFill patternType="solid">
          <fgColor indexed="64"/>
          <bgColor rgb="FFFFC000"/>
        </patternFill>
      </fill>
    </dxf>
    <dxf>
      <fill>
        <patternFill patternType="solid">
          <fgColor indexed="64"/>
          <bgColor rgb="FFFFC000"/>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color theme="2" tint="-0.89996032593768116"/>
      </font>
    </dxf>
    <dxf>
      <font>
        <color theme="0"/>
      </font>
    </dxf>
    <dxf>
      <font>
        <color theme="0"/>
      </font>
    </dxf>
  </dxfs>
  <tableStyles count="5" defaultTableStyle="TableStyleMedium9" defaultPivotStyle="PivotStyleLight16">
    <tableStyle name="Invisible" pivot="0" table="0" count="0" xr9:uid="{9B9D10BF-C5B4-4668-ADAC-48E2FCF4B210}"/>
    <tableStyle name="Slicer Style 1" pivot="0" table="0" count="1" xr9:uid="{815CE261-898B-4DE3-8EF6-C5B81E3684CF}">
      <tableStyleElement type="headerRow" dxfId="93"/>
    </tableStyle>
    <tableStyle name="Slicer Style 2" pivot="0" table="0" count="3" xr9:uid="{1641CF22-F94F-4F6F-89C0-039943EC57D4}">
      <tableStyleElement type="headerRow" dxfId="92"/>
    </tableStyle>
    <tableStyle name="Table Style 1" pivot="0" count="0" xr9:uid="{F8A1E16F-AEC3-4B32-BC44-73CAF9F83242}"/>
    <tableStyle name="Table Style 2" pivot="0" count="1" xr9:uid="{B0FB6227-2855-4C34-9AF8-766385A1044C}">
      <tableStyleElement type="firstHeaderCell" dxfId="91"/>
    </tableStyle>
  </tableStyles>
  <extLst>
    <ext xmlns:x14="http://schemas.microsoft.com/office/spreadsheetml/2009/9/main" uri="{46F421CA-312F-682f-3DD2-61675219B42D}">
      <x14:dxfs count="2">
        <dxf>
          <font>
            <color theme="9" tint="0.59996337778862885"/>
          </font>
        </dxf>
        <dxf>
          <font>
            <color theme="9" tint="-0.24994659260841701"/>
          </font>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xml"/><Relationship Id="rId21" Type="http://schemas.openxmlformats.org/officeDocument/2006/relationships/worksheet" Target="worksheets/sheet21.xml"/><Relationship Id="rId42" Type="http://schemas.openxmlformats.org/officeDocument/2006/relationships/pivotTable" Target="pivotTables/pivotTable1.xml"/><Relationship Id="rId47" Type="http://schemas.openxmlformats.org/officeDocument/2006/relationships/connections" Target="connections.xml"/><Relationship Id="rId63" Type="http://schemas.openxmlformats.org/officeDocument/2006/relationships/customXml" Target="../customXml/item8.xml"/><Relationship Id="rId68" Type="http://schemas.openxmlformats.org/officeDocument/2006/relationships/customXml" Target="../customXml/item13.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openxmlformats.org/officeDocument/2006/relationships/pivotCacheDefinition" Target="pivotCache/pivotCacheDefinition13.xml"/><Relationship Id="rId45" Type="http://schemas.openxmlformats.org/officeDocument/2006/relationships/pivotTable" Target="pivotTables/pivotTable4.xml"/><Relationship Id="rId53" Type="http://schemas.microsoft.com/office/2017/06/relationships/rdRichValueTypes" Target="richData/rdRichValueTypes.xml"/><Relationship Id="rId58" Type="http://schemas.openxmlformats.org/officeDocument/2006/relationships/customXml" Target="../customXml/item3.xml"/><Relationship Id="rId66" Type="http://schemas.openxmlformats.org/officeDocument/2006/relationships/customXml" Target="../customXml/item11.xml"/><Relationship Id="rId74" Type="http://schemas.openxmlformats.org/officeDocument/2006/relationships/customXml" Target="../customXml/item19.xml"/><Relationship Id="rId79" Type="http://schemas.openxmlformats.org/officeDocument/2006/relationships/customXml" Target="../customXml/item24.xml"/><Relationship Id="rId5" Type="http://schemas.openxmlformats.org/officeDocument/2006/relationships/worksheet" Target="worksheets/sheet5.xml"/><Relationship Id="rId61" Type="http://schemas.openxmlformats.org/officeDocument/2006/relationships/customXml" Target="../customXml/item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pivotTable" Target="pivotTables/pivotTable2.xml"/><Relationship Id="rId48" Type="http://schemas.openxmlformats.org/officeDocument/2006/relationships/styles" Target="styles.xml"/><Relationship Id="rId56" Type="http://schemas.openxmlformats.org/officeDocument/2006/relationships/customXml" Target="../customXml/item1.xml"/><Relationship Id="rId64" Type="http://schemas.openxmlformats.org/officeDocument/2006/relationships/customXml" Target="../customXml/item9.xml"/><Relationship Id="rId69" Type="http://schemas.openxmlformats.org/officeDocument/2006/relationships/customXml" Target="../customXml/item14.xml"/><Relationship Id="rId77" Type="http://schemas.openxmlformats.org/officeDocument/2006/relationships/customXml" Target="../customXml/item22.xml"/><Relationship Id="rId8" Type="http://schemas.openxmlformats.org/officeDocument/2006/relationships/worksheet" Target="worksheets/sheet8.xml"/><Relationship Id="rId51" Type="http://schemas.microsoft.com/office/2017/06/relationships/rdRichValue" Target="richData/rdrichvalue.xml"/><Relationship Id="rId72" Type="http://schemas.openxmlformats.org/officeDocument/2006/relationships/customXml" Target="../customXml/item17.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openxmlformats.org/officeDocument/2006/relationships/pivotCacheDefinition" Target="pivotCache/pivotCacheDefinition11.xml"/><Relationship Id="rId46" Type="http://schemas.openxmlformats.org/officeDocument/2006/relationships/theme" Target="theme/theme1.xml"/><Relationship Id="rId59" Type="http://schemas.openxmlformats.org/officeDocument/2006/relationships/customXml" Target="../customXml/item4.xml"/><Relationship Id="rId67" Type="http://schemas.openxmlformats.org/officeDocument/2006/relationships/customXml" Target="../customXml/item12.xml"/><Relationship Id="rId20" Type="http://schemas.openxmlformats.org/officeDocument/2006/relationships/worksheet" Target="worksheets/sheet20.xml"/><Relationship Id="rId41" Type="http://schemas.openxmlformats.org/officeDocument/2006/relationships/pivotCacheDefinition" Target="pivotCache/pivotCacheDefinition14.xml"/><Relationship Id="rId54" Type="http://schemas.openxmlformats.org/officeDocument/2006/relationships/powerPivotData" Target="model/item.data"/><Relationship Id="rId62" Type="http://schemas.openxmlformats.org/officeDocument/2006/relationships/customXml" Target="../customXml/item7.xml"/><Relationship Id="rId70" Type="http://schemas.openxmlformats.org/officeDocument/2006/relationships/customXml" Target="../customXml/item15.xml"/><Relationship Id="rId75"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sharedStrings" Target="sharedStrings.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openxmlformats.org/officeDocument/2006/relationships/pivotTable" Target="pivotTables/pivotTable3.xml"/><Relationship Id="rId52" Type="http://schemas.microsoft.com/office/2017/06/relationships/rdRichValueStructure" Target="richData/rdrichvaluestructure.xml"/><Relationship Id="rId60" Type="http://schemas.openxmlformats.org/officeDocument/2006/relationships/customXml" Target="../customXml/item5.xml"/><Relationship Id="rId65" Type="http://schemas.openxmlformats.org/officeDocument/2006/relationships/customXml" Target="../customXml/item10.xml"/><Relationship Id="rId73" Type="http://schemas.openxmlformats.org/officeDocument/2006/relationships/customXml" Target="../customXml/item18.xml"/><Relationship Id="rId78"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12.xml"/><Relationship Id="rId34" Type="http://schemas.openxmlformats.org/officeDocument/2006/relationships/pivotCacheDefinition" Target="pivotCache/pivotCacheDefinition9.xml"/><Relationship Id="rId50" Type="http://schemas.openxmlformats.org/officeDocument/2006/relationships/sheetMetadata" Target="metadata.xml"/><Relationship Id="rId55" Type="http://schemas.openxmlformats.org/officeDocument/2006/relationships/calcChain" Target="calcChain.xml"/><Relationship Id="rId76" Type="http://schemas.openxmlformats.org/officeDocument/2006/relationships/customXml" Target="../customXml/item21.xml"/><Relationship Id="rId7" Type="http://schemas.openxmlformats.org/officeDocument/2006/relationships/worksheet" Target="worksheets/sheet7.xml"/><Relationship Id="rId71" Type="http://schemas.openxmlformats.org/officeDocument/2006/relationships/customXml" Target="../customXml/item16.xml"/><Relationship Id="rId2" Type="http://schemas.openxmlformats.org/officeDocument/2006/relationships/worksheet" Target="worksheets/sheet2.xml"/><Relationship Id="rId29"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Over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pivotFmt>
    </c:pivotFmts>
    <c:plotArea>
      <c:layout/>
      <c:barChart>
        <c:barDir val="col"/>
        <c:grouping val="clustered"/>
        <c:varyColors val="0"/>
        <c:ser>
          <c:idx val="0"/>
          <c:order val="0"/>
          <c:tx>
            <c:v>Total</c:v>
          </c:tx>
          <c:spPr>
            <a:solidFill>
              <a:schemeClr val="accent2">
                <a:alpha val="85000"/>
              </a:schemeClr>
            </a:solidFill>
            <a:ln w="9525" cap="flat" cmpd="sng" algn="ctr">
              <a:solidFill>
                <a:schemeClr val="lt1">
                  <a:alpha val="50000"/>
                </a:schemeClr>
              </a:solidFill>
              <a:round/>
            </a:ln>
            <a:effectLst/>
          </c:spPr>
          <c:invertIfNegative val="0"/>
          <c:dPt>
            <c:idx val="2"/>
            <c:invertIfNegative val="0"/>
            <c:bubble3D val="0"/>
            <c:extLst>
              <c:ext xmlns:c16="http://schemas.microsoft.com/office/drawing/2014/chart" uri="{C3380CC4-5D6E-409C-BE32-E72D297353CC}">
                <c16:uniqueId val="{00000000-551E-4717-BB55-C74CB16770E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4"/>
              <c:pt idx="0">
                <c:v>Appliances</c:v>
              </c:pt>
              <c:pt idx="1">
                <c:v>Clothing</c:v>
              </c:pt>
              <c:pt idx="2">
                <c:v>Electronics</c:v>
              </c:pt>
              <c:pt idx="3">
                <c:v>Footwear</c:v>
              </c:pt>
            </c:strLit>
          </c:cat>
          <c:val>
            <c:numLit>
              <c:formatCode>General</c:formatCode>
              <c:ptCount val="4"/>
              <c:pt idx="0">
                <c:v>153552</c:v>
              </c:pt>
              <c:pt idx="1">
                <c:v>158978</c:v>
              </c:pt>
              <c:pt idx="2">
                <c:v>128340</c:v>
              </c:pt>
              <c:pt idx="3">
                <c:v>87250</c:v>
              </c:pt>
            </c:numLit>
          </c:val>
          <c:extLst>
            <c:ext xmlns:c16="http://schemas.microsoft.com/office/drawing/2014/chart" uri="{C3380CC4-5D6E-409C-BE32-E72D297353CC}">
              <c16:uniqueId val="{00000000-5CD4-441C-8FEA-26E8A3D29146}"/>
            </c:ext>
          </c:extLst>
        </c:ser>
        <c:dLbls>
          <c:dLblPos val="inEnd"/>
          <c:showLegendKey val="0"/>
          <c:showVal val="1"/>
          <c:showCatName val="0"/>
          <c:showSerName val="0"/>
          <c:showPercent val="0"/>
          <c:showBubbleSize val="0"/>
        </c:dLbls>
        <c:gapWidth val="65"/>
        <c:axId val="1471401776"/>
        <c:axId val="1898602720"/>
      </c:barChart>
      <c:catAx>
        <c:axId val="1471401776"/>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98602720"/>
        <c:crosses val="autoZero"/>
        <c:auto val="1"/>
        <c:lblAlgn val="ctr"/>
        <c:lblOffset val="100"/>
        <c:noMultiLvlLbl val="0"/>
        <c:extLst>
          <c:ext xmlns:c15="http://schemas.microsoft.com/office/drawing/2012/chart" uri="{F40574EE-89B7-4290-83BB-5DA773EAF853}">
            <c15:numFmt c:formatCode="General" c:sourceLinked="1"/>
          </c:ext>
        </c:extLst>
      </c:catAx>
      <c:valAx>
        <c:axId val="1898602720"/>
        <c:scaling>
          <c:orientation val="minMax"/>
        </c:scaling>
        <c:delete val="1"/>
        <c:axPos val="l"/>
        <c:majorGridlines>
          <c:spPr>
            <a:ln w="9525" cap="flat" cmpd="sng" algn="ctr">
              <a:noFill/>
              <a:round/>
            </a:ln>
            <a:effectLst/>
          </c:spPr>
        </c:majorGridlines>
        <c:numFmt formatCode="General" sourceLinked="0"/>
        <c:majorTickMark val="none"/>
        <c:minorTickMark val="none"/>
        <c:tickLblPos val="nextTo"/>
        <c:crossAx val="1471401776"/>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[Excel practice3.xlsm]PivotChartTable1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Over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fld id="{DCCE38F0-2A27-446D-BA68-73C25E632F01}" type="VALUE">
                  <a:rPr lang="en-US" sz="900" b="1" i="0" u="none" strike="noStrike" kern="1200" baseline="0">
                    <a:solidFill>
                      <a:schemeClr val="lt1"/>
                    </a:solidFill>
                    <a:latin typeface="+mn-lt"/>
                    <a:ea typeface="+mn-ea"/>
                    <a:cs typeface="+mn-cs"/>
                  </a:rPr>
                  <a:pPr algn="ctr">
                    <a:defRPr lang="en-US" b="1">
                      <a:solidFill>
                        <a:schemeClr val="lt1"/>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fld id="{38DA63EB-43D6-4F63-8202-80FC460C4E22}" type="VALUE">
                  <a:rPr lang="en-US" sz="900" b="1" i="0" u="none" strike="noStrike" kern="1200" baseline="0">
                    <a:solidFill>
                      <a:schemeClr val="lt1"/>
                    </a:solidFill>
                    <a:latin typeface="+mn-lt"/>
                    <a:ea typeface="+mn-ea"/>
                    <a:cs typeface="+mn-cs"/>
                  </a:rPr>
                  <a:pPr algn="ctr">
                    <a:defRPr lang="en-US" b="1">
                      <a:solidFill>
                        <a:schemeClr val="lt1"/>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14227770926224584"/>
              <c:y val="-5.6597580474854435E-2"/>
            </c:manualLayout>
          </c:layout>
          <c:tx>
            <c:rich>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fld id="{4318959A-32C8-4542-81AA-3433F54A14A9}" type="VALUE">
                  <a:rPr lang="en-US"/>
                  <a:pPr algn="ctr">
                    <a:defRPr lang="en-US" b="1">
                      <a:solidFill>
                        <a:schemeClr val="lt1"/>
                      </a:solidFill>
                    </a:defRPr>
                  </a:pPr>
                  <a:t>[VALUE]</a:t>
                </a:fld>
                <a:endParaRPr lang="en-US" baseline="0"/>
              </a:p>
              <a:p>
                <a:pPr algn="ctr">
                  <a:defRPr lang="en-US" b="1">
                    <a:solidFill>
                      <a:schemeClr val="lt1"/>
                    </a:solidFill>
                  </a:defRPr>
                </a:pPr>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fld id="{3D094F05-5EAE-4CC2-9E2C-A7A39223F3E0}" type="VALUE">
                  <a:rPr lang="en-US"/>
                  <a:pPr algn="ctr">
                    <a:defRPr lang="en-US" b="1">
                      <a:solidFill>
                        <a:schemeClr val="lt1"/>
                      </a:solidFill>
                    </a:defRPr>
                  </a:pPr>
                  <a:t>[VALUE]</a:t>
                </a:fld>
                <a:endParaRPr lang="en-IN"/>
              </a:p>
            </c:rich>
          </c:tx>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v>Total</c:v>
          </c:tx>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1FA-468A-AE36-027C86A41E1F}"/>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61FA-468A-AE36-027C86A41E1F}"/>
              </c:ext>
            </c:extLst>
          </c:dPt>
          <c:dPt>
            <c:idx val="2"/>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1FA-468A-AE36-027C86A41E1F}"/>
              </c:ext>
            </c:extLst>
          </c:dPt>
          <c:dPt>
            <c:idx val="3"/>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61FA-468A-AE36-027C86A41E1F}"/>
              </c:ext>
            </c:extLst>
          </c:dPt>
          <c:dLbls>
            <c:dLbl>
              <c:idx val="0"/>
              <c:tx>
                <c:rich>
                  <a:bodyPr/>
                  <a:lstStyle/>
                  <a:p>
                    <a:fld id="{DCCE38F0-2A27-446D-BA68-73C25E632F01}" type="VALUE">
                      <a:rPr lang="en-US" sz="900" b="1" i="0" u="none" strike="noStrike" kern="1200" baseline="0">
                        <a:solidFill>
                          <a:schemeClr val="lt1"/>
                        </a:solidFill>
                        <a:latin typeface="+mn-lt"/>
                        <a:ea typeface="+mn-ea"/>
                        <a:cs typeface="+mn-cs"/>
                      </a:rPr>
                      <a:pPr/>
                      <a:t>[VALUE]</a:t>
                    </a:fld>
                    <a:endParaRPr lang="en-IN"/>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1FA-468A-AE36-027C86A41E1F}"/>
                </c:ext>
              </c:extLst>
            </c:dLbl>
            <c:dLbl>
              <c:idx val="1"/>
              <c:tx>
                <c:rich>
                  <a:bodyPr/>
                  <a:lstStyle/>
                  <a:p>
                    <a:fld id="{3D094F05-5EAE-4CC2-9E2C-A7A39223F3E0}" type="VALUE">
                      <a:rPr lang="en-US"/>
                      <a:pPr/>
                      <a:t>[VALUE]</a:t>
                    </a:fld>
                    <a:endParaRPr lang="en-IN"/>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61FA-468A-AE36-027C86A41E1F}"/>
                </c:ext>
              </c:extLst>
            </c:dLbl>
            <c:dLbl>
              <c:idx val="2"/>
              <c:layout>
                <c:manualLayout>
                  <c:x val="0.14227770926224584"/>
                  <c:y val="-5.6597580474854435E-2"/>
                </c:manualLayout>
              </c:layout>
              <c:tx>
                <c:rich>
                  <a:bodyPr/>
                  <a:lstStyle/>
                  <a:p>
                    <a:fld id="{4318959A-32C8-4542-81AA-3433F54A14A9}" type="VALUE">
                      <a:rPr lang="en-US"/>
                      <a:pPr/>
                      <a:t>[VALUE]</a:t>
                    </a:fld>
                    <a:endParaRPr lang="en-US" baseline="0"/>
                  </a:p>
                  <a:p>
                    <a:endParaRPr lang="en-IN"/>
                  </a:p>
                </c:rich>
              </c:tx>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1FA-468A-AE36-027C86A41E1F}"/>
                </c:ext>
              </c:extLst>
            </c:dLbl>
            <c:dLbl>
              <c:idx val="3"/>
              <c:tx>
                <c:rich>
                  <a:bodyPr/>
                  <a:lstStyle/>
                  <a:p>
                    <a:fld id="{38DA63EB-43D6-4F63-8202-80FC460C4E22}" type="VALUE">
                      <a:rPr lang="en-US" sz="900" b="1" i="0" u="none" strike="noStrike" kern="1200" baseline="0">
                        <a:solidFill>
                          <a:schemeClr val="lt1"/>
                        </a:solidFill>
                        <a:latin typeface="+mn-lt"/>
                        <a:ea typeface="+mn-ea"/>
                        <a:cs typeface="+mn-cs"/>
                      </a:rPr>
                      <a:pPr/>
                      <a:t>[VALUE]</a:t>
                    </a:fld>
                    <a:endParaRPr lang="en-IN"/>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61FA-468A-AE36-027C86A41E1F}"/>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Lit>
              <c:ptCount val="4"/>
              <c:pt idx="0">
                <c:v>East</c:v>
              </c:pt>
              <c:pt idx="1">
                <c:v>North</c:v>
              </c:pt>
              <c:pt idx="2">
                <c:v>South</c:v>
              </c:pt>
              <c:pt idx="3">
                <c:v>West</c:v>
              </c:pt>
            </c:strLit>
          </c:cat>
          <c:val>
            <c:numLit>
              <c:formatCode>General</c:formatCode>
              <c:ptCount val="4"/>
              <c:pt idx="0">
                <c:v>171871</c:v>
              </c:pt>
              <c:pt idx="1">
                <c:v>137638</c:v>
              </c:pt>
              <c:pt idx="2">
                <c:v>110772</c:v>
              </c:pt>
              <c:pt idx="3">
                <c:v>107839</c:v>
              </c:pt>
            </c:numLit>
          </c:val>
          <c:extLst>
            <c:ext xmlns:c16="http://schemas.microsoft.com/office/drawing/2014/chart" uri="{C3380CC4-5D6E-409C-BE32-E72D297353CC}">
              <c16:uniqueId val="{00000000-61FA-468A-AE36-027C86A41E1F}"/>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[Excel practice3.xlsm]PivotChartTable2</c15:name>
        <c15:fmtId val="2"/>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Trend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alpha val="85000"/>
              </a:schemeClr>
            </a:solidFill>
            <a:round/>
          </a:ln>
          <a:effectLst>
            <a:outerShdw blurRad="50800" dist="38100" dir="2700000" algn="tl" rotWithShape="0">
              <a:prstClr val="black">
                <a:alpha val="40000"/>
              </a:prstClr>
            </a:outerShdw>
          </a:effectLst>
        </c:spPr>
        <c:marker>
          <c:symbol val="circle"/>
          <c:size val="6"/>
          <c:spPr>
            <a:blipFill>
              <a:blip xmlns:r="http://schemas.openxmlformats.org/officeDocument/2006/relationships" r:embed="rId3"/>
              <a:tile tx="0" ty="0" sx="100000" sy="100000" flip="none" algn="tl"/>
            </a:blipFill>
            <a:ln>
              <a:solidFill>
                <a:schemeClr val="bg2">
                  <a:lumMod val="10000"/>
                </a:schemeClr>
              </a:solidFill>
            </a:ln>
            <a:effectLst>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31750" cap="rnd" cmpd="sng" algn="ctr">
            <a:solidFill>
              <a:schemeClr val="accent1">
                <a:alpha val="85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1750" cap="rnd">
              <a:solidFill>
                <a:schemeClr val="accent1">
                  <a:alpha val="85000"/>
                </a:schemeClr>
              </a:solidFill>
              <a:round/>
            </a:ln>
            <a:effectLst>
              <a:outerShdw blurRad="50800" dist="38100" dir="2700000" algn="tl" rotWithShape="0">
                <a:prstClr val="black">
                  <a:alpha val="40000"/>
                </a:prstClr>
              </a:outerShdw>
            </a:effectLst>
          </c:spPr>
          <c:marker>
            <c:symbol val="circle"/>
            <c:size val="6"/>
            <c:spPr>
              <a:blipFill>
                <a:blip xmlns:r="http://schemas.openxmlformats.org/officeDocument/2006/relationships" r:embed="rId3"/>
                <a:tile tx="0" ty="0" sx="100000" sy="100000" flip="none" algn="tl"/>
              </a:blipFill>
              <a:ln>
                <a:solidFill>
                  <a:schemeClr val="bg2">
                    <a:lumMod val="10000"/>
                  </a:schemeClr>
                </a:solidFill>
              </a:ln>
              <a:effectLst>
                <a:outerShdw blurRad="50800" dist="38100" dir="2700000" algn="tl" rotWithShape="0">
                  <a:prstClr val="black">
                    <a:alpha val="40000"/>
                  </a:prstClr>
                </a:outerShdw>
              </a:effectLst>
            </c:spPr>
          </c:marker>
          <c:cat>
            <c:strLit>
              <c:ptCount val="67"/>
              <c:pt idx="0">
                <c:v>2025-01-01</c:v>
              </c:pt>
              <c:pt idx="1">
                <c:v>2025-01-02</c:v>
              </c:pt>
              <c:pt idx="2">
                <c:v>2025-01-03</c:v>
              </c:pt>
              <c:pt idx="3">
                <c:v>2025-01-06</c:v>
              </c:pt>
              <c:pt idx="4">
                <c:v>2025-01-08</c:v>
              </c:pt>
              <c:pt idx="5">
                <c:v>2025-01-09</c:v>
              </c:pt>
              <c:pt idx="6">
                <c:v>2025-01-10</c:v>
              </c:pt>
              <c:pt idx="7">
                <c:v>2025-01-11</c:v>
              </c:pt>
              <c:pt idx="8">
                <c:v>2025-01-12</c:v>
              </c:pt>
              <c:pt idx="9">
                <c:v>2025-01-13</c:v>
              </c:pt>
              <c:pt idx="10">
                <c:v>2025-01-19</c:v>
              </c:pt>
              <c:pt idx="11">
                <c:v>2025-01-20</c:v>
              </c:pt>
              <c:pt idx="12">
                <c:v>2025-01-22</c:v>
              </c:pt>
              <c:pt idx="13">
                <c:v>2025-01-23</c:v>
              </c:pt>
              <c:pt idx="14">
                <c:v>2025-01-24</c:v>
              </c:pt>
              <c:pt idx="15">
                <c:v>2025-01-29</c:v>
              </c:pt>
              <c:pt idx="16">
                <c:v>2025-02-01</c:v>
              </c:pt>
              <c:pt idx="17">
                <c:v>2025-02-02</c:v>
              </c:pt>
              <c:pt idx="18">
                <c:v>2025-02-04</c:v>
              </c:pt>
              <c:pt idx="19">
                <c:v>2025-02-05</c:v>
              </c:pt>
              <c:pt idx="20">
                <c:v>2025-02-06</c:v>
              </c:pt>
              <c:pt idx="21">
                <c:v>2025-02-07</c:v>
              </c:pt>
              <c:pt idx="22">
                <c:v>2025-02-09</c:v>
              </c:pt>
              <c:pt idx="23">
                <c:v>2025-02-11</c:v>
              </c:pt>
              <c:pt idx="24">
                <c:v>2025-02-13</c:v>
              </c:pt>
              <c:pt idx="25">
                <c:v>2025-02-14</c:v>
              </c:pt>
              <c:pt idx="26">
                <c:v>2025-02-15</c:v>
              </c:pt>
              <c:pt idx="27">
                <c:v>2025-02-16</c:v>
              </c:pt>
              <c:pt idx="28">
                <c:v>2025-02-17</c:v>
              </c:pt>
              <c:pt idx="29">
                <c:v>2025-02-18</c:v>
              </c:pt>
              <c:pt idx="30">
                <c:v>2025-02-19</c:v>
              </c:pt>
              <c:pt idx="31">
                <c:v>2025-02-22</c:v>
              </c:pt>
              <c:pt idx="32">
                <c:v>2025-02-23</c:v>
              </c:pt>
              <c:pt idx="33">
                <c:v>2025-02-24</c:v>
              </c:pt>
              <c:pt idx="34">
                <c:v>2025-02-25</c:v>
              </c:pt>
              <c:pt idx="35">
                <c:v>2025-02-26</c:v>
              </c:pt>
              <c:pt idx="36">
                <c:v>2025-02-28</c:v>
              </c:pt>
              <c:pt idx="37">
                <c:v>2025-03-03</c:v>
              </c:pt>
              <c:pt idx="38">
                <c:v>2025-03-04</c:v>
              </c:pt>
              <c:pt idx="39">
                <c:v>2025-03-05</c:v>
              </c:pt>
              <c:pt idx="40">
                <c:v>2025-03-06</c:v>
              </c:pt>
              <c:pt idx="41">
                <c:v>2025-03-08</c:v>
              </c:pt>
              <c:pt idx="42">
                <c:v>2025-03-09</c:v>
              </c:pt>
              <c:pt idx="43">
                <c:v>2025-03-11</c:v>
              </c:pt>
              <c:pt idx="44">
                <c:v>2025-03-12</c:v>
              </c:pt>
              <c:pt idx="45">
                <c:v>2025-03-15</c:v>
              </c:pt>
              <c:pt idx="46">
                <c:v>2025-03-16</c:v>
              </c:pt>
              <c:pt idx="47">
                <c:v>2025-03-18</c:v>
              </c:pt>
              <c:pt idx="48">
                <c:v>2025-03-19</c:v>
              </c:pt>
              <c:pt idx="49">
                <c:v>2025-03-23</c:v>
              </c:pt>
              <c:pt idx="50">
                <c:v>2025-03-25</c:v>
              </c:pt>
              <c:pt idx="51">
                <c:v>2025-03-28</c:v>
              </c:pt>
              <c:pt idx="52">
                <c:v>2025-03-30</c:v>
              </c:pt>
              <c:pt idx="53">
                <c:v>2025-03-31</c:v>
              </c:pt>
              <c:pt idx="54">
                <c:v>2025-04-01</c:v>
              </c:pt>
              <c:pt idx="55">
                <c:v>2025-04-02</c:v>
              </c:pt>
              <c:pt idx="56">
                <c:v>2025-04-07</c:v>
              </c:pt>
              <c:pt idx="57">
                <c:v>2025-04-09</c:v>
              </c:pt>
              <c:pt idx="58">
                <c:v>2025-04-14</c:v>
              </c:pt>
              <c:pt idx="59">
                <c:v>2025-04-15</c:v>
              </c:pt>
              <c:pt idx="60">
                <c:v>2025-04-17</c:v>
              </c:pt>
              <c:pt idx="61">
                <c:v>2025-04-18</c:v>
              </c:pt>
              <c:pt idx="62">
                <c:v>2025-04-19</c:v>
              </c:pt>
              <c:pt idx="63">
                <c:v>2025-04-20</c:v>
              </c:pt>
              <c:pt idx="64">
                <c:v>2025-04-28</c:v>
              </c:pt>
              <c:pt idx="65">
                <c:v>2025-04-30</c:v>
              </c:pt>
              <c:pt idx="66">
                <c:v>2025-05-01</c:v>
              </c:pt>
            </c:strLit>
          </c:cat>
          <c:val>
            <c:numLit>
              <c:formatCode>General</c:formatCode>
              <c:ptCount val="67"/>
              <c:pt idx="0">
                <c:v>15435</c:v>
              </c:pt>
              <c:pt idx="1">
                <c:v>3928</c:v>
              </c:pt>
              <c:pt idx="2">
                <c:v>16350</c:v>
              </c:pt>
              <c:pt idx="3">
                <c:v>7398</c:v>
              </c:pt>
              <c:pt idx="4">
                <c:v>8565</c:v>
              </c:pt>
              <c:pt idx="5">
                <c:v>16321</c:v>
              </c:pt>
              <c:pt idx="6">
                <c:v>1694</c:v>
              </c:pt>
              <c:pt idx="7">
                <c:v>1220</c:v>
              </c:pt>
              <c:pt idx="8">
                <c:v>636</c:v>
              </c:pt>
              <c:pt idx="9">
                <c:v>9265</c:v>
              </c:pt>
              <c:pt idx="10">
                <c:v>5832</c:v>
              </c:pt>
              <c:pt idx="11">
                <c:v>14366</c:v>
              </c:pt>
              <c:pt idx="12">
                <c:v>8719</c:v>
              </c:pt>
              <c:pt idx="13">
                <c:v>2968</c:v>
              </c:pt>
              <c:pt idx="14">
                <c:v>6855</c:v>
              </c:pt>
              <c:pt idx="15">
                <c:v>545</c:v>
              </c:pt>
              <c:pt idx="16">
                <c:v>3955</c:v>
              </c:pt>
              <c:pt idx="17">
                <c:v>5544</c:v>
              </c:pt>
              <c:pt idx="18">
                <c:v>2134</c:v>
              </c:pt>
              <c:pt idx="19">
                <c:v>31595</c:v>
              </c:pt>
              <c:pt idx="20">
                <c:v>1484</c:v>
              </c:pt>
              <c:pt idx="21">
                <c:v>4216</c:v>
              </c:pt>
              <c:pt idx="22">
                <c:v>4449</c:v>
              </c:pt>
              <c:pt idx="23">
                <c:v>6885</c:v>
              </c:pt>
              <c:pt idx="24">
                <c:v>6312</c:v>
              </c:pt>
              <c:pt idx="25">
                <c:v>11848</c:v>
              </c:pt>
              <c:pt idx="26">
                <c:v>2560</c:v>
              </c:pt>
              <c:pt idx="27">
                <c:v>14975</c:v>
              </c:pt>
              <c:pt idx="28">
                <c:v>7144</c:v>
              </c:pt>
              <c:pt idx="29">
                <c:v>6040</c:v>
              </c:pt>
              <c:pt idx="30">
                <c:v>13420</c:v>
              </c:pt>
              <c:pt idx="31">
                <c:v>3042</c:v>
              </c:pt>
              <c:pt idx="32">
                <c:v>2460</c:v>
              </c:pt>
              <c:pt idx="33">
                <c:v>8550</c:v>
              </c:pt>
              <c:pt idx="34">
                <c:v>4779</c:v>
              </c:pt>
              <c:pt idx="35">
                <c:v>2388</c:v>
              </c:pt>
              <c:pt idx="36">
                <c:v>2598</c:v>
              </c:pt>
              <c:pt idx="37">
                <c:v>14595</c:v>
              </c:pt>
              <c:pt idx="38">
                <c:v>6948</c:v>
              </c:pt>
              <c:pt idx="39">
                <c:v>9310</c:v>
              </c:pt>
              <c:pt idx="40">
                <c:v>558</c:v>
              </c:pt>
              <c:pt idx="41">
                <c:v>8136</c:v>
              </c:pt>
              <c:pt idx="42">
                <c:v>24167</c:v>
              </c:pt>
              <c:pt idx="43">
                <c:v>7649</c:v>
              </c:pt>
              <c:pt idx="44">
                <c:v>8610</c:v>
              </c:pt>
              <c:pt idx="45">
                <c:v>3225</c:v>
              </c:pt>
              <c:pt idx="46">
                <c:v>11683</c:v>
              </c:pt>
              <c:pt idx="47">
                <c:v>7875</c:v>
              </c:pt>
              <c:pt idx="48">
                <c:v>13880</c:v>
              </c:pt>
              <c:pt idx="49">
                <c:v>7683</c:v>
              </c:pt>
              <c:pt idx="50">
                <c:v>8249</c:v>
              </c:pt>
              <c:pt idx="51">
                <c:v>8472</c:v>
              </c:pt>
              <c:pt idx="52">
                <c:v>10849</c:v>
              </c:pt>
              <c:pt idx="53">
                <c:v>3143</c:v>
              </c:pt>
              <c:pt idx="54">
                <c:v>2853</c:v>
              </c:pt>
              <c:pt idx="55">
                <c:v>8822</c:v>
              </c:pt>
              <c:pt idx="56">
                <c:v>11865</c:v>
              </c:pt>
              <c:pt idx="57">
                <c:v>21356</c:v>
              </c:pt>
              <c:pt idx="58">
                <c:v>9480</c:v>
              </c:pt>
              <c:pt idx="59">
                <c:v>16800</c:v>
              </c:pt>
              <c:pt idx="60">
                <c:v>1944</c:v>
              </c:pt>
              <c:pt idx="61">
                <c:v>2522</c:v>
              </c:pt>
              <c:pt idx="62">
                <c:v>8697</c:v>
              </c:pt>
              <c:pt idx="63">
                <c:v>229</c:v>
              </c:pt>
              <c:pt idx="64">
                <c:v>1905</c:v>
              </c:pt>
              <c:pt idx="65">
                <c:v>2490</c:v>
              </c:pt>
              <c:pt idx="66">
                <c:v>17650</c:v>
              </c:pt>
            </c:numLit>
          </c:val>
          <c:smooth val="0"/>
          <c:extLst>
            <c:ext xmlns:c16="http://schemas.microsoft.com/office/drawing/2014/chart" uri="{C3380CC4-5D6E-409C-BE32-E72D297353CC}">
              <c16:uniqueId val="{00000000-5CAE-46F6-B2AE-253C4364C782}"/>
            </c:ext>
          </c:extLst>
        </c:ser>
        <c:dLbls>
          <c:showLegendKey val="0"/>
          <c:showVal val="0"/>
          <c:showCatName val="0"/>
          <c:showSerName val="0"/>
          <c:showPercent val="0"/>
          <c:showBubbleSize val="0"/>
        </c:dLbls>
        <c:marker val="1"/>
        <c:smooth val="0"/>
        <c:axId val="1471401776"/>
        <c:axId val="1898602720"/>
      </c:lineChart>
      <c:catAx>
        <c:axId val="1471401776"/>
        <c:scaling>
          <c:orientation val="minMax"/>
        </c:scaling>
        <c:delete val="0"/>
        <c:axPos val="b"/>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98602720"/>
        <c:crosses val="autoZero"/>
        <c:auto val="1"/>
        <c:lblAlgn val="ctr"/>
        <c:lblOffset val="100"/>
        <c:noMultiLvlLbl val="0"/>
        <c:extLst>
          <c:ext xmlns:c15="http://schemas.microsoft.com/office/drawing/2012/chart" uri="{F40574EE-89B7-4290-83BB-5DA773EAF853}">
            <c15:numFmt c:formatCode="General" c:sourceLinked="1"/>
          </c:ext>
        </c:extLst>
      </c:catAx>
      <c:valAx>
        <c:axId val="1898602720"/>
        <c:scaling>
          <c:orientation val="minMax"/>
        </c:scaling>
        <c:delete val="1"/>
        <c:axPos val="l"/>
        <c:majorGridlines>
          <c:spPr>
            <a:ln w="9525" cap="flat" cmpd="sng" algn="ctr">
              <a:noFill/>
              <a:round/>
            </a:ln>
            <a:effectLst/>
          </c:spPr>
        </c:majorGridlines>
        <c:numFmt formatCode="General" sourceLinked="0"/>
        <c:majorTickMark val="none"/>
        <c:minorTickMark val="none"/>
        <c:tickLblPos val="nextTo"/>
        <c:crossAx val="1471401776"/>
        <c:crosses val="autoZero"/>
        <c:crossBetween val="between"/>
        <c:extLst>
          <c:ext xmlns:c15="http://schemas.microsoft.com/office/drawing/2012/chart" uri="{F40574EE-89B7-4290-83BB-5DA773EAF853}">
            <c15:numFmt c:formatCode="General" c:sourceLinked="1"/>
          </c:ext>
        </c:extLst>
      </c:valAx>
      <c:spPr>
        <a:solidFill>
          <a:schemeClr val="bg2">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[Excel practice3.xlsm]PivotChartTable4</c15:name>
        <c15:fmtId val="4"/>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Over Product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alpha val="85000"/>
            </a:schemeClr>
          </a:solidFill>
          <a:ln w="9525" cap="flat" cmpd="sng" algn="ctr">
            <a:solidFill>
              <a:schemeClr val="accent6">
                <a:lumMod val="75000"/>
                <a:alpha val="50000"/>
              </a:schemeClr>
            </a:solidFill>
            <a:round/>
          </a:ln>
          <a:effectLst>
            <a:outerShdw blurRad="50800" dist="50800" dir="5400000" algn="ctr" rotWithShape="0">
              <a:schemeClr val="tx1">
                <a:lumMod val="75000"/>
                <a:lumOff val="25000"/>
              </a:schemeClr>
            </a:outerShdw>
          </a:effectLst>
        </c:spPr>
        <c:marker>
          <c:symbol val="none"/>
        </c:marker>
        <c:dLbl>
          <c:idx val="0"/>
          <c:numFmt formatCode="_-[$$-409]* #,##0.00_ ;_-[$$-409]* \-#,##0.00\ ;_-[$$-409]* &quot;-&quot;??_ ;_-@_ "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61936239451547"/>
          <c:y val="0.21443187417664747"/>
          <c:w val="0.81521661644146337"/>
          <c:h val="0.72937400066371016"/>
        </c:manualLayout>
      </c:layout>
      <c:barChart>
        <c:barDir val="bar"/>
        <c:grouping val="clustered"/>
        <c:varyColors val="0"/>
        <c:ser>
          <c:idx val="0"/>
          <c:order val="0"/>
          <c:tx>
            <c:v>Total</c:v>
          </c:tx>
          <c:spPr>
            <a:solidFill>
              <a:schemeClr val="accent6">
                <a:lumMod val="75000"/>
                <a:alpha val="85000"/>
              </a:schemeClr>
            </a:solidFill>
            <a:ln w="9525" cap="flat" cmpd="sng" algn="ctr">
              <a:solidFill>
                <a:schemeClr val="accent6">
                  <a:lumMod val="75000"/>
                  <a:alpha val="50000"/>
                </a:schemeClr>
              </a:solidFill>
              <a:round/>
            </a:ln>
            <a:effectLst>
              <a:outerShdw blurRad="50800" dist="50800" dir="5400000" algn="ctr" rotWithShape="0">
                <a:schemeClr val="tx1">
                  <a:lumMod val="75000"/>
                  <a:lumOff val="25000"/>
                </a:schemeClr>
              </a:outerShdw>
            </a:effectLst>
          </c:spPr>
          <c:invertIfNegative val="0"/>
          <c:dLbls>
            <c:numFmt formatCode="_-[$$-409]* #,##0.00_ ;_-[$$-409]* \-#,##0.00\ ;_-[$$-409]* &quot;-&quot;??_ ;_-@_ "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8"/>
              <c:pt idx="0">
                <c:v>Blender</c:v>
              </c:pt>
              <c:pt idx="1">
                <c:v>Boots</c:v>
              </c:pt>
              <c:pt idx="2">
                <c:v>Laptop</c:v>
              </c:pt>
              <c:pt idx="3">
                <c:v>Microwave</c:v>
              </c:pt>
              <c:pt idx="4">
                <c:v>Shirt</c:v>
              </c:pt>
              <c:pt idx="5">
                <c:v>Smartphone</c:v>
              </c:pt>
              <c:pt idx="6">
                <c:v>Sneakers</c:v>
              </c:pt>
              <c:pt idx="7">
                <c:v>Trousers</c:v>
              </c:pt>
            </c:strLit>
          </c:cat>
          <c:val>
            <c:numLit>
              <c:formatCode>General</c:formatCode>
              <c:ptCount val="8"/>
              <c:pt idx="0">
                <c:v>110928</c:v>
              </c:pt>
              <c:pt idx="1">
                <c:v>34687</c:v>
              </c:pt>
              <c:pt idx="2">
                <c:v>55834</c:v>
              </c:pt>
              <c:pt idx="3">
                <c:v>42624</c:v>
              </c:pt>
              <c:pt idx="4">
                <c:v>120105</c:v>
              </c:pt>
              <c:pt idx="5">
                <c:v>72506</c:v>
              </c:pt>
              <c:pt idx="6">
                <c:v>52563</c:v>
              </c:pt>
              <c:pt idx="7">
                <c:v>38873</c:v>
              </c:pt>
            </c:numLit>
          </c:val>
          <c:extLst>
            <c:ext xmlns:c16="http://schemas.microsoft.com/office/drawing/2014/chart" uri="{C3380CC4-5D6E-409C-BE32-E72D297353CC}">
              <c16:uniqueId val="{00000000-871A-4899-863F-DCFB5E7C0035}"/>
            </c:ext>
          </c:extLst>
        </c:ser>
        <c:dLbls>
          <c:dLblPos val="inEnd"/>
          <c:showLegendKey val="0"/>
          <c:showVal val="1"/>
          <c:showCatName val="0"/>
          <c:showSerName val="0"/>
          <c:showPercent val="0"/>
          <c:showBubbleSize val="0"/>
        </c:dLbls>
        <c:gapWidth val="26"/>
        <c:axId val="1471401776"/>
        <c:axId val="1898602720"/>
      </c:barChart>
      <c:catAx>
        <c:axId val="1471401776"/>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98602720"/>
        <c:crosses val="autoZero"/>
        <c:auto val="1"/>
        <c:lblAlgn val="ctr"/>
        <c:lblOffset val="100"/>
        <c:noMultiLvlLbl val="0"/>
        <c:extLst>
          <c:ext xmlns:c15="http://schemas.microsoft.com/office/drawing/2012/chart" uri="{F40574EE-89B7-4290-83BB-5DA773EAF853}">
            <c15:numFmt c:formatCode="General" c:sourceLinked="1"/>
          </c:ext>
        </c:extLst>
      </c:catAx>
      <c:valAx>
        <c:axId val="1898602720"/>
        <c:scaling>
          <c:orientation val="minMax"/>
        </c:scaling>
        <c:delete val="1"/>
        <c:axPos val="b"/>
        <c:majorGridlines>
          <c:spPr>
            <a:ln w="9525" cap="flat" cmpd="sng" algn="ctr">
              <a:noFill/>
              <a:round/>
            </a:ln>
            <a:effectLst/>
          </c:spPr>
        </c:majorGridlines>
        <c:numFmt formatCode="General" sourceLinked="0"/>
        <c:majorTickMark val="none"/>
        <c:minorTickMark val="none"/>
        <c:tickLblPos val="nextTo"/>
        <c:crossAx val="1471401776"/>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extLst>
    <c:ext xmlns:c15="http://schemas.microsoft.com/office/drawing/2012/chart" uri="{723BEF56-08C2-4564-9609-F4CBC75E7E54}">
      <c15:pivotSource>
        <c15:name>[Excel practice3.xlsm]PivotChartTable7</c15:name>
        <c15:fmtId val="4"/>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Correlation</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strRef>
              <c:f>Sheet1!$E$1</c:f>
              <c:strCache>
                <c:ptCount val="1"/>
                <c:pt idx="0">
                  <c:v>Sales Amount</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multiLvlStrRef>
              <c:f>Sheet1!$A$2:$D$102</c:f>
              <c:multiLvlStrCache>
                <c:ptCount val="101"/>
                <c:lvl>
                  <c:pt idx="1">
                    <c:v>West</c:v>
                  </c:pt>
                  <c:pt idx="2">
                    <c:v>South</c:v>
                  </c:pt>
                  <c:pt idx="3">
                    <c:v>West</c:v>
                  </c:pt>
                  <c:pt idx="4">
                    <c:v>North</c:v>
                  </c:pt>
                  <c:pt idx="5">
                    <c:v>East</c:v>
                  </c:pt>
                  <c:pt idx="6">
                    <c:v>East</c:v>
                  </c:pt>
                  <c:pt idx="7">
                    <c:v>East</c:v>
                  </c:pt>
                  <c:pt idx="8">
                    <c:v>East</c:v>
                  </c:pt>
                  <c:pt idx="9">
                    <c:v>North</c:v>
                  </c:pt>
                  <c:pt idx="10">
                    <c:v>East</c:v>
                  </c:pt>
                  <c:pt idx="11">
                    <c:v>North</c:v>
                  </c:pt>
                  <c:pt idx="12">
                    <c:v>North</c:v>
                  </c:pt>
                  <c:pt idx="13">
                    <c:v>East</c:v>
                  </c:pt>
                  <c:pt idx="14">
                    <c:v>South</c:v>
                  </c:pt>
                  <c:pt idx="15">
                    <c:v>North</c:v>
                  </c:pt>
                  <c:pt idx="16">
                    <c:v>East</c:v>
                  </c:pt>
                  <c:pt idx="17">
                    <c:v>North</c:v>
                  </c:pt>
                  <c:pt idx="18">
                    <c:v>North</c:v>
                  </c:pt>
                  <c:pt idx="19">
                    <c:v>East</c:v>
                  </c:pt>
                  <c:pt idx="20">
                    <c:v>West</c:v>
                  </c:pt>
                  <c:pt idx="21">
                    <c:v>East</c:v>
                  </c:pt>
                  <c:pt idx="22">
                    <c:v>East</c:v>
                  </c:pt>
                  <c:pt idx="23">
                    <c:v>East</c:v>
                  </c:pt>
                  <c:pt idx="24">
                    <c:v>East</c:v>
                  </c:pt>
                  <c:pt idx="25">
                    <c:v>East</c:v>
                  </c:pt>
                  <c:pt idx="26">
                    <c:v>East</c:v>
                  </c:pt>
                  <c:pt idx="27">
                    <c:v>North</c:v>
                  </c:pt>
                  <c:pt idx="28">
                    <c:v>West</c:v>
                  </c:pt>
                  <c:pt idx="29">
                    <c:v>West</c:v>
                  </c:pt>
                  <c:pt idx="30">
                    <c:v>North</c:v>
                  </c:pt>
                  <c:pt idx="31">
                    <c:v>East</c:v>
                  </c:pt>
                  <c:pt idx="32">
                    <c:v>North</c:v>
                  </c:pt>
                  <c:pt idx="33">
                    <c:v>South</c:v>
                  </c:pt>
                  <c:pt idx="34">
                    <c:v>South</c:v>
                  </c:pt>
                  <c:pt idx="35">
                    <c:v>East</c:v>
                  </c:pt>
                  <c:pt idx="36">
                    <c:v>East</c:v>
                  </c:pt>
                  <c:pt idx="37">
                    <c:v>West</c:v>
                  </c:pt>
                  <c:pt idx="38">
                    <c:v>West</c:v>
                  </c:pt>
                  <c:pt idx="39">
                    <c:v>North</c:v>
                  </c:pt>
                  <c:pt idx="40">
                    <c:v>North</c:v>
                  </c:pt>
                  <c:pt idx="41">
                    <c:v>West</c:v>
                  </c:pt>
                  <c:pt idx="42">
                    <c:v>West</c:v>
                  </c:pt>
                  <c:pt idx="43">
                    <c:v>North</c:v>
                  </c:pt>
                  <c:pt idx="44">
                    <c:v>North</c:v>
                  </c:pt>
                  <c:pt idx="45">
                    <c:v>West</c:v>
                  </c:pt>
                  <c:pt idx="46">
                    <c:v>North</c:v>
                  </c:pt>
                  <c:pt idx="47">
                    <c:v>East</c:v>
                  </c:pt>
                  <c:pt idx="48">
                    <c:v>East</c:v>
                  </c:pt>
                  <c:pt idx="49">
                    <c:v>East</c:v>
                  </c:pt>
                  <c:pt idx="50">
                    <c:v>East</c:v>
                  </c:pt>
                  <c:pt idx="51">
                    <c:v>North</c:v>
                  </c:pt>
                  <c:pt idx="52">
                    <c:v>East</c:v>
                  </c:pt>
                  <c:pt idx="53">
                    <c:v>West</c:v>
                  </c:pt>
                  <c:pt idx="54">
                    <c:v>East</c:v>
                  </c:pt>
                  <c:pt idx="55">
                    <c:v>East</c:v>
                  </c:pt>
                  <c:pt idx="56">
                    <c:v>South</c:v>
                  </c:pt>
                  <c:pt idx="57">
                    <c:v>West</c:v>
                  </c:pt>
                  <c:pt idx="58">
                    <c:v>West</c:v>
                  </c:pt>
                  <c:pt idx="59">
                    <c:v>South</c:v>
                  </c:pt>
                  <c:pt idx="60">
                    <c:v>East</c:v>
                  </c:pt>
                  <c:pt idx="61">
                    <c:v>East</c:v>
                  </c:pt>
                  <c:pt idx="62">
                    <c:v>West</c:v>
                  </c:pt>
                  <c:pt idx="63">
                    <c:v>East</c:v>
                  </c:pt>
                  <c:pt idx="64">
                    <c:v>West</c:v>
                  </c:pt>
                  <c:pt idx="65">
                    <c:v>West</c:v>
                  </c:pt>
                  <c:pt idx="66">
                    <c:v>South</c:v>
                  </c:pt>
                  <c:pt idx="67">
                    <c:v>North</c:v>
                  </c:pt>
                  <c:pt idx="68">
                    <c:v>South</c:v>
                  </c:pt>
                  <c:pt idx="69">
                    <c:v>North</c:v>
                  </c:pt>
                  <c:pt idx="70">
                    <c:v>West</c:v>
                  </c:pt>
                  <c:pt idx="71">
                    <c:v>South</c:v>
                  </c:pt>
                  <c:pt idx="72">
                    <c:v>South</c:v>
                  </c:pt>
                  <c:pt idx="73">
                    <c:v>West</c:v>
                  </c:pt>
                  <c:pt idx="74">
                    <c:v>East</c:v>
                  </c:pt>
                  <c:pt idx="75">
                    <c:v>South</c:v>
                  </c:pt>
                  <c:pt idx="76">
                    <c:v>East</c:v>
                  </c:pt>
                  <c:pt idx="77">
                    <c:v>South</c:v>
                  </c:pt>
                  <c:pt idx="78">
                    <c:v>North</c:v>
                  </c:pt>
                  <c:pt idx="79">
                    <c:v>South</c:v>
                  </c:pt>
                  <c:pt idx="80">
                    <c:v>South</c:v>
                  </c:pt>
                  <c:pt idx="81">
                    <c:v>North</c:v>
                  </c:pt>
                  <c:pt idx="82">
                    <c:v>West</c:v>
                  </c:pt>
                  <c:pt idx="83">
                    <c:v>East</c:v>
                  </c:pt>
                  <c:pt idx="84">
                    <c:v>South</c:v>
                  </c:pt>
                  <c:pt idx="85">
                    <c:v>North</c:v>
                  </c:pt>
                  <c:pt idx="86">
                    <c:v>East</c:v>
                  </c:pt>
                  <c:pt idx="87">
                    <c:v>South</c:v>
                  </c:pt>
                  <c:pt idx="88">
                    <c:v>North</c:v>
                  </c:pt>
                  <c:pt idx="89">
                    <c:v>North</c:v>
                  </c:pt>
                  <c:pt idx="90">
                    <c:v>East</c:v>
                  </c:pt>
                  <c:pt idx="91">
                    <c:v>East</c:v>
                  </c:pt>
                  <c:pt idx="92">
                    <c:v>West</c:v>
                  </c:pt>
                  <c:pt idx="93">
                    <c:v>North</c:v>
                  </c:pt>
                  <c:pt idx="94">
                    <c:v>East</c:v>
                  </c:pt>
                  <c:pt idx="95">
                    <c:v>North</c:v>
                  </c:pt>
                  <c:pt idx="96">
                    <c:v>East</c:v>
                  </c:pt>
                  <c:pt idx="97">
                    <c:v>West</c:v>
                  </c:pt>
                  <c:pt idx="98">
                    <c:v>East</c:v>
                  </c:pt>
                  <c:pt idx="99">
                    <c:v>South</c:v>
                  </c:pt>
                  <c:pt idx="100">
                    <c:v>North</c:v>
                  </c:pt>
                </c:lvl>
                <c:lvl>
                  <c:pt idx="1">
                    <c:v>Footwear</c:v>
                  </c:pt>
                  <c:pt idx="2">
                    <c:v>Footwear</c:v>
                  </c:pt>
                  <c:pt idx="3">
                    <c:v>Clothing</c:v>
                  </c:pt>
                  <c:pt idx="4">
                    <c:v>Footwear</c:v>
                  </c:pt>
                  <c:pt idx="5">
                    <c:v>Appliances</c:v>
                  </c:pt>
                  <c:pt idx="6">
                    <c:v>Electronics</c:v>
                  </c:pt>
                  <c:pt idx="7">
                    <c:v>Footwear</c:v>
                  </c:pt>
                  <c:pt idx="8">
                    <c:v>Appliances</c:v>
                  </c:pt>
                  <c:pt idx="9">
                    <c:v>Electronics</c:v>
                  </c:pt>
                  <c:pt idx="10">
                    <c:v>Appliances</c:v>
                  </c:pt>
                  <c:pt idx="11">
                    <c:v>Electronics</c:v>
                  </c:pt>
                  <c:pt idx="12">
                    <c:v>Clothing</c:v>
                  </c:pt>
                  <c:pt idx="13">
                    <c:v>Footwear</c:v>
                  </c:pt>
                  <c:pt idx="14">
                    <c:v>Footwear</c:v>
                  </c:pt>
                  <c:pt idx="15">
                    <c:v>Electronics</c:v>
                  </c:pt>
                  <c:pt idx="16">
                    <c:v>Appliances</c:v>
                  </c:pt>
                  <c:pt idx="17">
                    <c:v>Clothing</c:v>
                  </c:pt>
                  <c:pt idx="18">
                    <c:v>Clothing</c:v>
                  </c:pt>
                  <c:pt idx="19">
                    <c:v>Footwear</c:v>
                  </c:pt>
                  <c:pt idx="20">
                    <c:v>Appliances</c:v>
                  </c:pt>
                  <c:pt idx="21">
                    <c:v>Clothing</c:v>
                  </c:pt>
                  <c:pt idx="22">
                    <c:v>Electronics</c:v>
                  </c:pt>
                  <c:pt idx="23">
                    <c:v>Clothing</c:v>
                  </c:pt>
                  <c:pt idx="24">
                    <c:v>Electronics</c:v>
                  </c:pt>
                  <c:pt idx="25">
                    <c:v>Footwear</c:v>
                  </c:pt>
                  <c:pt idx="26">
                    <c:v>Clothing</c:v>
                  </c:pt>
                  <c:pt idx="27">
                    <c:v>Clothing</c:v>
                  </c:pt>
                  <c:pt idx="28">
                    <c:v>Clothing</c:v>
                  </c:pt>
                  <c:pt idx="29">
                    <c:v>Clothing</c:v>
                  </c:pt>
                  <c:pt idx="30">
                    <c:v>Appliances</c:v>
                  </c:pt>
                  <c:pt idx="31">
                    <c:v>Footwear</c:v>
                  </c:pt>
                  <c:pt idx="32">
                    <c:v>Appliances</c:v>
                  </c:pt>
                  <c:pt idx="33">
                    <c:v>Electronics</c:v>
                  </c:pt>
                  <c:pt idx="34">
                    <c:v>Footwear</c:v>
                  </c:pt>
                  <c:pt idx="35">
                    <c:v>Electronics</c:v>
                  </c:pt>
                  <c:pt idx="36">
                    <c:v>Appliances</c:v>
                  </c:pt>
                  <c:pt idx="37">
                    <c:v>Electronics</c:v>
                  </c:pt>
                  <c:pt idx="38">
                    <c:v>Clothing</c:v>
                  </c:pt>
                  <c:pt idx="39">
                    <c:v>Footwear</c:v>
                  </c:pt>
                  <c:pt idx="40">
                    <c:v>Footwear</c:v>
                  </c:pt>
                  <c:pt idx="41">
                    <c:v>Electronics</c:v>
                  </c:pt>
                  <c:pt idx="42">
                    <c:v>Appliances</c:v>
                  </c:pt>
                  <c:pt idx="43">
                    <c:v>Electronics</c:v>
                  </c:pt>
                  <c:pt idx="44">
                    <c:v>Appliances</c:v>
                  </c:pt>
                  <c:pt idx="45">
                    <c:v>Electronics</c:v>
                  </c:pt>
                  <c:pt idx="46">
                    <c:v>Electronics</c:v>
                  </c:pt>
                  <c:pt idx="47">
                    <c:v>Clothing</c:v>
                  </c:pt>
                  <c:pt idx="48">
                    <c:v>Footwear</c:v>
                  </c:pt>
                  <c:pt idx="49">
                    <c:v>Clothing</c:v>
                  </c:pt>
                  <c:pt idx="50">
                    <c:v>Clothing</c:v>
                  </c:pt>
                  <c:pt idx="51">
                    <c:v>Electronics</c:v>
                  </c:pt>
                  <c:pt idx="52">
                    <c:v>Electronics</c:v>
                  </c:pt>
                  <c:pt idx="53">
                    <c:v>Footwear</c:v>
                  </c:pt>
                  <c:pt idx="54">
                    <c:v>Clothing</c:v>
                  </c:pt>
                  <c:pt idx="55">
                    <c:v>Clothing</c:v>
                  </c:pt>
                  <c:pt idx="56">
                    <c:v>Appliances</c:v>
                  </c:pt>
                  <c:pt idx="57">
                    <c:v>Appliances</c:v>
                  </c:pt>
                  <c:pt idx="58">
                    <c:v>Footwear</c:v>
                  </c:pt>
                  <c:pt idx="59">
                    <c:v>Clothing</c:v>
                  </c:pt>
                  <c:pt idx="60">
                    <c:v>Clothing</c:v>
                  </c:pt>
                  <c:pt idx="61">
                    <c:v>Clothing</c:v>
                  </c:pt>
                  <c:pt idx="62">
                    <c:v>Electronics</c:v>
                  </c:pt>
                  <c:pt idx="63">
                    <c:v>Appliances</c:v>
                  </c:pt>
                  <c:pt idx="64">
                    <c:v>Appliances</c:v>
                  </c:pt>
                  <c:pt idx="65">
                    <c:v>Electronics</c:v>
                  </c:pt>
                  <c:pt idx="66">
                    <c:v>Appliances</c:v>
                  </c:pt>
                  <c:pt idx="67">
                    <c:v>Appliances</c:v>
                  </c:pt>
                  <c:pt idx="68">
                    <c:v>Clothing</c:v>
                  </c:pt>
                  <c:pt idx="69">
                    <c:v>Electronics</c:v>
                  </c:pt>
                  <c:pt idx="70">
                    <c:v>Electronics</c:v>
                  </c:pt>
                  <c:pt idx="71">
                    <c:v>Appliances</c:v>
                  </c:pt>
                  <c:pt idx="72">
                    <c:v>Appliances</c:v>
                  </c:pt>
                  <c:pt idx="73">
                    <c:v>Clothing</c:v>
                  </c:pt>
                  <c:pt idx="74">
                    <c:v>Appliances</c:v>
                  </c:pt>
                  <c:pt idx="75">
                    <c:v>Electronics</c:v>
                  </c:pt>
                  <c:pt idx="76">
                    <c:v>Appliances</c:v>
                  </c:pt>
                  <c:pt idx="77">
                    <c:v>Electronics</c:v>
                  </c:pt>
                  <c:pt idx="78">
                    <c:v>Footwear</c:v>
                  </c:pt>
                  <c:pt idx="79">
                    <c:v>Clothing</c:v>
                  </c:pt>
                  <c:pt idx="80">
                    <c:v>Appliances</c:v>
                  </c:pt>
                  <c:pt idx="81">
                    <c:v>Electronics</c:v>
                  </c:pt>
                  <c:pt idx="82">
                    <c:v>Electronics</c:v>
                  </c:pt>
                  <c:pt idx="83">
                    <c:v>Appliances</c:v>
                  </c:pt>
                  <c:pt idx="84">
                    <c:v>Footwear</c:v>
                  </c:pt>
                  <c:pt idx="85">
                    <c:v>Electronics</c:v>
                  </c:pt>
                  <c:pt idx="86">
                    <c:v>Clothing</c:v>
                  </c:pt>
                  <c:pt idx="87">
                    <c:v>Electronics</c:v>
                  </c:pt>
                  <c:pt idx="88">
                    <c:v>Electronics</c:v>
                  </c:pt>
                  <c:pt idx="89">
                    <c:v>Appliances</c:v>
                  </c:pt>
                  <c:pt idx="90">
                    <c:v>Clothing</c:v>
                  </c:pt>
                  <c:pt idx="91">
                    <c:v>Footwear</c:v>
                  </c:pt>
                  <c:pt idx="92">
                    <c:v>Clothing</c:v>
                  </c:pt>
                  <c:pt idx="93">
                    <c:v>Appliances</c:v>
                  </c:pt>
                  <c:pt idx="94">
                    <c:v>Footwear</c:v>
                  </c:pt>
                  <c:pt idx="95">
                    <c:v>Footwear</c:v>
                  </c:pt>
                  <c:pt idx="96">
                    <c:v>Appliances</c:v>
                  </c:pt>
                  <c:pt idx="97">
                    <c:v>Clothing</c:v>
                  </c:pt>
                  <c:pt idx="98">
                    <c:v>Appliances</c:v>
                  </c:pt>
                  <c:pt idx="99">
                    <c:v>Clothing</c:v>
                  </c:pt>
                  <c:pt idx="100">
                    <c:v>Clothing</c:v>
                  </c:pt>
                </c:lvl>
                <c:lvl>
                  <c:pt idx="1">
                    <c:v>Boots</c:v>
                  </c:pt>
                  <c:pt idx="2">
                    <c:v>Boots</c:v>
                  </c:pt>
                  <c:pt idx="3">
                    <c:v>Trousers</c:v>
                  </c:pt>
                  <c:pt idx="4">
                    <c:v>Sneakers</c:v>
                  </c:pt>
                  <c:pt idx="5">
                    <c:v>Blender</c:v>
                  </c:pt>
                  <c:pt idx="6">
                    <c:v>Laptop</c:v>
                  </c:pt>
                  <c:pt idx="7">
                    <c:v>Sneakers</c:v>
                  </c:pt>
                  <c:pt idx="8">
                    <c:v>Microwave</c:v>
                  </c:pt>
                  <c:pt idx="9">
                    <c:v>Smartphone</c:v>
                  </c:pt>
                  <c:pt idx="10">
                    <c:v>Microwave</c:v>
                  </c:pt>
                  <c:pt idx="11">
                    <c:v>Smartphone</c:v>
                  </c:pt>
                  <c:pt idx="12">
                    <c:v>Trousers</c:v>
                  </c:pt>
                  <c:pt idx="13">
                    <c:v>Sneakers</c:v>
                  </c:pt>
                  <c:pt idx="14">
                    <c:v>Boots</c:v>
                  </c:pt>
                  <c:pt idx="15">
                    <c:v>Smartphone</c:v>
                  </c:pt>
                  <c:pt idx="16">
                    <c:v>Microwave</c:v>
                  </c:pt>
                  <c:pt idx="17">
                    <c:v>Trousers</c:v>
                  </c:pt>
                  <c:pt idx="18">
                    <c:v>Trousers</c:v>
                  </c:pt>
                  <c:pt idx="19">
                    <c:v>Sneakers</c:v>
                  </c:pt>
                  <c:pt idx="20">
                    <c:v>Microwave</c:v>
                  </c:pt>
                  <c:pt idx="21">
                    <c:v>Trousers</c:v>
                  </c:pt>
                  <c:pt idx="22">
                    <c:v>Smartphone</c:v>
                  </c:pt>
                  <c:pt idx="23">
                    <c:v>Trousers</c:v>
                  </c:pt>
                  <c:pt idx="24">
                    <c:v>Smartphone</c:v>
                  </c:pt>
                  <c:pt idx="25">
                    <c:v>Sneakers</c:v>
                  </c:pt>
                  <c:pt idx="26">
                    <c:v>Shirt</c:v>
                  </c:pt>
                  <c:pt idx="27">
                    <c:v>Trousers</c:v>
                  </c:pt>
                  <c:pt idx="28">
                    <c:v>Shirt</c:v>
                  </c:pt>
                  <c:pt idx="29">
                    <c:v>Shirt</c:v>
                  </c:pt>
                  <c:pt idx="30">
                    <c:v>Blender</c:v>
                  </c:pt>
                  <c:pt idx="31">
                    <c:v>Sneakers</c:v>
                  </c:pt>
                  <c:pt idx="32">
                    <c:v>Microwave</c:v>
                  </c:pt>
                  <c:pt idx="33">
                    <c:v>Smartphone</c:v>
                  </c:pt>
                  <c:pt idx="34">
                    <c:v>Sneakers</c:v>
                  </c:pt>
                  <c:pt idx="35">
                    <c:v>Smartphone</c:v>
                  </c:pt>
                  <c:pt idx="36">
                    <c:v>Microwave</c:v>
                  </c:pt>
                  <c:pt idx="37">
                    <c:v>Laptop</c:v>
                  </c:pt>
                  <c:pt idx="38">
                    <c:v>Shirt</c:v>
                  </c:pt>
                  <c:pt idx="39">
                    <c:v>Sneakers</c:v>
                  </c:pt>
                  <c:pt idx="40">
                    <c:v>Sneakers</c:v>
                  </c:pt>
                  <c:pt idx="41">
                    <c:v>Laptop</c:v>
                  </c:pt>
                  <c:pt idx="42">
                    <c:v>Blender</c:v>
                  </c:pt>
                  <c:pt idx="43">
                    <c:v>Laptop</c:v>
                  </c:pt>
                  <c:pt idx="44">
                    <c:v>Blender</c:v>
                  </c:pt>
                  <c:pt idx="45">
                    <c:v>Smartphone</c:v>
                  </c:pt>
                  <c:pt idx="46">
                    <c:v>Smartphone</c:v>
                  </c:pt>
                  <c:pt idx="47">
                    <c:v>Shirt</c:v>
                  </c:pt>
                  <c:pt idx="48">
                    <c:v>Sneakers</c:v>
                  </c:pt>
                  <c:pt idx="49">
                    <c:v>Shirt</c:v>
                  </c:pt>
                  <c:pt idx="50">
                    <c:v>Trousers</c:v>
                  </c:pt>
                  <c:pt idx="51">
                    <c:v>Laptop</c:v>
                  </c:pt>
                  <c:pt idx="52">
                    <c:v>Smartphone</c:v>
                  </c:pt>
                  <c:pt idx="53">
                    <c:v>Sneakers</c:v>
                  </c:pt>
                  <c:pt idx="54">
                    <c:v>Trousers</c:v>
                  </c:pt>
                  <c:pt idx="55">
                    <c:v>Shirt</c:v>
                  </c:pt>
                  <c:pt idx="56">
                    <c:v>Blender</c:v>
                  </c:pt>
                  <c:pt idx="57">
                    <c:v>Blender</c:v>
                  </c:pt>
                  <c:pt idx="58">
                    <c:v>Boots</c:v>
                  </c:pt>
                  <c:pt idx="59">
                    <c:v>Shirt</c:v>
                  </c:pt>
                  <c:pt idx="60">
                    <c:v>Shirt</c:v>
                  </c:pt>
                  <c:pt idx="61">
                    <c:v>Shirt</c:v>
                  </c:pt>
                  <c:pt idx="62">
                    <c:v>Laptop</c:v>
                  </c:pt>
                  <c:pt idx="63">
                    <c:v>Microwave</c:v>
                  </c:pt>
                  <c:pt idx="64">
                    <c:v>Blender</c:v>
                  </c:pt>
                  <c:pt idx="65">
                    <c:v>Smartphone</c:v>
                  </c:pt>
                  <c:pt idx="66">
                    <c:v>Microwave</c:v>
                  </c:pt>
                  <c:pt idx="67">
                    <c:v>Microwave</c:v>
                  </c:pt>
                  <c:pt idx="68">
                    <c:v>Trousers</c:v>
                  </c:pt>
                  <c:pt idx="69">
                    <c:v>Smartphone</c:v>
                  </c:pt>
                  <c:pt idx="70">
                    <c:v>Laptop</c:v>
                  </c:pt>
                  <c:pt idx="71">
                    <c:v>Blender</c:v>
                  </c:pt>
                  <c:pt idx="72">
                    <c:v>Blender</c:v>
                  </c:pt>
                  <c:pt idx="73">
                    <c:v>Shirt</c:v>
                  </c:pt>
                  <c:pt idx="74">
                    <c:v>Blender</c:v>
                  </c:pt>
                  <c:pt idx="75">
                    <c:v>Laptop</c:v>
                  </c:pt>
                  <c:pt idx="76">
                    <c:v>Blender</c:v>
                  </c:pt>
                  <c:pt idx="77">
                    <c:v>Smartphone</c:v>
                  </c:pt>
                  <c:pt idx="78">
                    <c:v>Boots</c:v>
                  </c:pt>
                  <c:pt idx="79">
                    <c:v>Shirt</c:v>
                  </c:pt>
                  <c:pt idx="80">
                    <c:v>Blender</c:v>
                  </c:pt>
                  <c:pt idx="81">
                    <c:v>Smartphone</c:v>
                  </c:pt>
                  <c:pt idx="82">
                    <c:v>Smartphone</c:v>
                  </c:pt>
                  <c:pt idx="83">
                    <c:v>Blender</c:v>
                  </c:pt>
                  <c:pt idx="84">
                    <c:v>Boots</c:v>
                  </c:pt>
                  <c:pt idx="85">
                    <c:v>Smartphone</c:v>
                  </c:pt>
                  <c:pt idx="86">
                    <c:v>Shirt</c:v>
                  </c:pt>
                  <c:pt idx="87">
                    <c:v>Laptop</c:v>
                  </c:pt>
                  <c:pt idx="88">
                    <c:v>Laptop</c:v>
                  </c:pt>
                  <c:pt idx="89">
                    <c:v>Blender</c:v>
                  </c:pt>
                  <c:pt idx="90">
                    <c:v>Shirt</c:v>
                  </c:pt>
                  <c:pt idx="91">
                    <c:v>Boots</c:v>
                  </c:pt>
                  <c:pt idx="92">
                    <c:v>Trousers</c:v>
                  </c:pt>
                  <c:pt idx="93">
                    <c:v>Microwave</c:v>
                  </c:pt>
                  <c:pt idx="94">
                    <c:v>Sneakers</c:v>
                  </c:pt>
                  <c:pt idx="95">
                    <c:v>Sneakers</c:v>
                  </c:pt>
                  <c:pt idx="96">
                    <c:v>Blender</c:v>
                  </c:pt>
                  <c:pt idx="97">
                    <c:v>Shirt</c:v>
                  </c:pt>
                  <c:pt idx="98">
                    <c:v>Blender</c:v>
                  </c:pt>
                  <c:pt idx="99">
                    <c:v>Shirt</c:v>
                  </c:pt>
                  <c:pt idx="100">
                    <c:v>Shirt</c:v>
                  </c:pt>
                </c:lvl>
                <c:lvl>
                  <c:pt idx="1">
                    <c:v>2025-04-20</c:v>
                  </c:pt>
                  <c:pt idx="2">
                    <c:v>2025-03-31</c:v>
                  </c:pt>
                  <c:pt idx="3">
                    <c:v>2025-02-09</c:v>
                  </c:pt>
                  <c:pt idx="4">
                    <c:v>2025-01-29</c:v>
                  </c:pt>
                  <c:pt idx="5">
                    <c:v>2025-03-06</c:v>
                  </c:pt>
                  <c:pt idx="6">
                    <c:v>2025-03-28</c:v>
                  </c:pt>
                  <c:pt idx="7">
                    <c:v>2025-01-12</c:v>
                  </c:pt>
                  <c:pt idx="8">
                    <c:v>2025-02-06</c:v>
                  </c:pt>
                  <c:pt idx="9">
                    <c:v>2025-02-06</c:v>
                  </c:pt>
                  <c:pt idx="10">
                    <c:v>2025-02-13</c:v>
                  </c:pt>
                  <c:pt idx="11">
                    <c:v>2025-03-16</c:v>
                  </c:pt>
                  <c:pt idx="12">
                    <c:v>2025-03-16</c:v>
                  </c:pt>
                  <c:pt idx="13">
                    <c:v>2025-03-11</c:v>
                  </c:pt>
                  <c:pt idx="14">
                    <c:v>2025-01-11</c:v>
                  </c:pt>
                  <c:pt idx="15">
                    <c:v>2025-02-13</c:v>
                  </c:pt>
                  <c:pt idx="16">
                    <c:v>2025-04-02</c:v>
                  </c:pt>
                  <c:pt idx="17">
                    <c:v>2025-01-10</c:v>
                  </c:pt>
                  <c:pt idx="18">
                    <c:v>2025-02-05</c:v>
                  </c:pt>
                  <c:pt idx="19">
                    <c:v>2025-03-25</c:v>
                  </c:pt>
                  <c:pt idx="20">
                    <c:v>2025-04-28</c:v>
                  </c:pt>
                  <c:pt idx="21">
                    <c:v>2025-04-17</c:v>
                  </c:pt>
                  <c:pt idx="22">
                    <c:v>2025-01-03</c:v>
                  </c:pt>
                  <c:pt idx="23">
                    <c:v>2025-02-04</c:v>
                  </c:pt>
                  <c:pt idx="24">
                    <c:v>2025-02-16</c:v>
                  </c:pt>
                  <c:pt idx="25">
                    <c:v>2025-02-26</c:v>
                  </c:pt>
                  <c:pt idx="26">
                    <c:v>2025-02-23</c:v>
                  </c:pt>
                  <c:pt idx="27">
                    <c:v>2025-04-30</c:v>
                  </c:pt>
                  <c:pt idx="28">
                    <c:v>2025-04-18</c:v>
                  </c:pt>
                  <c:pt idx="29">
                    <c:v>2025-02-15</c:v>
                  </c:pt>
                  <c:pt idx="30">
                    <c:v>2025-02-28</c:v>
                  </c:pt>
                  <c:pt idx="31">
                    <c:v>2025-04-02</c:v>
                  </c:pt>
                  <c:pt idx="32">
                    <c:v>2025-02-05</c:v>
                  </c:pt>
                  <c:pt idx="33">
                    <c:v>2025-05-01</c:v>
                  </c:pt>
                  <c:pt idx="34">
                    <c:v>2025-01-08</c:v>
                  </c:pt>
                  <c:pt idx="35">
                    <c:v>2025-03-31</c:v>
                  </c:pt>
                  <c:pt idx="36">
                    <c:v>2025-04-01</c:v>
                  </c:pt>
                  <c:pt idx="37">
                    <c:v>2025-01-23</c:v>
                  </c:pt>
                  <c:pt idx="38">
                    <c:v>2025-02-17</c:v>
                  </c:pt>
                  <c:pt idx="39">
                    <c:v>2025-02-22</c:v>
                  </c:pt>
                  <c:pt idx="40">
                    <c:v>2025-03-15</c:v>
                  </c:pt>
                  <c:pt idx="41">
                    <c:v>2025-01-22</c:v>
                  </c:pt>
                  <c:pt idx="42">
                    <c:v>2025-04-15</c:v>
                  </c:pt>
                  <c:pt idx="43">
                    <c:v>2025-01-02</c:v>
                  </c:pt>
                  <c:pt idx="44">
                    <c:v>2025-02-05</c:v>
                  </c:pt>
                  <c:pt idx="45">
                    <c:v>2025-02-01</c:v>
                  </c:pt>
                  <c:pt idx="46">
                    <c:v>2025-02-13</c:v>
                  </c:pt>
                  <c:pt idx="47">
                    <c:v>2025-02-14</c:v>
                  </c:pt>
                  <c:pt idx="48">
                    <c:v>2025-02-09</c:v>
                  </c:pt>
                  <c:pt idx="49">
                    <c:v>2025-02-17</c:v>
                  </c:pt>
                  <c:pt idx="50">
                    <c:v>2025-02-07</c:v>
                  </c:pt>
                  <c:pt idx="51">
                    <c:v>2025-01-20</c:v>
                  </c:pt>
                  <c:pt idx="52">
                    <c:v>2025-01-13</c:v>
                  </c:pt>
                  <c:pt idx="53">
                    <c:v>2025-04-02</c:v>
                  </c:pt>
                  <c:pt idx="54">
                    <c:v>2025-03-09</c:v>
                  </c:pt>
                  <c:pt idx="55">
                    <c:v>2025-02-25</c:v>
                  </c:pt>
                  <c:pt idx="56">
                    <c:v>2025-01-13</c:v>
                  </c:pt>
                  <c:pt idx="57">
                    <c:v>2025-01-22</c:v>
                  </c:pt>
                  <c:pt idx="58">
                    <c:v>2025-02-02</c:v>
                  </c:pt>
                  <c:pt idx="59">
                    <c:v>2025-01-08</c:v>
                  </c:pt>
                  <c:pt idx="60">
                    <c:v>2025-01-19</c:v>
                  </c:pt>
                  <c:pt idx="61">
                    <c:v>2025-02-18</c:v>
                  </c:pt>
                  <c:pt idx="62">
                    <c:v>2025-03-19</c:v>
                  </c:pt>
                  <c:pt idx="63">
                    <c:v>2025-03-25</c:v>
                  </c:pt>
                  <c:pt idx="64">
                    <c:v>2025-03-11</c:v>
                  </c:pt>
                  <c:pt idx="65">
                    <c:v>2025-02-05</c:v>
                  </c:pt>
                  <c:pt idx="66">
                    <c:v>2025-01-24</c:v>
                  </c:pt>
                  <c:pt idx="67">
                    <c:v>2025-02-11</c:v>
                  </c:pt>
                  <c:pt idx="68">
                    <c:v>2025-03-04</c:v>
                  </c:pt>
                  <c:pt idx="69">
                    <c:v>2025-03-03</c:v>
                  </c:pt>
                  <c:pt idx="70">
                    <c:v>2025-03-03</c:v>
                  </c:pt>
                  <c:pt idx="71">
                    <c:v>2025-01-01</c:v>
                  </c:pt>
                  <c:pt idx="72">
                    <c:v>2025-01-06</c:v>
                  </c:pt>
                  <c:pt idx="73">
                    <c:v>2025-03-23</c:v>
                  </c:pt>
                  <c:pt idx="74">
                    <c:v>2025-03-19</c:v>
                  </c:pt>
                  <c:pt idx="75">
                    <c:v>2025-02-14</c:v>
                  </c:pt>
                  <c:pt idx="76">
                    <c:v>2025-03-28</c:v>
                  </c:pt>
                  <c:pt idx="77">
                    <c:v>2025-03-18</c:v>
                  </c:pt>
                  <c:pt idx="78">
                    <c:v>2025-03-09</c:v>
                  </c:pt>
                  <c:pt idx="79">
                    <c:v>2025-02-05</c:v>
                  </c:pt>
                  <c:pt idx="80">
                    <c:v>2025-01-01</c:v>
                  </c:pt>
                  <c:pt idx="81">
                    <c:v>2025-03-08</c:v>
                  </c:pt>
                  <c:pt idx="82">
                    <c:v>2025-04-09</c:v>
                  </c:pt>
                  <c:pt idx="83">
                    <c:v>2025-02-24</c:v>
                  </c:pt>
                  <c:pt idx="84">
                    <c:v>2025-02-05</c:v>
                  </c:pt>
                  <c:pt idx="85">
                    <c:v>2025-03-12</c:v>
                  </c:pt>
                  <c:pt idx="86">
                    <c:v>2025-04-19</c:v>
                  </c:pt>
                  <c:pt idx="87">
                    <c:v>2025-03-05</c:v>
                  </c:pt>
                  <c:pt idx="88">
                    <c:v>2025-04-14</c:v>
                  </c:pt>
                  <c:pt idx="89">
                    <c:v>2025-03-16</c:v>
                  </c:pt>
                  <c:pt idx="90">
                    <c:v>2025-01-20</c:v>
                  </c:pt>
                  <c:pt idx="91">
                    <c:v>2025-03-30</c:v>
                  </c:pt>
                  <c:pt idx="92">
                    <c:v>2025-03-09</c:v>
                  </c:pt>
                  <c:pt idx="93">
                    <c:v>2025-04-07</c:v>
                  </c:pt>
                  <c:pt idx="94">
                    <c:v>2025-02-16</c:v>
                  </c:pt>
                  <c:pt idx="95">
                    <c:v>2025-04-15</c:v>
                  </c:pt>
                  <c:pt idx="96">
                    <c:v>2025-04-09</c:v>
                  </c:pt>
                  <c:pt idx="97">
                    <c:v>2025-02-19</c:v>
                  </c:pt>
                  <c:pt idx="98">
                    <c:v>2025-01-03</c:v>
                  </c:pt>
                  <c:pt idx="99">
                    <c:v>2025-05-01</c:v>
                  </c:pt>
                  <c:pt idx="100">
                    <c:v>2025-01-09</c:v>
                  </c:pt>
                </c:lvl>
              </c:multiLvlStrCache>
            </c:multiLvlStrRef>
          </c:xVal>
          <c:yVal>
            <c:numRef>
              <c:f>Sheet1!$E$2:$E$102</c:f>
              <c:numCache>
                <c:formatCode>General</c:formatCode>
                <c:ptCount val="101"/>
                <c:pt idx="0">
                  <c:v>227</c:v>
                </c:pt>
                <c:pt idx="1">
                  <c:v>229</c:v>
                </c:pt>
                <c:pt idx="2">
                  <c:v>311</c:v>
                </c:pt>
                <c:pt idx="3">
                  <c:v>399</c:v>
                </c:pt>
                <c:pt idx="4">
                  <c:v>545</c:v>
                </c:pt>
                <c:pt idx="5">
                  <c:v>558</c:v>
                </c:pt>
                <c:pt idx="6">
                  <c:v>632</c:v>
                </c:pt>
                <c:pt idx="7">
                  <c:v>636</c:v>
                </c:pt>
                <c:pt idx="8">
                  <c:v>676</c:v>
                </c:pt>
                <c:pt idx="9">
                  <c:v>808</c:v>
                </c:pt>
                <c:pt idx="10">
                  <c:v>852</c:v>
                </c:pt>
                <c:pt idx="11">
                  <c:v>1017</c:v>
                </c:pt>
                <c:pt idx="12">
                  <c:v>1044</c:v>
                </c:pt>
                <c:pt idx="13">
                  <c:v>1185</c:v>
                </c:pt>
                <c:pt idx="14">
                  <c:v>1220</c:v>
                </c:pt>
                <c:pt idx="15">
                  <c:v>1464</c:v>
                </c:pt>
                <c:pt idx="16">
                  <c:v>1592</c:v>
                </c:pt>
                <c:pt idx="17">
                  <c:v>1694</c:v>
                </c:pt>
                <c:pt idx="18">
                  <c:v>1767</c:v>
                </c:pt>
                <c:pt idx="19">
                  <c:v>1836</c:v>
                </c:pt>
                <c:pt idx="20">
                  <c:v>1905</c:v>
                </c:pt>
                <c:pt idx="21">
                  <c:v>1944</c:v>
                </c:pt>
                <c:pt idx="22">
                  <c:v>2094</c:v>
                </c:pt>
                <c:pt idx="23">
                  <c:v>2134</c:v>
                </c:pt>
                <c:pt idx="24">
                  <c:v>2274</c:v>
                </c:pt>
                <c:pt idx="25">
                  <c:v>2388</c:v>
                </c:pt>
                <c:pt idx="26">
                  <c:v>2460</c:v>
                </c:pt>
                <c:pt idx="27">
                  <c:v>2490</c:v>
                </c:pt>
                <c:pt idx="28">
                  <c:v>2522</c:v>
                </c:pt>
                <c:pt idx="29">
                  <c:v>2560</c:v>
                </c:pt>
                <c:pt idx="30">
                  <c:v>2598</c:v>
                </c:pt>
                <c:pt idx="31">
                  <c:v>2690</c:v>
                </c:pt>
                <c:pt idx="32">
                  <c:v>2728</c:v>
                </c:pt>
                <c:pt idx="33">
                  <c:v>2790</c:v>
                </c:pt>
                <c:pt idx="34">
                  <c:v>2805</c:v>
                </c:pt>
                <c:pt idx="35">
                  <c:v>2832</c:v>
                </c:pt>
                <c:pt idx="36">
                  <c:v>2853</c:v>
                </c:pt>
                <c:pt idx="37">
                  <c:v>2968</c:v>
                </c:pt>
                <c:pt idx="38">
                  <c:v>3004</c:v>
                </c:pt>
                <c:pt idx="39">
                  <c:v>3042</c:v>
                </c:pt>
                <c:pt idx="40">
                  <c:v>3225</c:v>
                </c:pt>
                <c:pt idx="41">
                  <c:v>3835</c:v>
                </c:pt>
                <c:pt idx="42">
                  <c:v>3880</c:v>
                </c:pt>
                <c:pt idx="43">
                  <c:v>3928</c:v>
                </c:pt>
                <c:pt idx="44">
                  <c:v>3941</c:v>
                </c:pt>
                <c:pt idx="45">
                  <c:v>3955</c:v>
                </c:pt>
                <c:pt idx="46">
                  <c:v>3996</c:v>
                </c:pt>
                <c:pt idx="47">
                  <c:v>4048</c:v>
                </c:pt>
                <c:pt idx="48">
                  <c:v>4050</c:v>
                </c:pt>
                <c:pt idx="49">
                  <c:v>4140</c:v>
                </c:pt>
                <c:pt idx="50">
                  <c:v>4216</c:v>
                </c:pt>
                <c:pt idx="51">
                  <c:v>4382</c:v>
                </c:pt>
                <c:pt idx="52">
                  <c:v>4459</c:v>
                </c:pt>
                <c:pt idx="53">
                  <c:v>4540</c:v>
                </c:pt>
                <c:pt idx="54">
                  <c:v>4685</c:v>
                </c:pt>
                <c:pt idx="55">
                  <c:v>4779</c:v>
                </c:pt>
                <c:pt idx="56">
                  <c:v>4806</c:v>
                </c:pt>
                <c:pt idx="57">
                  <c:v>4884</c:v>
                </c:pt>
                <c:pt idx="58">
                  <c:v>5544</c:v>
                </c:pt>
                <c:pt idx="59">
                  <c:v>5760</c:v>
                </c:pt>
                <c:pt idx="60">
                  <c:v>5832</c:v>
                </c:pt>
                <c:pt idx="61">
                  <c:v>6040</c:v>
                </c:pt>
                <c:pt idx="62">
                  <c:v>6104</c:v>
                </c:pt>
                <c:pt idx="63">
                  <c:v>6413</c:v>
                </c:pt>
                <c:pt idx="64">
                  <c:v>6464</c:v>
                </c:pt>
                <c:pt idx="65">
                  <c:v>6560</c:v>
                </c:pt>
                <c:pt idx="66">
                  <c:v>6855</c:v>
                </c:pt>
                <c:pt idx="67">
                  <c:v>6885</c:v>
                </c:pt>
                <c:pt idx="68">
                  <c:v>6948</c:v>
                </c:pt>
                <c:pt idx="69">
                  <c:v>7200</c:v>
                </c:pt>
                <c:pt idx="70">
                  <c:v>7395</c:v>
                </c:pt>
                <c:pt idx="71">
                  <c:v>7395</c:v>
                </c:pt>
                <c:pt idx="72">
                  <c:v>7398</c:v>
                </c:pt>
                <c:pt idx="73">
                  <c:v>7683</c:v>
                </c:pt>
                <c:pt idx="74">
                  <c:v>7776</c:v>
                </c:pt>
                <c:pt idx="75">
                  <c:v>7800</c:v>
                </c:pt>
                <c:pt idx="76">
                  <c:v>7840</c:v>
                </c:pt>
                <c:pt idx="77">
                  <c:v>7875</c:v>
                </c:pt>
                <c:pt idx="78">
                  <c:v>7930</c:v>
                </c:pt>
                <c:pt idx="79">
                  <c:v>7995</c:v>
                </c:pt>
                <c:pt idx="80">
                  <c:v>8040</c:v>
                </c:pt>
                <c:pt idx="81">
                  <c:v>8136</c:v>
                </c:pt>
                <c:pt idx="82">
                  <c:v>8436</c:v>
                </c:pt>
                <c:pt idx="83">
                  <c:v>8550</c:v>
                </c:pt>
                <c:pt idx="84">
                  <c:v>8604</c:v>
                </c:pt>
                <c:pt idx="85">
                  <c:v>8610</c:v>
                </c:pt>
                <c:pt idx="86">
                  <c:v>8697</c:v>
                </c:pt>
                <c:pt idx="87">
                  <c:v>9310</c:v>
                </c:pt>
                <c:pt idx="88">
                  <c:v>9480</c:v>
                </c:pt>
                <c:pt idx="89">
                  <c:v>9622</c:v>
                </c:pt>
                <c:pt idx="90">
                  <c:v>9984</c:v>
                </c:pt>
                <c:pt idx="91">
                  <c:v>10849</c:v>
                </c:pt>
                <c:pt idx="92">
                  <c:v>11552</c:v>
                </c:pt>
                <c:pt idx="93">
                  <c:v>11865</c:v>
                </c:pt>
                <c:pt idx="94">
                  <c:v>12701</c:v>
                </c:pt>
                <c:pt idx="95">
                  <c:v>12920</c:v>
                </c:pt>
                <c:pt idx="96">
                  <c:v>12920</c:v>
                </c:pt>
                <c:pt idx="97">
                  <c:v>13420</c:v>
                </c:pt>
                <c:pt idx="98">
                  <c:v>14256</c:v>
                </c:pt>
                <c:pt idx="99">
                  <c:v>14860</c:v>
                </c:pt>
                <c:pt idx="100">
                  <c:v>16321</c:v>
                </c:pt>
              </c:numCache>
            </c:numRef>
          </c:yVal>
          <c:smooth val="0"/>
          <c:extLst>
            <c:ext xmlns:c16="http://schemas.microsoft.com/office/drawing/2014/chart" uri="{C3380CC4-5D6E-409C-BE32-E72D297353CC}">
              <c16:uniqueId val="{00000000-E596-48A3-8C7E-5C59EF3F48D7}"/>
            </c:ext>
          </c:extLst>
        </c:ser>
        <c:ser>
          <c:idx val="1"/>
          <c:order val="1"/>
          <c:tx>
            <c:strRef>
              <c:f>Sheet1!$F$1</c:f>
              <c:strCache>
                <c:ptCount val="1"/>
                <c:pt idx="0">
                  <c:v>Quantity Sold</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cap="rnd">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multiLvlStrRef>
              <c:f>Sheet1!$A$2:$D$102</c:f>
              <c:multiLvlStrCache>
                <c:ptCount val="101"/>
                <c:lvl>
                  <c:pt idx="1">
                    <c:v>West</c:v>
                  </c:pt>
                  <c:pt idx="2">
                    <c:v>South</c:v>
                  </c:pt>
                  <c:pt idx="3">
                    <c:v>West</c:v>
                  </c:pt>
                  <c:pt idx="4">
                    <c:v>North</c:v>
                  </c:pt>
                  <c:pt idx="5">
                    <c:v>East</c:v>
                  </c:pt>
                  <c:pt idx="6">
                    <c:v>East</c:v>
                  </c:pt>
                  <c:pt idx="7">
                    <c:v>East</c:v>
                  </c:pt>
                  <c:pt idx="8">
                    <c:v>East</c:v>
                  </c:pt>
                  <c:pt idx="9">
                    <c:v>North</c:v>
                  </c:pt>
                  <c:pt idx="10">
                    <c:v>East</c:v>
                  </c:pt>
                  <c:pt idx="11">
                    <c:v>North</c:v>
                  </c:pt>
                  <c:pt idx="12">
                    <c:v>North</c:v>
                  </c:pt>
                  <c:pt idx="13">
                    <c:v>East</c:v>
                  </c:pt>
                  <c:pt idx="14">
                    <c:v>South</c:v>
                  </c:pt>
                  <c:pt idx="15">
                    <c:v>North</c:v>
                  </c:pt>
                  <c:pt idx="16">
                    <c:v>East</c:v>
                  </c:pt>
                  <c:pt idx="17">
                    <c:v>North</c:v>
                  </c:pt>
                  <c:pt idx="18">
                    <c:v>North</c:v>
                  </c:pt>
                  <c:pt idx="19">
                    <c:v>East</c:v>
                  </c:pt>
                  <c:pt idx="20">
                    <c:v>West</c:v>
                  </c:pt>
                  <c:pt idx="21">
                    <c:v>East</c:v>
                  </c:pt>
                  <c:pt idx="22">
                    <c:v>East</c:v>
                  </c:pt>
                  <c:pt idx="23">
                    <c:v>East</c:v>
                  </c:pt>
                  <c:pt idx="24">
                    <c:v>East</c:v>
                  </c:pt>
                  <c:pt idx="25">
                    <c:v>East</c:v>
                  </c:pt>
                  <c:pt idx="26">
                    <c:v>East</c:v>
                  </c:pt>
                  <c:pt idx="27">
                    <c:v>North</c:v>
                  </c:pt>
                  <c:pt idx="28">
                    <c:v>West</c:v>
                  </c:pt>
                  <c:pt idx="29">
                    <c:v>West</c:v>
                  </c:pt>
                  <c:pt idx="30">
                    <c:v>North</c:v>
                  </c:pt>
                  <c:pt idx="31">
                    <c:v>East</c:v>
                  </c:pt>
                  <c:pt idx="32">
                    <c:v>North</c:v>
                  </c:pt>
                  <c:pt idx="33">
                    <c:v>South</c:v>
                  </c:pt>
                  <c:pt idx="34">
                    <c:v>South</c:v>
                  </c:pt>
                  <c:pt idx="35">
                    <c:v>East</c:v>
                  </c:pt>
                  <c:pt idx="36">
                    <c:v>East</c:v>
                  </c:pt>
                  <c:pt idx="37">
                    <c:v>West</c:v>
                  </c:pt>
                  <c:pt idx="38">
                    <c:v>West</c:v>
                  </c:pt>
                  <c:pt idx="39">
                    <c:v>North</c:v>
                  </c:pt>
                  <c:pt idx="40">
                    <c:v>North</c:v>
                  </c:pt>
                  <c:pt idx="41">
                    <c:v>West</c:v>
                  </c:pt>
                  <c:pt idx="42">
                    <c:v>West</c:v>
                  </c:pt>
                  <c:pt idx="43">
                    <c:v>North</c:v>
                  </c:pt>
                  <c:pt idx="44">
                    <c:v>North</c:v>
                  </c:pt>
                  <c:pt idx="45">
                    <c:v>West</c:v>
                  </c:pt>
                  <c:pt idx="46">
                    <c:v>North</c:v>
                  </c:pt>
                  <c:pt idx="47">
                    <c:v>East</c:v>
                  </c:pt>
                  <c:pt idx="48">
                    <c:v>East</c:v>
                  </c:pt>
                  <c:pt idx="49">
                    <c:v>East</c:v>
                  </c:pt>
                  <c:pt idx="50">
                    <c:v>East</c:v>
                  </c:pt>
                  <c:pt idx="51">
                    <c:v>North</c:v>
                  </c:pt>
                  <c:pt idx="52">
                    <c:v>East</c:v>
                  </c:pt>
                  <c:pt idx="53">
                    <c:v>West</c:v>
                  </c:pt>
                  <c:pt idx="54">
                    <c:v>East</c:v>
                  </c:pt>
                  <c:pt idx="55">
                    <c:v>East</c:v>
                  </c:pt>
                  <c:pt idx="56">
                    <c:v>South</c:v>
                  </c:pt>
                  <c:pt idx="57">
                    <c:v>West</c:v>
                  </c:pt>
                  <c:pt idx="58">
                    <c:v>West</c:v>
                  </c:pt>
                  <c:pt idx="59">
                    <c:v>South</c:v>
                  </c:pt>
                  <c:pt idx="60">
                    <c:v>East</c:v>
                  </c:pt>
                  <c:pt idx="61">
                    <c:v>East</c:v>
                  </c:pt>
                  <c:pt idx="62">
                    <c:v>West</c:v>
                  </c:pt>
                  <c:pt idx="63">
                    <c:v>East</c:v>
                  </c:pt>
                  <c:pt idx="64">
                    <c:v>West</c:v>
                  </c:pt>
                  <c:pt idx="65">
                    <c:v>West</c:v>
                  </c:pt>
                  <c:pt idx="66">
                    <c:v>South</c:v>
                  </c:pt>
                  <c:pt idx="67">
                    <c:v>North</c:v>
                  </c:pt>
                  <c:pt idx="68">
                    <c:v>South</c:v>
                  </c:pt>
                  <c:pt idx="69">
                    <c:v>North</c:v>
                  </c:pt>
                  <c:pt idx="70">
                    <c:v>West</c:v>
                  </c:pt>
                  <c:pt idx="71">
                    <c:v>South</c:v>
                  </c:pt>
                  <c:pt idx="72">
                    <c:v>South</c:v>
                  </c:pt>
                  <c:pt idx="73">
                    <c:v>West</c:v>
                  </c:pt>
                  <c:pt idx="74">
                    <c:v>East</c:v>
                  </c:pt>
                  <c:pt idx="75">
                    <c:v>South</c:v>
                  </c:pt>
                  <c:pt idx="76">
                    <c:v>East</c:v>
                  </c:pt>
                  <c:pt idx="77">
                    <c:v>South</c:v>
                  </c:pt>
                  <c:pt idx="78">
                    <c:v>North</c:v>
                  </c:pt>
                  <c:pt idx="79">
                    <c:v>South</c:v>
                  </c:pt>
                  <c:pt idx="80">
                    <c:v>South</c:v>
                  </c:pt>
                  <c:pt idx="81">
                    <c:v>North</c:v>
                  </c:pt>
                  <c:pt idx="82">
                    <c:v>West</c:v>
                  </c:pt>
                  <c:pt idx="83">
                    <c:v>East</c:v>
                  </c:pt>
                  <c:pt idx="84">
                    <c:v>South</c:v>
                  </c:pt>
                  <c:pt idx="85">
                    <c:v>North</c:v>
                  </c:pt>
                  <c:pt idx="86">
                    <c:v>East</c:v>
                  </c:pt>
                  <c:pt idx="87">
                    <c:v>South</c:v>
                  </c:pt>
                  <c:pt idx="88">
                    <c:v>North</c:v>
                  </c:pt>
                  <c:pt idx="89">
                    <c:v>North</c:v>
                  </c:pt>
                  <c:pt idx="90">
                    <c:v>East</c:v>
                  </c:pt>
                  <c:pt idx="91">
                    <c:v>East</c:v>
                  </c:pt>
                  <c:pt idx="92">
                    <c:v>West</c:v>
                  </c:pt>
                  <c:pt idx="93">
                    <c:v>North</c:v>
                  </c:pt>
                  <c:pt idx="94">
                    <c:v>East</c:v>
                  </c:pt>
                  <c:pt idx="95">
                    <c:v>North</c:v>
                  </c:pt>
                  <c:pt idx="96">
                    <c:v>East</c:v>
                  </c:pt>
                  <c:pt idx="97">
                    <c:v>West</c:v>
                  </c:pt>
                  <c:pt idx="98">
                    <c:v>East</c:v>
                  </c:pt>
                  <c:pt idx="99">
                    <c:v>South</c:v>
                  </c:pt>
                  <c:pt idx="100">
                    <c:v>North</c:v>
                  </c:pt>
                </c:lvl>
                <c:lvl>
                  <c:pt idx="1">
                    <c:v>Footwear</c:v>
                  </c:pt>
                  <c:pt idx="2">
                    <c:v>Footwear</c:v>
                  </c:pt>
                  <c:pt idx="3">
                    <c:v>Clothing</c:v>
                  </c:pt>
                  <c:pt idx="4">
                    <c:v>Footwear</c:v>
                  </c:pt>
                  <c:pt idx="5">
                    <c:v>Appliances</c:v>
                  </c:pt>
                  <c:pt idx="6">
                    <c:v>Electronics</c:v>
                  </c:pt>
                  <c:pt idx="7">
                    <c:v>Footwear</c:v>
                  </c:pt>
                  <c:pt idx="8">
                    <c:v>Appliances</c:v>
                  </c:pt>
                  <c:pt idx="9">
                    <c:v>Electronics</c:v>
                  </c:pt>
                  <c:pt idx="10">
                    <c:v>Appliances</c:v>
                  </c:pt>
                  <c:pt idx="11">
                    <c:v>Electronics</c:v>
                  </c:pt>
                  <c:pt idx="12">
                    <c:v>Clothing</c:v>
                  </c:pt>
                  <c:pt idx="13">
                    <c:v>Footwear</c:v>
                  </c:pt>
                  <c:pt idx="14">
                    <c:v>Footwear</c:v>
                  </c:pt>
                  <c:pt idx="15">
                    <c:v>Electronics</c:v>
                  </c:pt>
                  <c:pt idx="16">
                    <c:v>Appliances</c:v>
                  </c:pt>
                  <c:pt idx="17">
                    <c:v>Clothing</c:v>
                  </c:pt>
                  <c:pt idx="18">
                    <c:v>Clothing</c:v>
                  </c:pt>
                  <c:pt idx="19">
                    <c:v>Footwear</c:v>
                  </c:pt>
                  <c:pt idx="20">
                    <c:v>Appliances</c:v>
                  </c:pt>
                  <c:pt idx="21">
                    <c:v>Clothing</c:v>
                  </c:pt>
                  <c:pt idx="22">
                    <c:v>Electronics</c:v>
                  </c:pt>
                  <c:pt idx="23">
                    <c:v>Clothing</c:v>
                  </c:pt>
                  <c:pt idx="24">
                    <c:v>Electronics</c:v>
                  </c:pt>
                  <c:pt idx="25">
                    <c:v>Footwear</c:v>
                  </c:pt>
                  <c:pt idx="26">
                    <c:v>Clothing</c:v>
                  </c:pt>
                  <c:pt idx="27">
                    <c:v>Clothing</c:v>
                  </c:pt>
                  <c:pt idx="28">
                    <c:v>Clothing</c:v>
                  </c:pt>
                  <c:pt idx="29">
                    <c:v>Clothing</c:v>
                  </c:pt>
                  <c:pt idx="30">
                    <c:v>Appliances</c:v>
                  </c:pt>
                  <c:pt idx="31">
                    <c:v>Footwear</c:v>
                  </c:pt>
                  <c:pt idx="32">
                    <c:v>Appliances</c:v>
                  </c:pt>
                  <c:pt idx="33">
                    <c:v>Electronics</c:v>
                  </c:pt>
                  <c:pt idx="34">
                    <c:v>Footwear</c:v>
                  </c:pt>
                  <c:pt idx="35">
                    <c:v>Electronics</c:v>
                  </c:pt>
                  <c:pt idx="36">
                    <c:v>Appliances</c:v>
                  </c:pt>
                  <c:pt idx="37">
                    <c:v>Electronics</c:v>
                  </c:pt>
                  <c:pt idx="38">
                    <c:v>Clothing</c:v>
                  </c:pt>
                  <c:pt idx="39">
                    <c:v>Footwear</c:v>
                  </c:pt>
                  <c:pt idx="40">
                    <c:v>Footwear</c:v>
                  </c:pt>
                  <c:pt idx="41">
                    <c:v>Electronics</c:v>
                  </c:pt>
                  <c:pt idx="42">
                    <c:v>Appliances</c:v>
                  </c:pt>
                  <c:pt idx="43">
                    <c:v>Electronics</c:v>
                  </c:pt>
                  <c:pt idx="44">
                    <c:v>Appliances</c:v>
                  </c:pt>
                  <c:pt idx="45">
                    <c:v>Electronics</c:v>
                  </c:pt>
                  <c:pt idx="46">
                    <c:v>Electronics</c:v>
                  </c:pt>
                  <c:pt idx="47">
                    <c:v>Clothing</c:v>
                  </c:pt>
                  <c:pt idx="48">
                    <c:v>Footwear</c:v>
                  </c:pt>
                  <c:pt idx="49">
                    <c:v>Clothing</c:v>
                  </c:pt>
                  <c:pt idx="50">
                    <c:v>Clothing</c:v>
                  </c:pt>
                  <c:pt idx="51">
                    <c:v>Electronics</c:v>
                  </c:pt>
                  <c:pt idx="52">
                    <c:v>Electronics</c:v>
                  </c:pt>
                  <c:pt idx="53">
                    <c:v>Footwear</c:v>
                  </c:pt>
                  <c:pt idx="54">
                    <c:v>Clothing</c:v>
                  </c:pt>
                  <c:pt idx="55">
                    <c:v>Clothing</c:v>
                  </c:pt>
                  <c:pt idx="56">
                    <c:v>Appliances</c:v>
                  </c:pt>
                  <c:pt idx="57">
                    <c:v>Appliances</c:v>
                  </c:pt>
                  <c:pt idx="58">
                    <c:v>Footwear</c:v>
                  </c:pt>
                  <c:pt idx="59">
                    <c:v>Clothing</c:v>
                  </c:pt>
                  <c:pt idx="60">
                    <c:v>Clothing</c:v>
                  </c:pt>
                  <c:pt idx="61">
                    <c:v>Clothing</c:v>
                  </c:pt>
                  <c:pt idx="62">
                    <c:v>Electronics</c:v>
                  </c:pt>
                  <c:pt idx="63">
                    <c:v>Appliances</c:v>
                  </c:pt>
                  <c:pt idx="64">
                    <c:v>Appliances</c:v>
                  </c:pt>
                  <c:pt idx="65">
                    <c:v>Electronics</c:v>
                  </c:pt>
                  <c:pt idx="66">
                    <c:v>Appliances</c:v>
                  </c:pt>
                  <c:pt idx="67">
                    <c:v>Appliances</c:v>
                  </c:pt>
                  <c:pt idx="68">
                    <c:v>Clothing</c:v>
                  </c:pt>
                  <c:pt idx="69">
                    <c:v>Electronics</c:v>
                  </c:pt>
                  <c:pt idx="70">
                    <c:v>Electronics</c:v>
                  </c:pt>
                  <c:pt idx="71">
                    <c:v>Appliances</c:v>
                  </c:pt>
                  <c:pt idx="72">
                    <c:v>Appliances</c:v>
                  </c:pt>
                  <c:pt idx="73">
                    <c:v>Clothing</c:v>
                  </c:pt>
                  <c:pt idx="74">
                    <c:v>Appliances</c:v>
                  </c:pt>
                  <c:pt idx="75">
                    <c:v>Electronics</c:v>
                  </c:pt>
                  <c:pt idx="76">
                    <c:v>Appliances</c:v>
                  </c:pt>
                  <c:pt idx="77">
                    <c:v>Electronics</c:v>
                  </c:pt>
                  <c:pt idx="78">
                    <c:v>Footwear</c:v>
                  </c:pt>
                  <c:pt idx="79">
                    <c:v>Clothing</c:v>
                  </c:pt>
                  <c:pt idx="80">
                    <c:v>Appliances</c:v>
                  </c:pt>
                  <c:pt idx="81">
                    <c:v>Electronics</c:v>
                  </c:pt>
                  <c:pt idx="82">
                    <c:v>Electronics</c:v>
                  </c:pt>
                  <c:pt idx="83">
                    <c:v>Appliances</c:v>
                  </c:pt>
                  <c:pt idx="84">
                    <c:v>Footwear</c:v>
                  </c:pt>
                  <c:pt idx="85">
                    <c:v>Electronics</c:v>
                  </c:pt>
                  <c:pt idx="86">
                    <c:v>Clothing</c:v>
                  </c:pt>
                  <c:pt idx="87">
                    <c:v>Electronics</c:v>
                  </c:pt>
                  <c:pt idx="88">
                    <c:v>Electronics</c:v>
                  </c:pt>
                  <c:pt idx="89">
                    <c:v>Appliances</c:v>
                  </c:pt>
                  <c:pt idx="90">
                    <c:v>Clothing</c:v>
                  </c:pt>
                  <c:pt idx="91">
                    <c:v>Footwear</c:v>
                  </c:pt>
                  <c:pt idx="92">
                    <c:v>Clothing</c:v>
                  </c:pt>
                  <c:pt idx="93">
                    <c:v>Appliances</c:v>
                  </c:pt>
                  <c:pt idx="94">
                    <c:v>Footwear</c:v>
                  </c:pt>
                  <c:pt idx="95">
                    <c:v>Footwear</c:v>
                  </c:pt>
                  <c:pt idx="96">
                    <c:v>Appliances</c:v>
                  </c:pt>
                  <c:pt idx="97">
                    <c:v>Clothing</c:v>
                  </c:pt>
                  <c:pt idx="98">
                    <c:v>Appliances</c:v>
                  </c:pt>
                  <c:pt idx="99">
                    <c:v>Clothing</c:v>
                  </c:pt>
                  <c:pt idx="100">
                    <c:v>Clothing</c:v>
                  </c:pt>
                </c:lvl>
                <c:lvl>
                  <c:pt idx="1">
                    <c:v>Boots</c:v>
                  </c:pt>
                  <c:pt idx="2">
                    <c:v>Boots</c:v>
                  </c:pt>
                  <c:pt idx="3">
                    <c:v>Trousers</c:v>
                  </c:pt>
                  <c:pt idx="4">
                    <c:v>Sneakers</c:v>
                  </c:pt>
                  <c:pt idx="5">
                    <c:v>Blender</c:v>
                  </c:pt>
                  <c:pt idx="6">
                    <c:v>Laptop</c:v>
                  </c:pt>
                  <c:pt idx="7">
                    <c:v>Sneakers</c:v>
                  </c:pt>
                  <c:pt idx="8">
                    <c:v>Microwave</c:v>
                  </c:pt>
                  <c:pt idx="9">
                    <c:v>Smartphone</c:v>
                  </c:pt>
                  <c:pt idx="10">
                    <c:v>Microwave</c:v>
                  </c:pt>
                  <c:pt idx="11">
                    <c:v>Smartphone</c:v>
                  </c:pt>
                  <c:pt idx="12">
                    <c:v>Trousers</c:v>
                  </c:pt>
                  <c:pt idx="13">
                    <c:v>Sneakers</c:v>
                  </c:pt>
                  <c:pt idx="14">
                    <c:v>Boots</c:v>
                  </c:pt>
                  <c:pt idx="15">
                    <c:v>Smartphone</c:v>
                  </c:pt>
                  <c:pt idx="16">
                    <c:v>Microwave</c:v>
                  </c:pt>
                  <c:pt idx="17">
                    <c:v>Trousers</c:v>
                  </c:pt>
                  <c:pt idx="18">
                    <c:v>Trousers</c:v>
                  </c:pt>
                  <c:pt idx="19">
                    <c:v>Sneakers</c:v>
                  </c:pt>
                  <c:pt idx="20">
                    <c:v>Microwave</c:v>
                  </c:pt>
                  <c:pt idx="21">
                    <c:v>Trousers</c:v>
                  </c:pt>
                  <c:pt idx="22">
                    <c:v>Smartphone</c:v>
                  </c:pt>
                  <c:pt idx="23">
                    <c:v>Trousers</c:v>
                  </c:pt>
                  <c:pt idx="24">
                    <c:v>Smartphone</c:v>
                  </c:pt>
                  <c:pt idx="25">
                    <c:v>Sneakers</c:v>
                  </c:pt>
                  <c:pt idx="26">
                    <c:v>Shirt</c:v>
                  </c:pt>
                  <c:pt idx="27">
                    <c:v>Trousers</c:v>
                  </c:pt>
                  <c:pt idx="28">
                    <c:v>Shirt</c:v>
                  </c:pt>
                  <c:pt idx="29">
                    <c:v>Shirt</c:v>
                  </c:pt>
                  <c:pt idx="30">
                    <c:v>Blender</c:v>
                  </c:pt>
                  <c:pt idx="31">
                    <c:v>Sneakers</c:v>
                  </c:pt>
                  <c:pt idx="32">
                    <c:v>Microwave</c:v>
                  </c:pt>
                  <c:pt idx="33">
                    <c:v>Smartphone</c:v>
                  </c:pt>
                  <c:pt idx="34">
                    <c:v>Sneakers</c:v>
                  </c:pt>
                  <c:pt idx="35">
                    <c:v>Smartphone</c:v>
                  </c:pt>
                  <c:pt idx="36">
                    <c:v>Microwave</c:v>
                  </c:pt>
                  <c:pt idx="37">
                    <c:v>Laptop</c:v>
                  </c:pt>
                  <c:pt idx="38">
                    <c:v>Shirt</c:v>
                  </c:pt>
                  <c:pt idx="39">
                    <c:v>Sneakers</c:v>
                  </c:pt>
                  <c:pt idx="40">
                    <c:v>Sneakers</c:v>
                  </c:pt>
                  <c:pt idx="41">
                    <c:v>Laptop</c:v>
                  </c:pt>
                  <c:pt idx="42">
                    <c:v>Blender</c:v>
                  </c:pt>
                  <c:pt idx="43">
                    <c:v>Laptop</c:v>
                  </c:pt>
                  <c:pt idx="44">
                    <c:v>Blender</c:v>
                  </c:pt>
                  <c:pt idx="45">
                    <c:v>Smartphone</c:v>
                  </c:pt>
                  <c:pt idx="46">
                    <c:v>Smartphone</c:v>
                  </c:pt>
                  <c:pt idx="47">
                    <c:v>Shirt</c:v>
                  </c:pt>
                  <c:pt idx="48">
                    <c:v>Sneakers</c:v>
                  </c:pt>
                  <c:pt idx="49">
                    <c:v>Shirt</c:v>
                  </c:pt>
                  <c:pt idx="50">
                    <c:v>Trousers</c:v>
                  </c:pt>
                  <c:pt idx="51">
                    <c:v>Laptop</c:v>
                  </c:pt>
                  <c:pt idx="52">
                    <c:v>Smartphone</c:v>
                  </c:pt>
                  <c:pt idx="53">
                    <c:v>Sneakers</c:v>
                  </c:pt>
                  <c:pt idx="54">
                    <c:v>Trousers</c:v>
                  </c:pt>
                  <c:pt idx="55">
                    <c:v>Shirt</c:v>
                  </c:pt>
                  <c:pt idx="56">
                    <c:v>Blender</c:v>
                  </c:pt>
                  <c:pt idx="57">
                    <c:v>Blender</c:v>
                  </c:pt>
                  <c:pt idx="58">
                    <c:v>Boots</c:v>
                  </c:pt>
                  <c:pt idx="59">
                    <c:v>Shirt</c:v>
                  </c:pt>
                  <c:pt idx="60">
                    <c:v>Shirt</c:v>
                  </c:pt>
                  <c:pt idx="61">
                    <c:v>Shirt</c:v>
                  </c:pt>
                  <c:pt idx="62">
                    <c:v>Laptop</c:v>
                  </c:pt>
                  <c:pt idx="63">
                    <c:v>Microwave</c:v>
                  </c:pt>
                  <c:pt idx="64">
                    <c:v>Blender</c:v>
                  </c:pt>
                  <c:pt idx="65">
                    <c:v>Smartphone</c:v>
                  </c:pt>
                  <c:pt idx="66">
                    <c:v>Microwave</c:v>
                  </c:pt>
                  <c:pt idx="67">
                    <c:v>Microwave</c:v>
                  </c:pt>
                  <c:pt idx="68">
                    <c:v>Trousers</c:v>
                  </c:pt>
                  <c:pt idx="69">
                    <c:v>Smartphone</c:v>
                  </c:pt>
                  <c:pt idx="70">
                    <c:v>Laptop</c:v>
                  </c:pt>
                  <c:pt idx="71">
                    <c:v>Blender</c:v>
                  </c:pt>
                  <c:pt idx="72">
                    <c:v>Blender</c:v>
                  </c:pt>
                  <c:pt idx="73">
                    <c:v>Shirt</c:v>
                  </c:pt>
                  <c:pt idx="74">
                    <c:v>Blender</c:v>
                  </c:pt>
                  <c:pt idx="75">
                    <c:v>Laptop</c:v>
                  </c:pt>
                  <c:pt idx="76">
                    <c:v>Blender</c:v>
                  </c:pt>
                  <c:pt idx="77">
                    <c:v>Smartphone</c:v>
                  </c:pt>
                  <c:pt idx="78">
                    <c:v>Boots</c:v>
                  </c:pt>
                  <c:pt idx="79">
                    <c:v>Shirt</c:v>
                  </c:pt>
                  <c:pt idx="80">
                    <c:v>Blender</c:v>
                  </c:pt>
                  <c:pt idx="81">
                    <c:v>Smartphone</c:v>
                  </c:pt>
                  <c:pt idx="82">
                    <c:v>Smartphone</c:v>
                  </c:pt>
                  <c:pt idx="83">
                    <c:v>Blender</c:v>
                  </c:pt>
                  <c:pt idx="84">
                    <c:v>Boots</c:v>
                  </c:pt>
                  <c:pt idx="85">
                    <c:v>Smartphone</c:v>
                  </c:pt>
                  <c:pt idx="86">
                    <c:v>Shirt</c:v>
                  </c:pt>
                  <c:pt idx="87">
                    <c:v>Laptop</c:v>
                  </c:pt>
                  <c:pt idx="88">
                    <c:v>Laptop</c:v>
                  </c:pt>
                  <c:pt idx="89">
                    <c:v>Blender</c:v>
                  </c:pt>
                  <c:pt idx="90">
                    <c:v>Shirt</c:v>
                  </c:pt>
                  <c:pt idx="91">
                    <c:v>Boots</c:v>
                  </c:pt>
                  <c:pt idx="92">
                    <c:v>Trousers</c:v>
                  </c:pt>
                  <c:pt idx="93">
                    <c:v>Microwave</c:v>
                  </c:pt>
                  <c:pt idx="94">
                    <c:v>Sneakers</c:v>
                  </c:pt>
                  <c:pt idx="95">
                    <c:v>Sneakers</c:v>
                  </c:pt>
                  <c:pt idx="96">
                    <c:v>Blender</c:v>
                  </c:pt>
                  <c:pt idx="97">
                    <c:v>Shirt</c:v>
                  </c:pt>
                  <c:pt idx="98">
                    <c:v>Blender</c:v>
                  </c:pt>
                  <c:pt idx="99">
                    <c:v>Shirt</c:v>
                  </c:pt>
                  <c:pt idx="100">
                    <c:v>Shirt</c:v>
                  </c:pt>
                </c:lvl>
                <c:lvl>
                  <c:pt idx="1">
                    <c:v>2025-04-20</c:v>
                  </c:pt>
                  <c:pt idx="2">
                    <c:v>2025-03-31</c:v>
                  </c:pt>
                  <c:pt idx="3">
                    <c:v>2025-02-09</c:v>
                  </c:pt>
                  <c:pt idx="4">
                    <c:v>2025-01-29</c:v>
                  </c:pt>
                  <c:pt idx="5">
                    <c:v>2025-03-06</c:v>
                  </c:pt>
                  <c:pt idx="6">
                    <c:v>2025-03-28</c:v>
                  </c:pt>
                  <c:pt idx="7">
                    <c:v>2025-01-12</c:v>
                  </c:pt>
                  <c:pt idx="8">
                    <c:v>2025-02-06</c:v>
                  </c:pt>
                  <c:pt idx="9">
                    <c:v>2025-02-06</c:v>
                  </c:pt>
                  <c:pt idx="10">
                    <c:v>2025-02-13</c:v>
                  </c:pt>
                  <c:pt idx="11">
                    <c:v>2025-03-16</c:v>
                  </c:pt>
                  <c:pt idx="12">
                    <c:v>2025-03-16</c:v>
                  </c:pt>
                  <c:pt idx="13">
                    <c:v>2025-03-11</c:v>
                  </c:pt>
                  <c:pt idx="14">
                    <c:v>2025-01-11</c:v>
                  </c:pt>
                  <c:pt idx="15">
                    <c:v>2025-02-13</c:v>
                  </c:pt>
                  <c:pt idx="16">
                    <c:v>2025-04-02</c:v>
                  </c:pt>
                  <c:pt idx="17">
                    <c:v>2025-01-10</c:v>
                  </c:pt>
                  <c:pt idx="18">
                    <c:v>2025-02-05</c:v>
                  </c:pt>
                  <c:pt idx="19">
                    <c:v>2025-03-25</c:v>
                  </c:pt>
                  <c:pt idx="20">
                    <c:v>2025-04-28</c:v>
                  </c:pt>
                  <c:pt idx="21">
                    <c:v>2025-04-17</c:v>
                  </c:pt>
                  <c:pt idx="22">
                    <c:v>2025-01-03</c:v>
                  </c:pt>
                  <c:pt idx="23">
                    <c:v>2025-02-04</c:v>
                  </c:pt>
                  <c:pt idx="24">
                    <c:v>2025-02-16</c:v>
                  </c:pt>
                  <c:pt idx="25">
                    <c:v>2025-02-26</c:v>
                  </c:pt>
                  <c:pt idx="26">
                    <c:v>2025-02-23</c:v>
                  </c:pt>
                  <c:pt idx="27">
                    <c:v>2025-04-30</c:v>
                  </c:pt>
                  <c:pt idx="28">
                    <c:v>2025-04-18</c:v>
                  </c:pt>
                  <c:pt idx="29">
                    <c:v>2025-02-15</c:v>
                  </c:pt>
                  <c:pt idx="30">
                    <c:v>2025-02-28</c:v>
                  </c:pt>
                  <c:pt idx="31">
                    <c:v>2025-04-02</c:v>
                  </c:pt>
                  <c:pt idx="32">
                    <c:v>2025-02-05</c:v>
                  </c:pt>
                  <c:pt idx="33">
                    <c:v>2025-05-01</c:v>
                  </c:pt>
                  <c:pt idx="34">
                    <c:v>2025-01-08</c:v>
                  </c:pt>
                  <c:pt idx="35">
                    <c:v>2025-03-31</c:v>
                  </c:pt>
                  <c:pt idx="36">
                    <c:v>2025-04-01</c:v>
                  </c:pt>
                  <c:pt idx="37">
                    <c:v>2025-01-23</c:v>
                  </c:pt>
                  <c:pt idx="38">
                    <c:v>2025-02-17</c:v>
                  </c:pt>
                  <c:pt idx="39">
                    <c:v>2025-02-22</c:v>
                  </c:pt>
                  <c:pt idx="40">
                    <c:v>2025-03-15</c:v>
                  </c:pt>
                  <c:pt idx="41">
                    <c:v>2025-01-22</c:v>
                  </c:pt>
                  <c:pt idx="42">
                    <c:v>2025-04-15</c:v>
                  </c:pt>
                  <c:pt idx="43">
                    <c:v>2025-01-02</c:v>
                  </c:pt>
                  <c:pt idx="44">
                    <c:v>2025-02-05</c:v>
                  </c:pt>
                  <c:pt idx="45">
                    <c:v>2025-02-01</c:v>
                  </c:pt>
                  <c:pt idx="46">
                    <c:v>2025-02-13</c:v>
                  </c:pt>
                  <c:pt idx="47">
                    <c:v>2025-02-14</c:v>
                  </c:pt>
                  <c:pt idx="48">
                    <c:v>2025-02-09</c:v>
                  </c:pt>
                  <c:pt idx="49">
                    <c:v>2025-02-17</c:v>
                  </c:pt>
                  <c:pt idx="50">
                    <c:v>2025-02-07</c:v>
                  </c:pt>
                  <c:pt idx="51">
                    <c:v>2025-01-20</c:v>
                  </c:pt>
                  <c:pt idx="52">
                    <c:v>2025-01-13</c:v>
                  </c:pt>
                  <c:pt idx="53">
                    <c:v>2025-04-02</c:v>
                  </c:pt>
                  <c:pt idx="54">
                    <c:v>2025-03-09</c:v>
                  </c:pt>
                  <c:pt idx="55">
                    <c:v>2025-02-25</c:v>
                  </c:pt>
                  <c:pt idx="56">
                    <c:v>2025-01-13</c:v>
                  </c:pt>
                  <c:pt idx="57">
                    <c:v>2025-01-22</c:v>
                  </c:pt>
                  <c:pt idx="58">
                    <c:v>2025-02-02</c:v>
                  </c:pt>
                  <c:pt idx="59">
                    <c:v>2025-01-08</c:v>
                  </c:pt>
                  <c:pt idx="60">
                    <c:v>2025-01-19</c:v>
                  </c:pt>
                  <c:pt idx="61">
                    <c:v>2025-02-18</c:v>
                  </c:pt>
                  <c:pt idx="62">
                    <c:v>2025-03-19</c:v>
                  </c:pt>
                  <c:pt idx="63">
                    <c:v>2025-03-25</c:v>
                  </c:pt>
                  <c:pt idx="64">
                    <c:v>2025-03-11</c:v>
                  </c:pt>
                  <c:pt idx="65">
                    <c:v>2025-02-05</c:v>
                  </c:pt>
                  <c:pt idx="66">
                    <c:v>2025-01-24</c:v>
                  </c:pt>
                  <c:pt idx="67">
                    <c:v>2025-02-11</c:v>
                  </c:pt>
                  <c:pt idx="68">
                    <c:v>2025-03-04</c:v>
                  </c:pt>
                  <c:pt idx="69">
                    <c:v>2025-03-03</c:v>
                  </c:pt>
                  <c:pt idx="70">
                    <c:v>2025-03-03</c:v>
                  </c:pt>
                  <c:pt idx="71">
                    <c:v>2025-01-01</c:v>
                  </c:pt>
                  <c:pt idx="72">
                    <c:v>2025-01-06</c:v>
                  </c:pt>
                  <c:pt idx="73">
                    <c:v>2025-03-23</c:v>
                  </c:pt>
                  <c:pt idx="74">
                    <c:v>2025-03-19</c:v>
                  </c:pt>
                  <c:pt idx="75">
                    <c:v>2025-02-14</c:v>
                  </c:pt>
                  <c:pt idx="76">
                    <c:v>2025-03-28</c:v>
                  </c:pt>
                  <c:pt idx="77">
                    <c:v>2025-03-18</c:v>
                  </c:pt>
                  <c:pt idx="78">
                    <c:v>2025-03-09</c:v>
                  </c:pt>
                  <c:pt idx="79">
                    <c:v>2025-02-05</c:v>
                  </c:pt>
                  <c:pt idx="80">
                    <c:v>2025-01-01</c:v>
                  </c:pt>
                  <c:pt idx="81">
                    <c:v>2025-03-08</c:v>
                  </c:pt>
                  <c:pt idx="82">
                    <c:v>2025-04-09</c:v>
                  </c:pt>
                  <c:pt idx="83">
                    <c:v>2025-02-24</c:v>
                  </c:pt>
                  <c:pt idx="84">
                    <c:v>2025-02-05</c:v>
                  </c:pt>
                  <c:pt idx="85">
                    <c:v>2025-03-12</c:v>
                  </c:pt>
                  <c:pt idx="86">
                    <c:v>2025-04-19</c:v>
                  </c:pt>
                  <c:pt idx="87">
                    <c:v>2025-03-05</c:v>
                  </c:pt>
                  <c:pt idx="88">
                    <c:v>2025-04-14</c:v>
                  </c:pt>
                  <c:pt idx="89">
                    <c:v>2025-03-16</c:v>
                  </c:pt>
                  <c:pt idx="90">
                    <c:v>2025-01-20</c:v>
                  </c:pt>
                  <c:pt idx="91">
                    <c:v>2025-03-30</c:v>
                  </c:pt>
                  <c:pt idx="92">
                    <c:v>2025-03-09</c:v>
                  </c:pt>
                  <c:pt idx="93">
                    <c:v>2025-04-07</c:v>
                  </c:pt>
                  <c:pt idx="94">
                    <c:v>2025-02-16</c:v>
                  </c:pt>
                  <c:pt idx="95">
                    <c:v>2025-04-15</c:v>
                  </c:pt>
                  <c:pt idx="96">
                    <c:v>2025-04-09</c:v>
                  </c:pt>
                  <c:pt idx="97">
                    <c:v>2025-02-19</c:v>
                  </c:pt>
                  <c:pt idx="98">
                    <c:v>2025-01-03</c:v>
                  </c:pt>
                  <c:pt idx="99">
                    <c:v>2025-05-01</c:v>
                  </c:pt>
                  <c:pt idx="100">
                    <c:v>2025-01-09</c:v>
                  </c:pt>
                </c:lvl>
              </c:multiLvlStrCache>
            </c:multiLvlStrRef>
          </c:xVal>
          <c:yVal>
            <c:numRef>
              <c:f>Sheet1!$F$2:$F$102</c:f>
              <c:numCache>
                <c:formatCode>General</c:formatCode>
                <c:ptCount val="101"/>
                <c:pt idx="1">
                  <c:v>1</c:v>
                </c:pt>
                <c:pt idx="2">
                  <c:v>1</c:v>
                </c:pt>
                <c:pt idx="3">
                  <c:v>3</c:v>
                </c:pt>
                <c:pt idx="4">
                  <c:v>5</c:v>
                </c:pt>
                <c:pt idx="5">
                  <c:v>1</c:v>
                </c:pt>
                <c:pt idx="6">
                  <c:v>1</c:v>
                </c:pt>
                <c:pt idx="7">
                  <c:v>2</c:v>
                </c:pt>
                <c:pt idx="8">
                  <c:v>4</c:v>
                </c:pt>
                <c:pt idx="9">
                  <c:v>8</c:v>
                </c:pt>
                <c:pt idx="10">
                  <c:v>2</c:v>
                </c:pt>
                <c:pt idx="11">
                  <c:v>9</c:v>
                </c:pt>
                <c:pt idx="12">
                  <c:v>3</c:v>
                </c:pt>
                <c:pt idx="13">
                  <c:v>5</c:v>
                </c:pt>
                <c:pt idx="14">
                  <c:v>5</c:v>
                </c:pt>
                <c:pt idx="15">
                  <c:v>2</c:v>
                </c:pt>
                <c:pt idx="16">
                  <c:v>4</c:v>
                </c:pt>
                <c:pt idx="17">
                  <c:v>11</c:v>
                </c:pt>
                <c:pt idx="18">
                  <c:v>3</c:v>
                </c:pt>
                <c:pt idx="19">
                  <c:v>12</c:v>
                </c:pt>
                <c:pt idx="20">
                  <c:v>5</c:v>
                </c:pt>
                <c:pt idx="21">
                  <c:v>18</c:v>
                </c:pt>
                <c:pt idx="22">
                  <c:v>6</c:v>
                </c:pt>
                <c:pt idx="23">
                  <c:v>11</c:v>
                </c:pt>
                <c:pt idx="24">
                  <c:v>3</c:v>
                </c:pt>
                <c:pt idx="25">
                  <c:v>3</c:v>
                </c:pt>
                <c:pt idx="26">
                  <c:v>12</c:v>
                </c:pt>
                <c:pt idx="27">
                  <c:v>15</c:v>
                </c:pt>
                <c:pt idx="28">
                  <c:v>13</c:v>
                </c:pt>
                <c:pt idx="29">
                  <c:v>4</c:v>
                </c:pt>
                <c:pt idx="30">
                  <c:v>3</c:v>
                </c:pt>
                <c:pt idx="31">
                  <c:v>5</c:v>
                </c:pt>
                <c:pt idx="32">
                  <c:v>11</c:v>
                </c:pt>
                <c:pt idx="33">
                  <c:v>18</c:v>
                </c:pt>
                <c:pt idx="34">
                  <c:v>5</c:v>
                </c:pt>
                <c:pt idx="35">
                  <c:v>8</c:v>
                </c:pt>
                <c:pt idx="36">
                  <c:v>9</c:v>
                </c:pt>
                <c:pt idx="37">
                  <c:v>14</c:v>
                </c:pt>
                <c:pt idx="38">
                  <c:v>4</c:v>
                </c:pt>
                <c:pt idx="39">
                  <c:v>13</c:v>
                </c:pt>
                <c:pt idx="40">
                  <c:v>15</c:v>
                </c:pt>
                <c:pt idx="41">
                  <c:v>5</c:v>
                </c:pt>
                <c:pt idx="42">
                  <c:v>20</c:v>
                </c:pt>
                <c:pt idx="43">
                  <c:v>4</c:v>
                </c:pt>
                <c:pt idx="44">
                  <c:v>7</c:v>
                </c:pt>
                <c:pt idx="45">
                  <c:v>5</c:v>
                </c:pt>
                <c:pt idx="46">
                  <c:v>4</c:v>
                </c:pt>
                <c:pt idx="47">
                  <c:v>8</c:v>
                </c:pt>
                <c:pt idx="48">
                  <c:v>18</c:v>
                </c:pt>
                <c:pt idx="49">
                  <c:v>18</c:v>
                </c:pt>
                <c:pt idx="50">
                  <c:v>8</c:v>
                </c:pt>
                <c:pt idx="51">
                  <c:v>7</c:v>
                </c:pt>
                <c:pt idx="52">
                  <c:v>7</c:v>
                </c:pt>
                <c:pt idx="53">
                  <c:v>5</c:v>
                </c:pt>
                <c:pt idx="54">
                  <c:v>5</c:v>
                </c:pt>
                <c:pt idx="55">
                  <c:v>9</c:v>
                </c:pt>
                <c:pt idx="56">
                  <c:v>6</c:v>
                </c:pt>
                <c:pt idx="57">
                  <c:v>6</c:v>
                </c:pt>
                <c:pt idx="58">
                  <c:v>7</c:v>
                </c:pt>
                <c:pt idx="59">
                  <c:v>9</c:v>
                </c:pt>
                <c:pt idx="60">
                  <c:v>6</c:v>
                </c:pt>
                <c:pt idx="61">
                  <c:v>20</c:v>
                </c:pt>
                <c:pt idx="62">
                  <c:v>7</c:v>
                </c:pt>
                <c:pt idx="63">
                  <c:v>11</c:v>
                </c:pt>
                <c:pt idx="64">
                  <c:v>8</c:v>
                </c:pt>
                <c:pt idx="65">
                  <c:v>10</c:v>
                </c:pt>
                <c:pt idx="66">
                  <c:v>15</c:v>
                </c:pt>
                <c:pt idx="67">
                  <c:v>9</c:v>
                </c:pt>
                <c:pt idx="68">
                  <c:v>18</c:v>
                </c:pt>
                <c:pt idx="69">
                  <c:v>8</c:v>
                </c:pt>
                <c:pt idx="70">
                  <c:v>17</c:v>
                </c:pt>
                <c:pt idx="71">
                  <c:v>17</c:v>
                </c:pt>
                <c:pt idx="72">
                  <c:v>9</c:v>
                </c:pt>
                <c:pt idx="73">
                  <c:v>13</c:v>
                </c:pt>
                <c:pt idx="74">
                  <c:v>8</c:v>
                </c:pt>
                <c:pt idx="75">
                  <c:v>10</c:v>
                </c:pt>
                <c:pt idx="76">
                  <c:v>14</c:v>
                </c:pt>
                <c:pt idx="77">
                  <c:v>15</c:v>
                </c:pt>
                <c:pt idx="78">
                  <c:v>13</c:v>
                </c:pt>
                <c:pt idx="79">
                  <c:v>13</c:v>
                </c:pt>
                <c:pt idx="80">
                  <c:v>10</c:v>
                </c:pt>
                <c:pt idx="81">
                  <c:v>9</c:v>
                </c:pt>
                <c:pt idx="82">
                  <c:v>19</c:v>
                </c:pt>
                <c:pt idx="83">
                  <c:v>10</c:v>
                </c:pt>
                <c:pt idx="84">
                  <c:v>18</c:v>
                </c:pt>
                <c:pt idx="85">
                  <c:v>10</c:v>
                </c:pt>
                <c:pt idx="86">
                  <c:v>13</c:v>
                </c:pt>
                <c:pt idx="87">
                  <c:v>10</c:v>
                </c:pt>
                <c:pt idx="88">
                  <c:v>15</c:v>
                </c:pt>
                <c:pt idx="89">
                  <c:v>17</c:v>
                </c:pt>
                <c:pt idx="90">
                  <c:v>13</c:v>
                </c:pt>
                <c:pt idx="91">
                  <c:v>19</c:v>
                </c:pt>
                <c:pt idx="92">
                  <c:v>19</c:v>
                </c:pt>
                <c:pt idx="93">
                  <c:v>15</c:v>
                </c:pt>
                <c:pt idx="94">
                  <c:v>13</c:v>
                </c:pt>
                <c:pt idx="95">
                  <c:v>17</c:v>
                </c:pt>
                <c:pt idx="96">
                  <c:v>19</c:v>
                </c:pt>
                <c:pt idx="97">
                  <c:v>20</c:v>
                </c:pt>
                <c:pt idx="98">
                  <c:v>16</c:v>
                </c:pt>
                <c:pt idx="99">
                  <c:v>20</c:v>
                </c:pt>
                <c:pt idx="100">
                  <c:v>19</c:v>
                </c:pt>
              </c:numCache>
            </c:numRef>
          </c:yVal>
          <c:smooth val="0"/>
          <c:extLst>
            <c:ext xmlns:c16="http://schemas.microsoft.com/office/drawing/2014/chart" uri="{C3380CC4-5D6E-409C-BE32-E72D297353CC}">
              <c16:uniqueId val="{00000001-E596-48A3-8C7E-5C59EF3F48D7}"/>
            </c:ext>
          </c:extLst>
        </c:ser>
        <c:ser>
          <c:idx val="2"/>
          <c:order val="2"/>
          <c:tx>
            <c:strRef>
              <c:f>Sheet1!$G$1</c:f>
              <c:strCache>
                <c:ptCount val="1"/>
                <c:pt idx="0">
                  <c:v>bin</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cap="rnd">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multiLvlStrRef>
              <c:f>Sheet1!$A$2:$D$102</c:f>
              <c:multiLvlStrCache>
                <c:ptCount val="101"/>
                <c:lvl>
                  <c:pt idx="1">
                    <c:v>West</c:v>
                  </c:pt>
                  <c:pt idx="2">
                    <c:v>South</c:v>
                  </c:pt>
                  <c:pt idx="3">
                    <c:v>West</c:v>
                  </c:pt>
                  <c:pt idx="4">
                    <c:v>North</c:v>
                  </c:pt>
                  <c:pt idx="5">
                    <c:v>East</c:v>
                  </c:pt>
                  <c:pt idx="6">
                    <c:v>East</c:v>
                  </c:pt>
                  <c:pt idx="7">
                    <c:v>East</c:v>
                  </c:pt>
                  <c:pt idx="8">
                    <c:v>East</c:v>
                  </c:pt>
                  <c:pt idx="9">
                    <c:v>North</c:v>
                  </c:pt>
                  <c:pt idx="10">
                    <c:v>East</c:v>
                  </c:pt>
                  <c:pt idx="11">
                    <c:v>North</c:v>
                  </c:pt>
                  <c:pt idx="12">
                    <c:v>North</c:v>
                  </c:pt>
                  <c:pt idx="13">
                    <c:v>East</c:v>
                  </c:pt>
                  <c:pt idx="14">
                    <c:v>South</c:v>
                  </c:pt>
                  <c:pt idx="15">
                    <c:v>North</c:v>
                  </c:pt>
                  <c:pt idx="16">
                    <c:v>East</c:v>
                  </c:pt>
                  <c:pt idx="17">
                    <c:v>North</c:v>
                  </c:pt>
                  <c:pt idx="18">
                    <c:v>North</c:v>
                  </c:pt>
                  <c:pt idx="19">
                    <c:v>East</c:v>
                  </c:pt>
                  <c:pt idx="20">
                    <c:v>West</c:v>
                  </c:pt>
                  <c:pt idx="21">
                    <c:v>East</c:v>
                  </c:pt>
                  <c:pt idx="22">
                    <c:v>East</c:v>
                  </c:pt>
                  <c:pt idx="23">
                    <c:v>East</c:v>
                  </c:pt>
                  <c:pt idx="24">
                    <c:v>East</c:v>
                  </c:pt>
                  <c:pt idx="25">
                    <c:v>East</c:v>
                  </c:pt>
                  <c:pt idx="26">
                    <c:v>East</c:v>
                  </c:pt>
                  <c:pt idx="27">
                    <c:v>North</c:v>
                  </c:pt>
                  <c:pt idx="28">
                    <c:v>West</c:v>
                  </c:pt>
                  <c:pt idx="29">
                    <c:v>West</c:v>
                  </c:pt>
                  <c:pt idx="30">
                    <c:v>North</c:v>
                  </c:pt>
                  <c:pt idx="31">
                    <c:v>East</c:v>
                  </c:pt>
                  <c:pt idx="32">
                    <c:v>North</c:v>
                  </c:pt>
                  <c:pt idx="33">
                    <c:v>South</c:v>
                  </c:pt>
                  <c:pt idx="34">
                    <c:v>South</c:v>
                  </c:pt>
                  <c:pt idx="35">
                    <c:v>East</c:v>
                  </c:pt>
                  <c:pt idx="36">
                    <c:v>East</c:v>
                  </c:pt>
                  <c:pt idx="37">
                    <c:v>West</c:v>
                  </c:pt>
                  <c:pt idx="38">
                    <c:v>West</c:v>
                  </c:pt>
                  <c:pt idx="39">
                    <c:v>North</c:v>
                  </c:pt>
                  <c:pt idx="40">
                    <c:v>North</c:v>
                  </c:pt>
                  <c:pt idx="41">
                    <c:v>West</c:v>
                  </c:pt>
                  <c:pt idx="42">
                    <c:v>West</c:v>
                  </c:pt>
                  <c:pt idx="43">
                    <c:v>North</c:v>
                  </c:pt>
                  <c:pt idx="44">
                    <c:v>North</c:v>
                  </c:pt>
                  <c:pt idx="45">
                    <c:v>West</c:v>
                  </c:pt>
                  <c:pt idx="46">
                    <c:v>North</c:v>
                  </c:pt>
                  <c:pt idx="47">
                    <c:v>East</c:v>
                  </c:pt>
                  <c:pt idx="48">
                    <c:v>East</c:v>
                  </c:pt>
                  <c:pt idx="49">
                    <c:v>East</c:v>
                  </c:pt>
                  <c:pt idx="50">
                    <c:v>East</c:v>
                  </c:pt>
                  <c:pt idx="51">
                    <c:v>North</c:v>
                  </c:pt>
                  <c:pt idx="52">
                    <c:v>East</c:v>
                  </c:pt>
                  <c:pt idx="53">
                    <c:v>West</c:v>
                  </c:pt>
                  <c:pt idx="54">
                    <c:v>East</c:v>
                  </c:pt>
                  <c:pt idx="55">
                    <c:v>East</c:v>
                  </c:pt>
                  <c:pt idx="56">
                    <c:v>South</c:v>
                  </c:pt>
                  <c:pt idx="57">
                    <c:v>West</c:v>
                  </c:pt>
                  <c:pt idx="58">
                    <c:v>West</c:v>
                  </c:pt>
                  <c:pt idx="59">
                    <c:v>South</c:v>
                  </c:pt>
                  <c:pt idx="60">
                    <c:v>East</c:v>
                  </c:pt>
                  <c:pt idx="61">
                    <c:v>East</c:v>
                  </c:pt>
                  <c:pt idx="62">
                    <c:v>West</c:v>
                  </c:pt>
                  <c:pt idx="63">
                    <c:v>East</c:v>
                  </c:pt>
                  <c:pt idx="64">
                    <c:v>West</c:v>
                  </c:pt>
                  <c:pt idx="65">
                    <c:v>West</c:v>
                  </c:pt>
                  <c:pt idx="66">
                    <c:v>South</c:v>
                  </c:pt>
                  <c:pt idx="67">
                    <c:v>North</c:v>
                  </c:pt>
                  <c:pt idx="68">
                    <c:v>South</c:v>
                  </c:pt>
                  <c:pt idx="69">
                    <c:v>North</c:v>
                  </c:pt>
                  <c:pt idx="70">
                    <c:v>West</c:v>
                  </c:pt>
                  <c:pt idx="71">
                    <c:v>South</c:v>
                  </c:pt>
                  <c:pt idx="72">
                    <c:v>South</c:v>
                  </c:pt>
                  <c:pt idx="73">
                    <c:v>West</c:v>
                  </c:pt>
                  <c:pt idx="74">
                    <c:v>East</c:v>
                  </c:pt>
                  <c:pt idx="75">
                    <c:v>South</c:v>
                  </c:pt>
                  <c:pt idx="76">
                    <c:v>East</c:v>
                  </c:pt>
                  <c:pt idx="77">
                    <c:v>South</c:v>
                  </c:pt>
                  <c:pt idx="78">
                    <c:v>North</c:v>
                  </c:pt>
                  <c:pt idx="79">
                    <c:v>South</c:v>
                  </c:pt>
                  <c:pt idx="80">
                    <c:v>South</c:v>
                  </c:pt>
                  <c:pt idx="81">
                    <c:v>North</c:v>
                  </c:pt>
                  <c:pt idx="82">
                    <c:v>West</c:v>
                  </c:pt>
                  <c:pt idx="83">
                    <c:v>East</c:v>
                  </c:pt>
                  <c:pt idx="84">
                    <c:v>South</c:v>
                  </c:pt>
                  <c:pt idx="85">
                    <c:v>North</c:v>
                  </c:pt>
                  <c:pt idx="86">
                    <c:v>East</c:v>
                  </c:pt>
                  <c:pt idx="87">
                    <c:v>South</c:v>
                  </c:pt>
                  <c:pt idx="88">
                    <c:v>North</c:v>
                  </c:pt>
                  <c:pt idx="89">
                    <c:v>North</c:v>
                  </c:pt>
                  <c:pt idx="90">
                    <c:v>East</c:v>
                  </c:pt>
                  <c:pt idx="91">
                    <c:v>East</c:v>
                  </c:pt>
                  <c:pt idx="92">
                    <c:v>West</c:v>
                  </c:pt>
                  <c:pt idx="93">
                    <c:v>North</c:v>
                  </c:pt>
                  <c:pt idx="94">
                    <c:v>East</c:v>
                  </c:pt>
                  <c:pt idx="95">
                    <c:v>North</c:v>
                  </c:pt>
                  <c:pt idx="96">
                    <c:v>East</c:v>
                  </c:pt>
                  <c:pt idx="97">
                    <c:v>West</c:v>
                  </c:pt>
                  <c:pt idx="98">
                    <c:v>East</c:v>
                  </c:pt>
                  <c:pt idx="99">
                    <c:v>South</c:v>
                  </c:pt>
                  <c:pt idx="100">
                    <c:v>North</c:v>
                  </c:pt>
                </c:lvl>
                <c:lvl>
                  <c:pt idx="1">
                    <c:v>Footwear</c:v>
                  </c:pt>
                  <c:pt idx="2">
                    <c:v>Footwear</c:v>
                  </c:pt>
                  <c:pt idx="3">
                    <c:v>Clothing</c:v>
                  </c:pt>
                  <c:pt idx="4">
                    <c:v>Footwear</c:v>
                  </c:pt>
                  <c:pt idx="5">
                    <c:v>Appliances</c:v>
                  </c:pt>
                  <c:pt idx="6">
                    <c:v>Electronics</c:v>
                  </c:pt>
                  <c:pt idx="7">
                    <c:v>Footwear</c:v>
                  </c:pt>
                  <c:pt idx="8">
                    <c:v>Appliances</c:v>
                  </c:pt>
                  <c:pt idx="9">
                    <c:v>Electronics</c:v>
                  </c:pt>
                  <c:pt idx="10">
                    <c:v>Appliances</c:v>
                  </c:pt>
                  <c:pt idx="11">
                    <c:v>Electronics</c:v>
                  </c:pt>
                  <c:pt idx="12">
                    <c:v>Clothing</c:v>
                  </c:pt>
                  <c:pt idx="13">
                    <c:v>Footwear</c:v>
                  </c:pt>
                  <c:pt idx="14">
                    <c:v>Footwear</c:v>
                  </c:pt>
                  <c:pt idx="15">
                    <c:v>Electronics</c:v>
                  </c:pt>
                  <c:pt idx="16">
                    <c:v>Appliances</c:v>
                  </c:pt>
                  <c:pt idx="17">
                    <c:v>Clothing</c:v>
                  </c:pt>
                  <c:pt idx="18">
                    <c:v>Clothing</c:v>
                  </c:pt>
                  <c:pt idx="19">
                    <c:v>Footwear</c:v>
                  </c:pt>
                  <c:pt idx="20">
                    <c:v>Appliances</c:v>
                  </c:pt>
                  <c:pt idx="21">
                    <c:v>Clothing</c:v>
                  </c:pt>
                  <c:pt idx="22">
                    <c:v>Electronics</c:v>
                  </c:pt>
                  <c:pt idx="23">
                    <c:v>Clothing</c:v>
                  </c:pt>
                  <c:pt idx="24">
                    <c:v>Electronics</c:v>
                  </c:pt>
                  <c:pt idx="25">
                    <c:v>Footwear</c:v>
                  </c:pt>
                  <c:pt idx="26">
                    <c:v>Clothing</c:v>
                  </c:pt>
                  <c:pt idx="27">
                    <c:v>Clothing</c:v>
                  </c:pt>
                  <c:pt idx="28">
                    <c:v>Clothing</c:v>
                  </c:pt>
                  <c:pt idx="29">
                    <c:v>Clothing</c:v>
                  </c:pt>
                  <c:pt idx="30">
                    <c:v>Appliances</c:v>
                  </c:pt>
                  <c:pt idx="31">
                    <c:v>Footwear</c:v>
                  </c:pt>
                  <c:pt idx="32">
                    <c:v>Appliances</c:v>
                  </c:pt>
                  <c:pt idx="33">
                    <c:v>Electronics</c:v>
                  </c:pt>
                  <c:pt idx="34">
                    <c:v>Footwear</c:v>
                  </c:pt>
                  <c:pt idx="35">
                    <c:v>Electronics</c:v>
                  </c:pt>
                  <c:pt idx="36">
                    <c:v>Appliances</c:v>
                  </c:pt>
                  <c:pt idx="37">
                    <c:v>Electronics</c:v>
                  </c:pt>
                  <c:pt idx="38">
                    <c:v>Clothing</c:v>
                  </c:pt>
                  <c:pt idx="39">
                    <c:v>Footwear</c:v>
                  </c:pt>
                  <c:pt idx="40">
                    <c:v>Footwear</c:v>
                  </c:pt>
                  <c:pt idx="41">
                    <c:v>Electronics</c:v>
                  </c:pt>
                  <c:pt idx="42">
                    <c:v>Appliances</c:v>
                  </c:pt>
                  <c:pt idx="43">
                    <c:v>Electronics</c:v>
                  </c:pt>
                  <c:pt idx="44">
                    <c:v>Appliances</c:v>
                  </c:pt>
                  <c:pt idx="45">
                    <c:v>Electronics</c:v>
                  </c:pt>
                  <c:pt idx="46">
                    <c:v>Electronics</c:v>
                  </c:pt>
                  <c:pt idx="47">
                    <c:v>Clothing</c:v>
                  </c:pt>
                  <c:pt idx="48">
                    <c:v>Footwear</c:v>
                  </c:pt>
                  <c:pt idx="49">
                    <c:v>Clothing</c:v>
                  </c:pt>
                  <c:pt idx="50">
                    <c:v>Clothing</c:v>
                  </c:pt>
                  <c:pt idx="51">
                    <c:v>Electronics</c:v>
                  </c:pt>
                  <c:pt idx="52">
                    <c:v>Electronics</c:v>
                  </c:pt>
                  <c:pt idx="53">
                    <c:v>Footwear</c:v>
                  </c:pt>
                  <c:pt idx="54">
                    <c:v>Clothing</c:v>
                  </c:pt>
                  <c:pt idx="55">
                    <c:v>Clothing</c:v>
                  </c:pt>
                  <c:pt idx="56">
                    <c:v>Appliances</c:v>
                  </c:pt>
                  <c:pt idx="57">
                    <c:v>Appliances</c:v>
                  </c:pt>
                  <c:pt idx="58">
                    <c:v>Footwear</c:v>
                  </c:pt>
                  <c:pt idx="59">
                    <c:v>Clothing</c:v>
                  </c:pt>
                  <c:pt idx="60">
                    <c:v>Clothing</c:v>
                  </c:pt>
                  <c:pt idx="61">
                    <c:v>Clothing</c:v>
                  </c:pt>
                  <c:pt idx="62">
                    <c:v>Electronics</c:v>
                  </c:pt>
                  <c:pt idx="63">
                    <c:v>Appliances</c:v>
                  </c:pt>
                  <c:pt idx="64">
                    <c:v>Appliances</c:v>
                  </c:pt>
                  <c:pt idx="65">
                    <c:v>Electronics</c:v>
                  </c:pt>
                  <c:pt idx="66">
                    <c:v>Appliances</c:v>
                  </c:pt>
                  <c:pt idx="67">
                    <c:v>Appliances</c:v>
                  </c:pt>
                  <c:pt idx="68">
                    <c:v>Clothing</c:v>
                  </c:pt>
                  <c:pt idx="69">
                    <c:v>Electronics</c:v>
                  </c:pt>
                  <c:pt idx="70">
                    <c:v>Electronics</c:v>
                  </c:pt>
                  <c:pt idx="71">
                    <c:v>Appliances</c:v>
                  </c:pt>
                  <c:pt idx="72">
                    <c:v>Appliances</c:v>
                  </c:pt>
                  <c:pt idx="73">
                    <c:v>Clothing</c:v>
                  </c:pt>
                  <c:pt idx="74">
                    <c:v>Appliances</c:v>
                  </c:pt>
                  <c:pt idx="75">
                    <c:v>Electronics</c:v>
                  </c:pt>
                  <c:pt idx="76">
                    <c:v>Appliances</c:v>
                  </c:pt>
                  <c:pt idx="77">
                    <c:v>Electronics</c:v>
                  </c:pt>
                  <c:pt idx="78">
                    <c:v>Footwear</c:v>
                  </c:pt>
                  <c:pt idx="79">
                    <c:v>Clothing</c:v>
                  </c:pt>
                  <c:pt idx="80">
                    <c:v>Appliances</c:v>
                  </c:pt>
                  <c:pt idx="81">
                    <c:v>Electronics</c:v>
                  </c:pt>
                  <c:pt idx="82">
                    <c:v>Electronics</c:v>
                  </c:pt>
                  <c:pt idx="83">
                    <c:v>Appliances</c:v>
                  </c:pt>
                  <c:pt idx="84">
                    <c:v>Footwear</c:v>
                  </c:pt>
                  <c:pt idx="85">
                    <c:v>Electronics</c:v>
                  </c:pt>
                  <c:pt idx="86">
                    <c:v>Clothing</c:v>
                  </c:pt>
                  <c:pt idx="87">
                    <c:v>Electronics</c:v>
                  </c:pt>
                  <c:pt idx="88">
                    <c:v>Electronics</c:v>
                  </c:pt>
                  <c:pt idx="89">
                    <c:v>Appliances</c:v>
                  </c:pt>
                  <c:pt idx="90">
                    <c:v>Clothing</c:v>
                  </c:pt>
                  <c:pt idx="91">
                    <c:v>Footwear</c:v>
                  </c:pt>
                  <c:pt idx="92">
                    <c:v>Clothing</c:v>
                  </c:pt>
                  <c:pt idx="93">
                    <c:v>Appliances</c:v>
                  </c:pt>
                  <c:pt idx="94">
                    <c:v>Footwear</c:v>
                  </c:pt>
                  <c:pt idx="95">
                    <c:v>Footwear</c:v>
                  </c:pt>
                  <c:pt idx="96">
                    <c:v>Appliances</c:v>
                  </c:pt>
                  <c:pt idx="97">
                    <c:v>Clothing</c:v>
                  </c:pt>
                  <c:pt idx="98">
                    <c:v>Appliances</c:v>
                  </c:pt>
                  <c:pt idx="99">
                    <c:v>Clothing</c:v>
                  </c:pt>
                  <c:pt idx="100">
                    <c:v>Clothing</c:v>
                  </c:pt>
                </c:lvl>
                <c:lvl>
                  <c:pt idx="1">
                    <c:v>Boots</c:v>
                  </c:pt>
                  <c:pt idx="2">
                    <c:v>Boots</c:v>
                  </c:pt>
                  <c:pt idx="3">
                    <c:v>Trousers</c:v>
                  </c:pt>
                  <c:pt idx="4">
                    <c:v>Sneakers</c:v>
                  </c:pt>
                  <c:pt idx="5">
                    <c:v>Blender</c:v>
                  </c:pt>
                  <c:pt idx="6">
                    <c:v>Laptop</c:v>
                  </c:pt>
                  <c:pt idx="7">
                    <c:v>Sneakers</c:v>
                  </c:pt>
                  <c:pt idx="8">
                    <c:v>Microwave</c:v>
                  </c:pt>
                  <c:pt idx="9">
                    <c:v>Smartphone</c:v>
                  </c:pt>
                  <c:pt idx="10">
                    <c:v>Microwave</c:v>
                  </c:pt>
                  <c:pt idx="11">
                    <c:v>Smartphone</c:v>
                  </c:pt>
                  <c:pt idx="12">
                    <c:v>Trousers</c:v>
                  </c:pt>
                  <c:pt idx="13">
                    <c:v>Sneakers</c:v>
                  </c:pt>
                  <c:pt idx="14">
                    <c:v>Boots</c:v>
                  </c:pt>
                  <c:pt idx="15">
                    <c:v>Smartphone</c:v>
                  </c:pt>
                  <c:pt idx="16">
                    <c:v>Microwave</c:v>
                  </c:pt>
                  <c:pt idx="17">
                    <c:v>Trousers</c:v>
                  </c:pt>
                  <c:pt idx="18">
                    <c:v>Trousers</c:v>
                  </c:pt>
                  <c:pt idx="19">
                    <c:v>Sneakers</c:v>
                  </c:pt>
                  <c:pt idx="20">
                    <c:v>Microwave</c:v>
                  </c:pt>
                  <c:pt idx="21">
                    <c:v>Trousers</c:v>
                  </c:pt>
                  <c:pt idx="22">
                    <c:v>Smartphone</c:v>
                  </c:pt>
                  <c:pt idx="23">
                    <c:v>Trousers</c:v>
                  </c:pt>
                  <c:pt idx="24">
                    <c:v>Smartphone</c:v>
                  </c:pt>
                  <c:pt idx="25">
                    <c:v>Sneakers</c:v>
                  </c:pt>
                  <c:pt idx="26">
                    <c:v>Shirt</c:v>
                  </c:pt>
                  <c:pt idx="27">
                    <c:v>Trousers</c:v>
                  </c:pt>
                  <c:pt idx="28">
                    <c:v>Shirt</c:v>
                  </c:pt>
                  <c:pt idx="29">
                    <c:v>Shirt</c:v>
                  </c:pt>
                  <c:pt idx="30">
                    <c:v>Blender</c:v>
                  </c:pt>
                  <c:pt idx="31">
                    <c:v>Sneakers</c:v>
                  </c:pt>
                  <c:pt idx="32">
                    <c:v>Microwave</c:v>
                  </c:pt>
                  <c:pt idx="33">
                    <c:v>Smartphone</c:v>
                  </c:pt>
                  <c:pt idx="34">
                    <c:v>Sneakers</c:v>
                  </c:pt>
                  <c:pt idx="35">
                    <c:v>Smartphone</c:v>
                  </c:pt>
                  <c:pt idx="36">
                    <c:v>Microwave</c:v>
                  </c:pt>
                  <c:pt idx="37">
                    <c:v>Laptop</c:v>
                  </c:pt>
                  <c:pt idx="38">
                    <c:v>Shirt</c:v>
                  </c:pt>
                  <c:pt idx="39">
                    <c:v>Sneakers</c:v>
                  </c:pt>
                  <c:pt idx="40">
                    <c:v>Sneakers</c:v>
                  </c:pt>
                  <c:pt idx="41">
                    <c:v>Laptop</c:v>
                  </c:pt>
                  <c:pt idx="42">
                    <c:v>Blender</c:v>
                  </c:pt>
                  <c:pt idx="43">
                    <c:v>Laptop</c:v>
                  </c:pt>
                  <c:pt idx="44">
                    <c:v>Blender</c:v>
                  </c:pt>
                  <c:pt idx="45">
                    <c:v>Smartphone</c:v>
                  </c:pt>
                  <c:pt idx="46">
                    <c:v>Smartphone</c:v>
                  </c:pt>
                  <c:pt idx="47">
                    <c:v>Shirt</c:v>
                  </c:pt>
                  <c:pt idx="48">
                    <c:v>Sneakers</c:v>
                  </c:pt>
                  <c:pt idx="49">
                    <c:v>Shirt</c:v>
                  </c:pt>
                  <c:pt idx="50">
                    <c:v>Trousers</c:v>
                  </c:pt>
                  <c:pt idx="51">
                    <c:v>Laptop</c:v>
                  </c:pt>
                  <c:pt idx="52">
                    <c:v>Smartphone</c:v>
                  </c:pt>
                  <c:pt idx="53">
                    <c:v>Sneakers</c:v>
                  </c:pt>
                  <c:pt idx="54">
                    <c:v>Trousers</c:v>
                  </c:pt>
                  <c:pt idx="55">
                    <c:v>Shirt</c:v>
                  </c:pt>
                  <c:pt idx="56">
                    <c:v>Blender</c:v>
                  </c:pt>
                  <c:pt idx="57">
                    <c:v>Blender</c:v>
                  </c:pt>
                  <c:pt idx="58">
                    <c:v>Boots</c:v>
                  </c:pt>
                  <c:pt idx="59">
                    <c:v>Shirt</c:v>
                  </c:pt>
                  <c:pt idx="60">
                    <c:v>Shirt</c:v>
                  </c:pt>
                  <c:pt idx="61">
                    <c:v>Shirt</c:v>
                  </c:pt>
                  <c:pt idx="62">
                    <c:v>Laptop</c:v>
                  </c:pt>
                  <c:pt idx="63">
                    <c:v>Microwave</c:v>
                  </c:pt>
                  <c:pt idx="64">
                    <c:v>Blender</c:v>
                  </c:pt>
                  <c:pt idx="65">
                    <c:v>Smartphone</c:v>
                  </c:pt>
                  <c:pt idx="66">
                    <c:v>Microwave</c:v>
                  </c:pt>
                  <c:pt idx="67">
                    <c:v>Microwave</c:v>
                  </c:pt>
                  <c:pt idx="68">
                    <c:v>Trousers</c:v>
                  </c:pt>
                  <c:pt idx="69">
                    <c:v>Smartphone</c:v>
                  </c:pt>
                  <c:pt idx="70">
                    <c:v>Laptop</c:v>
                  </c:pt>
                  <c:pt idx="71">
                    <c:v>Blender</c:v>
                  </c:pt>
                  <c:pt idx="72">
                    <c:v>Blender</c:v>
                  </c:pt>
                  <c:pt idx="73">
                    <c:v>Shirt</c:v>
                  </c:pt>
                  <c:pt idx="74">
                    <c:v>Blender</c:v>
                  </c:pt>
                  <c:pt idx="75">
                    <c:v>Laptop</c:v>
                  </c:pt>
                  <c:pt idx="76">
                    <c:v>Blender</c:v>
                  </c:pt>
                  <c:pt idx="77">
                    <c:v>Smartphone</c:v>
                  </c:pt>
                  <c:pt idx="78">
                    <c:v>Boots</c:v>
                  </c:pt>
                  <c:pt idx="79">
                    <c:v>Shirt</c:v>
                  </c:pt>
                  <c:pt idx="80">
                    <c:v>Blender</c:v>
                  </c:pt>
                  <c:pt idx="81">
                    <c:v>Smartphone</c:v>
                  </c:pt>
                  <c:pt idx="82">
                    <c:v>Smartphone</c:v>
                  </c:pt>
                  <c:pt idx="83">
                    <c:v>Blender</c:v>
                  </c:pt>
                  <c:pt idx="84">
                    <c:v>Boots</c:v>
                  </c:pt>
                  <c:pt idx="85">
                    <c:v>Smartphone</c:v>
                  </c:pt>
                  <c:pt idx="86">
                    <c:v>Shirt</c:v>
                  </c:pt>
                  <c:pt idx="87">
                    <c:v>Laptop</c:v>
                  </c:pt>
                  <c:pt idx="88">
                    <c:v>Laptop</c:v>
                  </c:pt>
                  <c:pt idx="89">
                    <c:v>Blender</c:v>
                  </c:pt>
                  <c:pt idx="90">
                    <c:v>Shirt</c:v>
                  </c:pt>
                  <c:pt idx="91">
                    <c:v>Boots</c:v>
                  </c:pt>
                  <c:pt idx="92">
                    <c:v>Trousers</c:v>
                  </c:pt>
                  <c:pt idx="93">
                    <c:v>Microwave</c:v>
                  </c:pt>
                  <c:pt idx="94">
                    <c:v>Sneakers</c:v>
                  </c:pt>
                  <c:pt idx="95">
                    <c:v>Sneakers</c:v>
                  </c:pt>
                  <c:pt idx="96">
                    <c:v>Blender</c:v>
                  </c:pt>
                  <c:pt idx="97">
                    <c:v>Shirt</c:v>
                  </c:pt>
                  <c:pt idx="98">
                    <c:v>Blender</c:v>
                  </c:pt>
                  <c:pt idx="99">
                    <c:v>Shirt</c:v>
                  </c:pt>
                  <c:pt idx="100">
                    <c:v>Shirt</c:v>
                  </c:pt>
                </c:lvl>
                <c:lvl>
                  <c:pt idx="1">
                    <c:v>2025-04-20</c:v>
                  </c:pt>
                  <c:pt idx="2">
                    <c:v>2025-03-31</c:v>
                  </c:pt>
                  <c:pt idx="3">
                    <c:v>2025-02-09</c:v>
                  </c:pt>
                  <c:pt idx="4">
                    <c:v>2025-01-29</c:v>
                  </c:pt>
                  <c:pt idx="5">
                    <c:v>2025-03-06</c:v>
                  </c:pt>
                  <c:pt idx="6">
                    <c:v>2025-03-28</c:v>
                  </c:pt>
                  <c:pt idx="7">
                    <c:v>2025-01-12</c:v>
                  </c:pt>
                  <c:pt idx="8">
                    <c:v>2025-02-06</c:v>
                  </c:pt>
                  <c:pt idx="9">
                    <c:v>2025-02-06</c:v>
                  </c:pt>
                  <c:pt idx="10">
                    <c:v>2025-02-13</c:v>
                  </c:pt>
                  <c:pt idx="11">
                    <c:v>2025-03-16</c:v>
                  </c:pt>
                  <c:pt idx="12">
                    <c:v>2025-03-16</c:v>
                  </c:pt>
                  <c:pt idx="13">
                    <c:v>2025-03-11</c:v>
                  </c:pt>
                  <c:pt idx="14">
                    <c:v>2025-01-11</c:v>
                  </c:pt>
                  <c:pt idx="15">
                    <c:v>2025-02-13</c:v>
                  </c:pt>
                  <c:pt idx="16">
                    <c:v>2025-04-02</c:v>
                  </c:pt>
                  <c:pt idx="17">
                    <c:v>2025-01-10</c:v>
                  </c:pt>
                  <c:pt idx="18">
                    <c:v>2025-02-05</c:v>
                  </c:pt>
                  <c:pt idx="19">
                    <c:v>2025-03-25</c:v>
                  </c:pt>
                  <c:pt idx="20">
                    <c:v>2025-04-28</c:v>
                  </c:pt>
                  <c:pt idx="21">
                    <c:v>2025-04-17</c:v>
                  </c:pt>
                  <c:pt idx="22">
                    <c:v>2025-01-03</c:v>
                  </c:pt>
                  <c:pt idx="23">
                    <c:v>2025-02-04</c:v>
                  </c:pt>
                  <c:pt idx="24">
                    <c:v>2025-02-16</c:v>
                  </c:pt>
                  <c:pt idx="25">
                    <c:v>2025-02-26</c:v>
                  </c:pt>
                  <c:pt idx="26">
                    <c:v>2025-02-23</c:v>
                  </c:pt>
                  <c:pt idx="27">
                    <c:v>2025-04-30</c:v>
                  </c:pt>
                  <c:pt idx="28">
                    <c:v>2025-04-18</c:v>
                  </c:pt>
                  <c:pt idx="29">
                    <c:v>2025-02-15</c:v>
                  </c:pt>
                  <c:pt idx="30">
                    <c:v>2025-02-28</c:v>
                  </c:pt>
                  <c:pt idx="31">
                    <c:v>2025-04-02</c:v>
                  </c:pt>
                  <c:pt idx="32">
                    <c:v>2025-02-05</c:v>
                  </c:pt>
                  <c:pt idx="33">
                    <c:v>2025-05-01</c:v>
                  </c:pt>
                  <c:pt idx="34">
                    <c:v>2025-01-08</c:v>
                  </c:pt>
                  <c:pt idx="35">
                    <c:v>2025-03-31</c:v>
                  </c:pt>
                  <c:pt idx="36">
                    <c:v>2025-04-01</c:v>
                  </c:pt>
                  <c:pt idx="37">
                    <c:v>2025-01-23</c:v>
                  </c:pt>
                  <c:pt idx="38">
                    <c:v>2025-02-17</c:v>
                  </c:pt>
                  <c:pt idx="39">
                    <c:v>2025-02-22</c:v>
                  </c:pt>
                  <c:pt idx="40">
                    <c:v>2025-03-15</c:v>
                  </c:pt>
                  <c:pt idx="41">
                    <c:v>2025-01-22</c:v>
                  </c:pt>
                  <c:pt idx="42">
                    <c:v>2025-04-15</c:v>
                  </c:pt>
                  <c:pt idx="43">
                    <c:v>2025-01-02</c:v>
                  </c:pt>
                  <c:pt idx="44">
                    <c:v>2025-02-05</c:v>
                  </c:pt>
                  <c:pt idx="45">
                    <c:v>2025-02-01</c:v>
                  </c:pt>
                  <c:pt idx="46">
                    <c:v>2025-02-13</c:v>
                  </c:pt>
                  <c:pt idx="47">
                    <c:v>2025-02-14</c:v>
                  </c:pt>
                  <c:pt idx="48">
                    <c:v>2025-02-09</c:v>
                  </c:pt>
                  <c:pt idx="49">
                    <c:v>2025-02-17</c:v>
                  </c:pt>
                  <c:pt idx="50">
                    <c:v>2025-02-07</c:v>
                  </c:pt>
                  <c:pt idx="51">
                    <c:v>2025-01-20</c:v>
                  </c:pt>
                  <c:pt idx="52">
                    <c:v>2025-01-13</c:v>
                  </c:pt>
                  <c:pt idx="53">
                    <c:v>2025-04-02</c:v>
                  </c:pt>
                  <c:pt idx="54">
                    <c:v>2025-03-09</c:v>
                  </c:pt>
                  <c:pt idx="55">
                    <c:v>2025-02-25</c:v>
                  </c:pt>
                  <c:pt idx="56">
                    <c:v>2025-01-13</c:v>
                  </c:pt>
                  <c:pt idx="57">
                    <c:v>2025-01-22</c:v>
                  </c:pt>
                  <c:pt idx="58">
                    <c:v>2025-02-02</c:v>
                  </c:pt>
                  <c:pt idx="59">
                    <c:v>2025-01-08</c:v>
                  </c:pt>
                  <c:pt idx="60">
                    <c:v>2025-01-19</c:v>
                  </c:pt>
                  <c:pt idx="61">
                    <c:v>2025-02-18</c:v>
                  </c:pt>
                  <c:pt idx="62">
                    <c:v>2025-03-19</c:v>
                  </c:pt>
                  <c:pt idx="63">
                    <c:v>2025-03-25</c:v>
                  </c:pt>
                  <c:pt idx="64">
                    <c:v>2025-03-11</c:v>
                  </c:pt>
                  <c:pt idx="65">
                    <c:v>2025-02-05</c:v>
                  </c:pt>
                  <c:pt idx="66">
                    <c:v>2025-01-24</c:v>
                  </c:pt>
                  <c:pt idx="67">
                    <c:v>2025-02-11</c:v>
                  </c:pt>
                  <c:pt idx="68">
                    <c:v>2025-03-04</c:v>
                  </c:pt>
                  <c:pt idx="69">
                    <c:v>2025-03-03</c:v>
                  </c:pt>
                  <c:pt idx="70">
                    <c:v>2025-03-03</c:v>
                  </c:pt>
                  <c:pt idx="71">
                    <c:v>2025-01-01</c:v>
                  </c:pt>
                  <c:pt idx="72">
                    <c:v>2025-01-06</c:v>
                  </c:pt>
                  <c:pt idx="73">
                    <c:v>2025-03-23</c:v>
                  </c:pt>
                  <c:pt idx="74">
                    <c:v>2025-03-19</c:v>
                  </c:pt>
                  <c:pt idx="75">
                    <c:v>2025-02-14</c:v>
                  </c:pt>
                  <c:pt idx="76">
                    <c:v>2025-03-28</c:v>
                  </c:pt>
                  <c:pt idx="77">
                    <c:v>2025-03-18</c:v>
                  </c:pt>
                  <c:pt idx="78">
                    <c:v>2025-03-09</c:v>
                  </c:pt>
                  <c:pt idx="79">
                    <c:v>2025-02-05</c:v>
                  </c:pt>
                  <c:pt idx="80">
                    <c:v>2025-01-01</c:v>
                  </c:pt>
                  <c:pt idx="81">
                    <c:v>2025-03-08</c:v>
                  </c:pt>
                  <c:pt idx="82">
                    <c:v>2025-04-09</c:v>
                  </c:pt>
                  <c:pt idx="83">
                    <c:v>2025-02-24</c:v>
                  </c:pt>
                  <c:pt idx="84">
                    <c:v>2025-02-05</c:v>
                  </c:pt>
                  <c:pt idx="85">
                    <c:v>2025-03-12</c:v>
                  </c:pt>
                  <c:pt idx="86">
                    <c:v>2025-04-19</c:v>
                  </c:pt>
                  <c:pt idx="87">
                    <c:v>2025-03-05</c:v>
                  </c:pt>
                  <c:pt idx="88">
                    <c:v>2025-04-14</c:v>
                  </c:pt>
                  <c:pt idx="89">
                    <c:v>2025-03-16</c:v>
                  </c:pt>
                  <c:pt idx="90">
                    <c:v>2025-01-20</c:v>
                  </c:pt>
                  <c:pt idx="91">
                    <c:v>2025-03-30</c:v>
                  </c:pt>
                  <c:pt idx="92">
                    <c:v>2025-03-09</c:v>
                  </c:pt>
                  <c:pt idx="93">
                    <c:v>2025-04-07</c:v>
                  </c:pt>
                  <c:pt idx="94">
                    <c:v>2025-02-16</c:v>
                  </c:pt>
                  <c:pt idx="95">
                    <c:v>2025-04-15</c:v>
                  </c:pt>
                  <c:pt idx="96">
                    <c:v>2025-04-09</c:v>
                  </c:pt>
                  <c:pt idx="97">
                    <c:v>2025-02-19</c:v>
                  </c:pt>
                  <c:pt idx="98">
                    <c:v>2025-01-03</c:v>
                  </c:pt>
                  <c:pt idx="99">
                    <c:v>2025-05-01</c:v>
                  </c:pt>
                  <c:pt idx="100">
                    <c:v>2025-01-09</c:v>
                  </c:pt>
                </c:lvl>
              </c:multiLvlStrCache>
            </c:multiLvlStrRef>
          </c:xVal>
          <c:yVal>
            <c:numRef>
              <c:f>Sheet1!$G$2:$G$102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4F6E-4378-AC9B-22054BB6A329}"/>
            </c:ext>
          </c:extLst>
        </c:ser>
        <c:ser>
          <c:idx val="3"/>
          <c:order val="3"/>
          <c:tx>
            <c:strRef>
              <c:f>Sheet1!$H$1</c:f>
              <c:strCache>
                <c:ptCount val="1"/>
                <c:pt idx="0">
                  <c:v>Column1</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cap="rnd">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multiLvlStrRef>
              <c:f>Sheet1!$A$2:$D$102</c:f>
              <c:multiLvlStrCache>
                <c:ptCount val="101"/>
                <c:lvl>
                  <c:pt idx="1">
                    <c:v>West</c:v>
                  </c:pt>
                  <c:pt idx="2">
                    <c:v>South</c:v>
                  </c:pt>
                  <c:pt idx="3">
                    <c:v>West</c:v>
                  </c:pt>
                  <c:pt idx="4">
                    <c:v>North</c:v>
                  </c:pt>
                  <c:pt idx="5">
                    <c:v>East</c:v>
                  </c:pt>
                  <c:pt idx="6">
                    <c:v>East</c:v>
                  </c:pt>
                  <c:pt idx="7">
                    <c:v>East</c:v>
                  </c:pt>
                  <c:pt idx="8">
                    <c:v>East</c:v>
                  </c:pt>
                  <c:pt idx="9">
                    <c:v>North</c:v>
                  </c:pt>
                  <c:pt idx="10">
                    <c:v>East</c:v>
                  </c:pt>
                  <c:pt idx="11">
                    <c:v>North</c:v>
                  </c:pt>
                  <c:pt idx="12">
                    <c:v>North</c:v>
                  </c:pt>
                  <c:pt idx="13">
                    <c:v>East</c:v>
                  </c:pt>
                  <c:pt idx="14">
                    <c:v>South</c:v>
                  </c:pt>
                  <c:pt idx="15">
                    <c:v>North</c:v>
                  </c:pt>
                  <c:pt idx="16">
                    <c:v>East</c:v>
                  </c:pt>
                  <c:pt idx="17">
                    <c:v>North</c:v>
                  </c:pt>
                  <c:pt idx="18">
                    <c:v>North</c:v>
                  </c:pt>
                  <c:pt idx="19">
                    <c:v>East</c:v>
                  </c:pt>
                  <c:pt idx="20">
                    <c:v>West</c:v>
                  </c:pt>
                  <c:pt idx="21">
                    <c:v>East</c:v>
                  </c:pt>
                  <c:pt idx="22">
                    <c:v>East</c:v>
                  </c:pt>
                  <c:pt idx="23">
                    <c:v>East</c:v>
                  </c:pt>
                  <c:pt idx="24">
                    <c:v>East</c:v>
                  </c:pt>
                  <c:pt idx="25">
                    <c:v>East</c:v>
                  </c:pt>
                  <c:pt idx="26">
                    <c:v>East</c:v>
                  </c:pt>
                  <c:pt idx="27">
                    <c:v>North</c:v>
                  </c:pt>
                  <c:pt idx="28">
                    <c:v>West</c:v>
                  </c:pt>
                  <c:pt idx="29">
                    <c:v>West</c:v>
                  </c:pt>
                  <c:pt idx="30">
                    <c:v>North</c:v>
                  </c:pt>
                  <c:pt idx="31">
                    <c:v>East</c:v>
                  </c:pt>
                  <c:pt idx="32">
                    <c:v>North</c:v>
                  </c:pt>
                  <c:pt idx="33">
                    <c:v>South</c:v>
                  </c:pt>
                  <c:pt idx="34">
                    <c:v>South</c:v>
                  </c:pt>
                  <c:pt idx="35">
                    <c:v>East</c:v>
                  </c:pt>
                  <c:pt idx="36">
                    <c:v>East</c:v>
                  </c:pt>
                  <c:pt idx="37">
                    <c:v>West</c:v>
                  </c:pt>
                  <c:pt idx="38">
                    <c:v>West</c:v>
                  </c:pt>
                  <c:pt idx="39">
                    <c:v>North</c:v>
                  </c:pt>
                  <c:pt idx="40">
                    <c:v>North</c:v>
                  </c:pt>
                  <c:pt idx="41">
                    <c:v>West</c:v>
                  </c:pt>
                  <c:pt idx="42">
                    <c:v>West</c:v>
                  </c:pt>
                  <c:pt idx="43">
                    <c:v>North</c:v>
                  </c:pt>
                  <c:pt idx="44">
                    <c:v>North</c:v>
                  </c:pt>
                  <c:pt idx="45">
                    <c:v>West</c:v>
                  </c:pt>
                  <c:pt idx="46">
                    <c:v>North</c:v>
                  </c:pt>
                  <c:pt idx="47">
                    <c:v>East</c:v>
                  </c:pt>
                  <c:pt idx="48">
                    <c:v>East</c:v>
                  </c:pt>
                  <c:pt idx="49">
                    <c:v>East</c:v>
                  </c:pt>
                  <c:pt idx="50">
                    <c:v>East</c:v>
                  </c:pt>
                  <c:pt idx="51">
                    <c:v>North</c:v>
                  </c:pt>
                  <c:pt idx="52">
                    <c:v>East</c:v>
                  </c:pt>
                  <c:pt idx="53">
                    <c:v>West</c:v>
                  </c:pt>
                  <c:pt idx="54">
                    <c:v>East</c:v>
                  </c:pt>
                  <c:pt idx="55">
                    <c:v>East</c:v>
                  </c:pt>
                  <c:pt idx="56">
                    <c:v>South</c:v>
                  </c:pt>
                  <c:pt idx="57">
                    <c:v>West</c:v>
                  </c:pt>
                  <c:pt idx="58">
                    <c:v>West</c:v>
                  </c:pt>
                  <c:pt idx="59">
                    <c:v>South</c:v>
                  </c:pt>
                  <c:pt idx="60">
                    <c:v>East</c:v>
                  </c:pt>
                  <c:pt idx="61">
                    <c:v>East</c:v>
                  </c:pt>
                  <c:pt idx="62">
                    <c:v>West</c:v>
                  </c:pt>
                  <c:pt idx="63">
                    <c:v>East</c:v>
                  </c:pt>
                  <c:pt idx="64">
                    <c:v>West</c:v>
                  </c:pt>
                  <c:pt idx="65">
                    <c:v>West</c:v>
                  </c:pt>
                  <c:pt idx="66">
                    <c:v>South</c:v>
                  </c:pt>
                  <c:pt idx="67">
                    <c:v>North</c:v>
                  </c:pt>
                  <c:pt idx="68">
                    <c:v>South</c:v>
                  </c:pt>
                  <c:pt idx="69">
                    <c:v>North</c:v>
                  </c:pt>
                  <c:pt idx="70">
                    <c:v>West</c:v>
                  </c:pt>
                  <c:pt idx="71">
                    <c:v>South</c:v>
                  </c:pt>
                  <c:pt idx="72">
                    <c:v>South</c:v>
                  </c:pt>
                  <c:pt idx="73">
                    <c:v>West</c:v>
                  </c:pt>
                  <c:pt idx="74">
                    <c:v>East</c:v>
                  </c:pt>
                  <c:pt idx="75">
                    <c:v>South</c:v>
                  </c:pt>
                  <c:pt idx="76">
                    <c:v>East</c:v>
                  </c:pt>
                  <c:pt idx="77">
                    <c:v>South</c:v>
                  </c:pt>
                  <c:pt idx="78">
                    <c:v>North</c:v>
                  </c:pt>
                  <c:pt idx="79">
                    <c:v>South</c:v>
                  </c:pt>
                  <c:pt idx="80">
                    <c:v>South</c:v>
                  </c:pt>
                  <c:pt idx="81">
                    <c:v>North</c:v>
                  </c:pt>
                  <c:pt idx="82">
                    <c:v>West</c:v>
                  </c:pt>
                  <c:pt idx="83">
                    <c:v>East</c:v>
                  </c:pt>
                  <c:pt idx="84">
                    <c:v>South</c:v>
                  </c:pt>
                  <c:pt idx="85">
                    <c:v>North</c:v>
                  </c:pt>
                  <c:pt idx="86">
                    <c:v>East</c:v>
                  </c:pt>
                  <c:pt idx="87">
                    <c:v>South</c:v>
                  </c:pt>
                  <c:pt idx="88">
                    <c:v>North</c:v>
                  </c:pt>
                  <c:pt idx="89">
                    <c:v>North</c:v>
                  </c:pt>
                  <c:pt idx="90">
                    <c:v>East</c:v>
                  </c:pt>
                  <c:pt idx="91">
                    <c:v>East</c:v>
                  </c:pt>
                  <c:pt idx="92">
                    <c:v>West</c:v>
                  </c:pt>
                  <c:pt idx="93">
                    <c:v>North</c:v>
                  </c:pt>
                  <c:pt idx="94">
                    <c:v>East</c:v>
                  </c:pt>
                  <c:pt idx="95">
                    <c:v>North</c:v>
                  </c:pt>
                  <c:pt idx="96">
                    <c:v>East</c:v>
                  </c:pt>
                  <c:pt idx="97">
                    <c:v>West</c:v>
                  </c:pt>
                  <c:pt idx="98">
                    <c:v>East</c:v>
                  </c:pt>
                  <c:pt idx="99">
                    <c:v>South</c:v>
                  </c:pt>
                  <c:pt idx="100">
                    <c:v>North</c:v>
                  </c:pt>
                </c:lvl>
                <c:lvl>
                  <c:pt idx="1">
                    <c:v>Footwear</c:v>
                  </c:pt>
                  <c:pt idx="2">
                    <c:v>Footwear</c:v>
                  </c:pt>
                  <c:pt idx="3">
                    <c:v>Clothing</c:v>
                  </c:pt>
                  <c:pt idx="4">
                    <c:v>Footwear</c:v>
                  </c:pt>
                  <c:pt idx="5">
                    <c:v>Appliances</c:v>
                  </c:pt>
                  <c:pt idx="6">
                    <c:v>Electronics</c:v>
                  </c:pt>
                  <c:pt idx="7">
                    <c:v>Footwear</c:v>
                  </c:pt>
                  <c:pt idx="8">
                    <c:v>Appliances</c:v>
                  </c:pt>
                  <c:pt idx="9">
                    <c:v>Electronics</c:v>
                  </c:pt>
                  <c:pt idx="10">
                    <c:v>Appliances</c:v>
                  </c:pt>
                  <c:pt idx="11">
                    <c:v>Electronics</c:v>
                  </c:pt>
                  <c:pt idx="12">
                    <c:v>Clothing</c:v>
                  </c:pt>
                  <c:pt idx="13">
                    <c:v>Footwear</c:v>
                  </c:pt>
                  <c:pt idx="14">
                    <c:v>Footwear</c:v>
                  </c:pt>
                  <c:pt idx="15">
                    <c:v>Electronics</c:v>
                  </c:pt>
                  <c:pt idx="16">
                    <c:v>Appliances</c:v>
                  </c:pt>
                  <c:pt idx="17">
                    <c:v>Clothing</c:v>
                  </c:pt>
                  <c:pt idx="18">
                    <c:v>Clothing</c:v>
                  </c:pt>
                  <c:pt idx="19">
                    <c:v>Footwear</c:v>
                  </c:pt>
                  <c:pt idx="20">
                    <c:v>Appliances</c:v>
                  </c:pt>
                  <c:pt idx="21">
                    <c:v>Clothing</c:v>
                  </c:pt>
                  <c:pt idx="22">
                    <c:v>Electronics</c:v>
                  </c:pt>
                  <c:pt idx="23">
                    <c:v>Clothing</c:v>
                  </c:pt>
                  <c:pt idx="24">
                    <c:v>Electronics</c:v>
                  </c:pt>
                  <c:pt idx="25">
                    <c:v>Footwear</c:v>
                  </c:pt>
                  <c:pt idx="26">
                    <c:v>Clothing</c:v>
                  </c:pt>
                  <c:pt idx="27">
                    <c:v>Clothing</c:v>
                  </c:pt>
                  <c:pt idx="28">
                    <c:v>Clothing</c:v>
                  </c:pt>
                  <c:pt idx="29">
                    <c:v>Clothing</c:v>
                  </c:pt>
                  <c:pt idx="30">
                    <c:v>Appliances</c:v>
                  </c:pt>
                  <c:pt idx="31">
                    <c:v>Footwear</c:v>
                  </c:pt>
                  <c:pt idx="32">
                    <c:v>Appliances</c:v>
                  </c:pt>
                  <c:pt idx="33">
                    <c:v>Electronics</c:v>
                  </c:pt>
                  <c:pt idx="34">
                    <c:v>Footwear</c:v>
                  </c:pt>
                  <c:pt idx="35">
                    <c:v>Electronics</c:v>
                  </c:pt>
                  <c:pt idx="36">
                    <c:v>Appliances</c:v>
                  </c:pt>
                  <c:pt idx="37">
                    <c:v>Electronics</c:v>
                  </c:pt>
                  <c:pt idx="38">
                    <c:v>Clothing</c:v>
                  </c:pt>
                  <c:pt idx="39">
                    <c:v>Footwear</c:v>
                  </c:pt>
                  <c:pt idx="40">
                    <c:v>Footwear</c:v>
                  </c:pt>
                  <c:pt idx="41">
                    <c:v>Electronics</c:v>
                  </c:pt>
                  <c:pt idx="42">
                    <c:v>Appliances</c:v>
                  </c:pt>
                  <c:pt idx="43">
                    <c:v>Electronics</c:v>
                  </c:pt>
                  <c:pt idx="44">
                    <c:v>Appliances</c:v>
                  </c:pt>
                  <c:pt idx="45">
                    <c:v>Electronics</c:v>
                  </c:pt>
                  <c:pt idx="46">
                    <c:v>Electronics</c:v>
                  </c:pt>
                  <c:pt idx="47">
                    <c:v>Clothing</c:v>
                  </c:pt>
                  <c:pt idx="48">
                    <c:v>Footwear</c:v>
                  </c:pt>
                  <c:pt idx="49">
                    <c:v>Clothing</c:v>
                  </c:pt>
                  <c:pt idx="50">
                    <c:v>Clothing</c:v>
                  </c:pt>
                  <c:pt idx="51">
                    <c:v>Electronics</c:v>
                  </c:pt>
                  <c:pt idx="52">
                    <c:v>Electronics</c:v>
                  </c:pt>
                  <c:pt idx="53">
                    <c:v>Footwear</c:v>
                  </c:pt>
                  <c:pt idx="54">
                    <c:v>Clothing</c:v>
                  </c:pt>
                  <c:pt idx="55">
                    <c:v>Clothing</c:v>
                  </c:pt>
                  <c:pt idx="56">
                    <c:v>Appliances</c:v>
                  </c:pt>
                  <c:pt idx="57">
                    <c:v>Appliances</c:v>
                  </c:pt>
                  <c:pt idx="58">
                    <c:v>Footwear</c:v>
                  </c:pt>
                  <c:pt idx="59">
                    <c:v>Clothing</c:v>
                  </c:pt>
                  <c:pt idx="60">
                    <c:v>Clothing</c:v>
                  </c:pt>
                  <c:pt idx="61">
                    <c:v>Clothing</c:v>
                  </c:pt>
                  <c:pt idx="62">
                    <c:v>Electronics</c:v>
                  </c:pt>
                  <c:pt idx="63">
                    <c:v>Appliances</c:v>
                  </c:pt>
                  <c:pt idx="64">
                    <c:v>Appliances</c:v>
                  </c:pt>
                  <c:pt idx="65">
                    <c:v>Electronics</c:v>
                  </c:pt>
                  <c:pt idx="66">
                    <c:v>Appliances</c:v>
                  </c:pt>
                  <c:pt idx="67">
                    <c:v>Appliances</c:v>
                  </c:pt>
                  <c:pt idx="68">
                    <c:v>Clothing</c:v>
                  </c:pt>
                  <c:pt idx="69">
                    <c:v>Electronics</c:v>
                  </c:pt>
                  <c:pt idx="70">
                    <c:v>Electronics</c:v>
                  </c:pt>
                  <c:pt idx="71">
                    <c:v>Appliances</c:v>
                  </c:pt>
                  <c:pt idx="72">
                    <c:v>Appliances</c:v>
                  </c:pt>
                  <c:pt idx="73">
                    <c:v>Clothing</c:v>
                  </c:pt>
                  <c:pt idx="74">
                    <c:v>Appliances</c:v>
                  </c:pt>
                  <c:pt idx="75">
                    <c:v>Electronics</c:v>
                  </c:pt>
                  <c:pt idx="76">
                    <c:v>Appliances</c:v>
                  </c:pt>
                  <c:pt idx="77">
                    <c:v>Electronics</c:v>
                  </c:pt>
                  <c:pt idx="78">
                    <c:v>Footwear</c:v>
                  </c:pt>
                  <c:pt idx="79">
                    <c:v>Clothing</c:v>
                  </c:pt>
                  <c:pt idx="80">
                    <c:v>Appliances</c:v>
                  </c:pt>
                  <c:pt idx="81">
                    <c:v>Electronics</c:v>
                  </c:pt>
                  <c:pt idx="82">
                    <c:v>Electronics</c:v>
                  </c:pt>
                  <c:pt idx="83">
                    <c:v>Appliances</c:v>
                  </c:pt>
                  <c:pt idx="84">
                    <c:v>Footwear</c:v>
                  </c:pt>
                  <c:pt idx="85">
                    <c:v>Electronics</c:v>
                  </c:pt>
                  <c:pt idx="86">
                    <c:v>Clothing</c:v>
                  </c:pt>
                  <c:pt idx="87">
                    <c:v>Electronics</c:v>
                  </c:pt>
                  <c:pt idx="88">
                    <c:v>Electronics</c:v>
                  </c:pt>
                  <c:pt idx="89">
                    <c:v>Appliances</c:v>
                  </c:pt>
                  <c:pt idx="90">
                    <c:v>Clothing</c:v>
                  </c:pt>
                  <c:pt idx="91">
                    <c:v>Footwear</c:v>
                  </c:pt>
                  <c:pt idx="92">
                    <c:v>Clothing</c:v>
                  </c:pt>
                  <c:pt idx="93">
                    <c:v>Appliances</c:v>
                  </c:pt>
                  <c:pt idx="94">
                    <c:v>Footwear</c:v>
                  </c:pt>
                  <c:pt idx="95">
                    <c:v>Footwear</c:v>
                  </c:pt>
                  <c:pt idx="96">
                    <c:v>Appliances</c:v>
                  </c:pt>
                  <c:pt idx="97">
                    <c:v>Clothing</c:v>
                  </c:pt>
                  <c:pt idx="98">
                    <c:v>Appliances</c:v>
                  </c:pt>
                  <c:pt idx="99">
                    <c:v>Clothing</c:v>
                  </c:pt>
                  <c:pt idx="100">
                    <c:v>Clothing</c:v>
                  </c:pt>
                </c:lvl>
                <c:lvl>
                  <c:pt idx="1">
                    <c:v>Boots</c:v>
                  </c:pt>
                  <c:pt idx="2">
                    <c:v>Boots</c:v>
                  </c:pt>
                  <c:pt idx="3">
                    <c:v>Trousers</c:v>
                  </c:pt>
                  <c:pt idx="4">
                    <c:v>Sneakers</c:v>
                  </c:pt>
                  <c:pt idx="5">
                    <c:v>Blender</c:v>
                  </c:pt>
                  <c:pt idx="6">
                    <c:v>Laptop</c:v>
                  </c:pt>
                  <c:pt idx="7">
                    <c:v>Sneakers</c:v>
                  </c:pt>
                  <c:pt idx="8">
                    <c:v>Microwave</c:v>
                  </c:pt>
                  <c:pt idx="9">
                    <c:v>Smartphone</c:v>
                  </c:pt>
                  <c:pt idx="10">
                    <c:v>Microwave</c:v>
                  </c:pt>
                  <c:pt idx="11">
                    <c:v>Smartphone</c:v>
                  </c:pt>
                  <c:pt idx="12">
                    <c:v>Trousers</c:v>
                  </c:pt>
                  <c:pt idx="13">
                    <c:v>Sneakers</c:v>
                  </c:pt>
                  <c:pt idx="14">
                    <c:v>Boots</c:v>
                  </c:pt>
                  <c:pt idx="15">
                    <c:v>Smartphone</c:v>
                  </c:pt>
                  <c:pt idx="16">
                    <c:v>Microwave</c:v>
                  </c:pt>
                  <c:pt idx="17">
                    <c:v>Trousers</c:v>
                  </c:pt>
                  <c:pt idx="18">
                    <c:v>Trousers</c:v>
                  </c:pt>
                  <c:pt idx="19">
                    <c:v>Sneakers</c:v>
                  </c:pt>
                  <c:pt idx="20">
                    <c:v>Microwave</c:v>
                  </c:pt>
                  <c:pt idx="21">
                    <c:v>Trousers</c:v>
                  </c:pt>
                  <c:pt idx="22">
                    <c:v>Smartphone</c:v>
                  </c:pt>
                  <c:pt idx="23">
                    <c:v>Trousers</c:v>
                  </c:pt>
                  <c:pt idx="24">
                    <c:v>Smartphone</c:v>
                  </c:pt>
                  <c:pt idx="25">
                    <c:v>Sneakers</c:v>
                  </c:pt>
                  <c:pt idx="26">
                    <c:v>Shirt</c:v>
                  </c:pt>
                  <c:pt idx="27">
                    <c:v>Trousers</c:v>
                  </c:pt>
                  <c:pt idx="28">
                    <c:v>Shirt</c:v>
                  </c:pt>
                  <c:pt idx="29">
                    <c:v>Shirt</c:v>
                  </c:pt>
                  <c:pt idx="30">
                    <c:v>Blender</c:v>
                  </c:pt>
                  <c:pt idx="31">
                    <c:v>Sneakers</c:v>
                  </c:pt>
                  <c:pt idx="32">
                    <c:v>Microwave</c:v>
                  </c:pt>
                  <c:pt idx="33">
                    <c:v>Smartphone</c:v>
                  </c:pt>
                  <c:pt idx="34">
                    <c:v>Sneakers</c:v>
                  </c:pt>
                  <c:pt idx="35">
                    <c:v>Smartphone</c:v>
                  </c:pt>
                  <c:pt idx="36">
                    <c:v>Microwave</c:v>
                  </c:pt>
                  <c:pt idx="37">
                    <c:v>Laptop</c:v>
                  </c:pt>
                  <c:pt idx="38">
                    <c:v>Shirt</c:v>
                  </c:pt>
                  <c:pt idx="39">
                    <c:v>Sneakers</c:v>
                  </c:pt>
                  <c:pt idx="40">
                    <c:v>Sneakers</c:v>
                  </c:pt>
                  <c:pt idx="41">
                    <c:v>Laptop</c:v>
                  </c:pt>
                  <c:pt idx="42">
                    <c:v>Blender</c:v>
                  </c:pt>
                  <c:pt idx="43">
                    <c:v>Laptop</c:v>
                  </c:pt>
                  <c:pt idx="44">
                    <c:v>Blender</c:v>
                  </c:pt>
                  <c:pt idx="45">
                    <c:v>Smartphone</c:v>
                  </c:pt>
                  <c:pt idx="46">
                    <c:v>Smartphone</c:v>
                  </c:pt>
                  <c:pt idx="47">
                    <c:v>Shirt</c:v>
                  </c:pt>
                  <c:pt idx="48">
                    <c:v>Sneakers</c:v>
                  </c:pt>
                  <c:pt idx="49">
                    <c:v>Shirt</c:v>
                  </c:pt>
                  <c:pt idx="50">
                    <c:v>Trousers</c:v>
                  </c:pt>
                  <c:pt idx="51">
                    <c:v>Laptop</c:v>
                  </c:pt>
                  <c:pt idx="52">
                    <c:v>Smartphone</c:v>
                  </c:pt>
                  <c:pt idx="53">
                    <c:v>Sneakers</c:v>
                  </c:pt>
                  <c:pt idx="54">
                    <c:v>Trousers</c:v>
                  </c:pt>
                  <c:pt idx="55">
                    <c:v>Shirt</c:v>
                  </c:pt>
                  <c:pt idx="56">
                    <c:v>Blender</c:v>
                  </c:pt>
                  <c:pt idx="57">
                    <c:v>Blender</c:v>
                  </c:pt>
                  <c:pt idx="58">
                    <c:v>Boots</c:v>
                  </c:pt>
                  <c:pt idx="59">
                    <c:v>Shirt</c:v>
                  </c:pt>
                  <c:pt idx="60">
                    <c:v>Shirt</c:v>
                  </c:pt>
                  <c:pt idx="61">
                    <c:v>Shirt</c:v>
                  </c:pt>
                  <c:pt idx="62">
                    <c:v>Laptop</c:v>
                  </c:pt>
                  <c:pt idx="63">
                    <c:v>Microwave</c:v>
                  </c:pt>
                  <c:pt idx="64">
                    <c:v>Blender</c:v>
                  </c:pt>
                  <c:pt idx="65">
                    <c:v>Smartphone</c:v>
                  </c:pt>
                  <c:pt idx="66">
                    <c:v>Microwave</c:v>
                  </c:pt>
                  <c:pt idx="67">
                    <c:v>Microwave</c:v>
                  </c:pt>
                  <c:pt idx="68">
                    <c:v>Trousers</c:v>
                  </c:pt>
                  <c:pt idx="69">
                    <c:v>Smartphone</c:v>
                  </c:pt>
                  <c:pt idx="70">
                    <c:v>Laptop</c:v>
                  </c:pt>
                  <c:pt idx="71">
                    <c:v>Blender</c:v>
                  </c:pt>
                  <c:pt idx="72">
                    <c:v>Blender</c:v>
                  </c:pt>
                  <c:pt idx="73">
                    <c:v>Shirt</c:v>
                  </c:pt>
                  <c:pt idx="74">
                    <c:v>Blender</c:v>
                  </c:pt>
                  <c:pt idx="75">
                    <c:v>Laptop</c:v>
                  </c:pt>
                  <c:pt idx="76">
                    <c:v>Blender</c:v>
                  </c:pt>
                  <c:pt idx="77">
                    <c:v>Smartphone</c:v>
                  </c:pt>
                  <c:pt idx="78">
                    <c:v>Boots</c:v>
                  </c:pt>
                  <c:pt idx="79">
                    <c:v>Shirt</c:v>
                  </c:pt>
                  <c:pt idx="80">
                    <c:v>Blender</c:v>
                  </c:pt>
                  <c:pt idx="81">
                    <c:v>Smartphone</c:v>
                  </c:pt>
                  <c:pt idx="82">
                    <c:v>Smartphone</c:v>
                  </c:pt>
                  <c:pt idx="83">
                    <c:v>Blender</c:v>
                  </c:pt>
                  <c:pt idx="84">
                    <c:v>Boots</c:v>
                  </c:pt>
                  <c:pt idx="85">
                    <c:v>Smartphone</c:v>
                  </c:pt>
                  <c:pt idx="86">
                    <c:v>Shirt</c:v>
                  </c:pt>
                  <c:pt idx="87">
                    <c:v>Laptop</c:v>
                  </c:pt>
                  <c:pt idx="88">
                    <c:v>Laptop</c:v>
                  </c:pt>
                  <c:pt idx="89">
                    <c:v>Blender</c:v>
                  </c:pt>
                  <c:pt idx="90">
                    <c:v>Shirt</c:v>
                  </c:pt>
                  <c:pt idx="91">
                    <c:v>Boots</c:v>
                  </c:pt>
                  <c:pt idx="92">
                    <c:v>Trousers</c:v>
                  </c:pt>
                  <c:pt idx="93">
                    <c:v>Microwave</c:v>
                  </c:pt>
                  <c:pt idx="94">
                    <c:v>Sneakers</c:v>
                  </c:pt>
                  <c:pt idx="95">
                    <c:v>Sneakers</c:v>
                  </c:pt>
                  <c:pt idx="96">
                    <c:v>Blender</c:v>
                  </c:pt>
                  <c:pt idx="97">
                    <c:v>Shirt</c:v>
                  </c:pt>
                  <c:pt idx="98">
                    <c:v>Blender</c:v>
                  </c:pt>
                  <c:pt idx="99">
                    <c:v>Shirt</c:v>
                  </c:pt>
                  <c:pt idx="100">
                    <c:v>Shirt</c:v>
                  </c:pt>
                </c:lvl>
                <c:lvl>
                  <c:pt idx="1">
                    <c:v>2025-04-20</c:v>
                  </c:pt>
                  <c:pt idx="2">
                    <c:v>2025-03-31</c:v>
                  </c:pt>
                  <c:pt idx="3">
                    <c:v>2025-02-09</c:v>
                  </c:pt>
                  <c:pt idx="4">
                    <c:v>2025-01-29</c:v>
                  </c:pt>
                  <c:pt idx="5">
                    <c:v>2025-03-06</c:v>
                  </c:pt>
                  <c:pt idx="6">
                    <c:v>2025-03-28</c:v>
                  </c:pt>
                  <c:pt idx="7">
                    <c:v>2025-01-12</c:v>
                  </c:pt>
                  <c:pt idx="8">
                    <c:v>2025-02-06</c:v>
                  </c:pt>
                  <c:pt idx="9">
                    <c:v>2025-02-06</c:v>
                  </c:pt>
                  <c:pt idx="10">
                    <c:v>2025-02-13</c:v>
                  </c:pt>
                  <c:pt idx="11">
                    <c:v>2025-03-16</c:v>
                  </c:pt>
                  <c:pt idx="12">
                    <c:v>2025-03-16</c:v>
                  </c:pt>
                  <c:pt idx="13">
                    <c:v>2025-03-11</c:v>
                  </c:pt>
                  <c:pt idx="14">
                    <c:v>2025-01-11</c:v>
                  </c:pt>
                  <c:pt idx="15">
                    <c:v>2025-02-13</c:v>
                  </c:pt>
                  <c:pt idx="16">
                    <c:v>2025-04-02</c:v>
                  </c:pt>
                  <c:pt idx="17">
                    <c:v>2025-01-10</c:v>
                  </c:pt>
                  <c:pt idx="18">
                    <c:v>2025-02-05</c:v>
                  </c:pt>
                  <c:pt idx="19">
                    <c:v>2025-03-25</c:v>
                  </c:pt>
                  <c:pt idx="20">
                    <c:v>2025-04-28</c:v>
                  </c:pt>
                  <c:pt idx="21">
                    <c:v>2025-04-17</c:v>
                  </c:pt>
                  <c:pt idx="22">
                    <c:v>2025-01-03</c:v>
                  </c:pt>
                  <c:pt idx="23">
                    <c:v>2025-02-04</c:v>
                  </c:pt>
                  <c:pt idx="24">
                    <c:v>2025-02-16</c:v>
                  </c:pt>
                  <c:pt idx="25">
                    <c:v>2025-02-26</c:v>
                  </c:pt>
                  <c:pt idx="26">
                    <c:v>2025-02-23</c:v>
                  </c:pt>
                  <c:pt idx="27">
                    <c:v>2025-04-30</c:v>
                  </c:pt>
                  <c:pt idx="28">
                    <c:v>2025-04-18</c:v>
                  </c:pt>
                  <c:pt idx="29">
                    <c:v>2025-02-15</c:v>
                  </c:pt>
                  <c:pt idx="30">
                    <c:v>2025-02-28</c:v>
                  </c:pt>
                  <c:pt idx="31">
                    <c:v>2025-04-02</c:v>
                  </c:pt>
                  <c:pt idx="32">
                    <c:v>2025-02-05</c:v>
                  </c:pt>
                  <c:pt idx="33">
                    <c:v>2025-05-01</c:v>
                  </c:pt>
                  <c:pt idx="34">
                    <c:v>2025-01-08</c:v>
                  </c:pt>
                  <c:pt idx="35">
                    <c:v>2025-03-31</c:v>
                  </c:pt>
                  <c:pt idx="36">
                    <c:v>2025-04-01</c:v>
                  </c:pt>
                  <c:pt idx="37">
                    <c:v>2025-01-23</c:v>
                  </c:pt>
                  <c:pt idx="38">
                    <c:v>2025-02-17</c:v>
                  </c:pt>
                  <c:pt idx="39">
                    <c:v>2025-02-22</c:v>
                  </c:pt>
                  <c:pt idx="40">
                    <c:v>2025-03-15</c:v>
                  </c:pt>
                  <c:pt idx="41">
                    <c:v>2025-01-22</c:v>
                  </c:pt>
                  <c:pt idx="42">
                    <c:v>2025-04-15</c:v>
                  </c:pt>
                  <c:pt idx="43">
                    <c:v>2025-01-02</c:v>
                  </c:pt>
                  <c:pt idx="44">
                    <c:v>2025-02-05</c:v>
                  </c:pt>
                  <c:pt idx="45">
                    <c:v>2025-02-01</c:v>
                  </c:pt>
                  <c:pt idx="46">
                    <c:v>2025-02-13</c:v>
                  </c:pt>
                  <c:pt idx="47">
                    <c:v>2025-02-14</c:v>
                  </c:pt>
                  <c:pt idx="48">
                    <c:v>2025-02-09</c:v>
                  </c:pt>
                  <c:pt idx="49">
                    <c:v>2025-02-17</c:v>
                  </c:pt>
                  <c:pt idx="50">
                    <c:v>2025-02-07</c:v>
                  </c:pt>
                  <c:pt idx="51">
                    <c:v>2025-01-20</c:v>
                  </c:pt>
                  <c:pt idx="52">
                    <c:v>2025-01-13</c:v>
                  </c:pt>
                  <c:pt idx="53">
                    <c:v>2025-04-02</c:v>
                  </c:pt>
                  <c:pt idx="54">
                    <c:v>2025-03-09</c:v>
                  </c:pt>
                  <c:pt idx="55">
                    <c:v>2025-02-25</c:v>
                  </c:pt>
                  <c:pt idx="56">
                    <c:v>2025-01-13</c:v>
                  </c:pt>
                  <c:pt idx="57">
                    <c:v>2025-01-22</c:v>
                  </c:pt>
                  <c:pt idx="58">
                    <c:v>2025-02-02</c:v>
                  </c:pt>
                  <c:pt idx="59">
                    <c:v>2025-01-08</c:v>
                  </c:pt>
                  <c:pt idx="60">
                    <c:v>2025-01-19</c:v>
                  </c:pt>
                  <c:pt idx="61">
                    <c:v>2025-02-18</c:v>
                  </c:pt>
                  <c:pt idx="62">
                    <c:v>2025-03-19</c:v>
                  </c:pt>
                  <c:pt idx="63">
                    <c:v>2025-03-25</c:v>
                  </c:pt>
                  <c:pt idx="64">
                    <c:v>2025-03-11</c:v>
                  </c:pt>
                  <c:pt idx="65">
                    <c:v>2025-02-05</c:v>
                  </c:pt>
                  <c:pt idx="66">
                    <c:v>2025-01-24</c:v>
                  </c:pt>
                  <c:pt idx="67">
                    <c:v>2025-02-11</c:v>
                  </c:pt>
                  <c:pt idx="68">
                    <c:v>2025-03-04</c:v>
                  </c:pt>
                  <c:pt idx="69">
                    <c:v>2025-03-03</c:v>
                  </c:pt>
                  <c:pt idx="70">
                    <c:v>2025-03-03</c:v>
                  </c:pt>
                  <c:pt idx="71">
                    <c:v>2025-01-01</c:v>
                  </c:pt>
                  <c:pt idx="72">
                    <c:v>2025-01-06</c:v>
                  </c:pt>
                  <c:pt idx="73">
                    <c:v>2025-03-23</c:v>
                  </c:pt>
                  <c:pt idx="74">
                    <c:v>2025-03-19</c:v>
                  </c:pt>
                  <c:pt idx="75">
                    <c:v>2025-02-14</c:v>
                  </c:pt>
                  <c:pt idx="76">
                    <c:v>2025-03-28</c:v>
                  </c:pt>
                  <c:pt idx="77">
                    <c:v>2025-03-18</c:v>
                  </c:pt>
                  <c:pt idx="78">
                    <c:v>2025-03-09</c:v>
                  </c:pt>
                  <c:pt idx="79">
                    <c:v>2025-02-05</c:v>
                  </c:pt>
                  <c:pt idx="80">
                    <c:v>2025-01-01</c:v>
                  </c:pt>
                  <c:pt idx="81">
                    <c:v>2025-03-08</c:v>
                  </c:pt>
                  <c:pt idx="82">
                    <c:v>2025-04-09</c:v>
                  </c:pt>
                  <c:pt idx="83">
                    <c:v>2025-02-24</c:v>
                  </c:pt>
                  <c:pt idx="84">
                    <c:v>2025-02-05</c:v>
                  </c:pt>
                  <c:pt idx="85">
                    <c:v>2025-03-12</c:v>
                  </c:pt>
                  <c:pt idx="86">
                    <c:v>2025-04-19</c:v>
                  </c:pt>
                  <c:pt idx="87">
                    <c:v>2025-03-05</c:v>
                  </c:pt>
                  <c:pt idx="88">
                    <c:v>2025-04-14</c:v>
                  </c:pt>
                  <c:pt idx="89">
                    <c:v>2025-03-16</c:v>
                  </c:pt>
                  <c:pt idx="90">
                    <c:v>2025-01-20</c:v>
                  </c:pt>
                  <c:pt idx="91">
                    <c:v>2025-03-30</c:v>
                  </c:pt>
                  <c:pt idx="92">
                    <c:v>2025-03-09</c:v>
                  </c:pt>
                  <c:pt idx="93">
                    <c:v>2025-04-07</c:v>
                  </c:pt>
                  <c:pt idx="94">
                    <c:v>2025-02-16</c:v>
                  </c:pt>
                  <c:pt idx="95">
                    <c:v>2025-04-15</c:v>
                  </c:pt>
                  <c:pt idx="96">
                    <c:v>2025-04-09</c:v>
                  </c:pt>
                  <c:pt idx="97">
                    <c:v>2025-02-19</c:v>
                  </c:pt>
                  <c:pt idx="98">
                    <c:v>2025-01-03</c:v>
                  </c:pt>
                  <c:pt idx="99">
                    <c:v>2025-05-01</c:v>
                  </c:pt>
                  <c:pt idx="100">
                    <c:v>2025-01-09</c:v>
                  </c:pt>
                </c:lvl>
              </c:multiLvlStrCache>
            </c:multiLvlStrRef>
          </c:xVal>
          <c:yVal>
            <c:numRef>
              <c:f>Sheet1!$H$2:$H$102</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0-970F-4608-A634-CD7EDDE4824E}"/>
            </c:ext>
          </c:extLst>
        </c:ser>
        <c:ser>
          <c:idx val="4"/>
          <c:order val="4"/>
          <c:tx>
            <c:strRef>
              <c:f>Sheet1!$I$1</c:f>
              <c:strCache>
                <c:ptCount val="1"/>
                <c:pt idx="0">
                  <c:v>age</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multiLvlStrRef>
              <c:f>Sheet1!$A$2:$D$102</c:f>
              <c:multiLvlStrCache>
                <c:ptCount val="101"/>
                <c:lvl>
                  <c:pt idx="1">
                    <c:v>West</c:v>
                  </c:pt>
                  <c:pt idx="2">
                    <c:v>South</c:v>
                  </c:pt>
                  <c:pt idx="3">
                    <c:v>West</c:v>
                  </c:pt>
                  <c:pt idx="4">
                    <c:v>North</c:v>
                  </c:pt>
                  <c:pt idx="5">
                    <c:v>East</c:v>
                  </c:pt>
                  <c:pt idx="6">
                    <c:v>East</c:v>
                  </c:pt>
                  <c:pt idx="7">
                    <c:v>East</c:v>
                  </c:pt>
                  <c:pt idx="8">
                    <c:v>East</c:v>
                  </c:pt>
                  <c:pt idx="9">
                    <c:v>North</c:v>
                  </c:pt>
                  <c:pt idx="10">
                    <c:v>East</c:v>
                  </c:pt>
                  <c:pt idx="11">
                    <c:v>North</c:v>
                  </c:pt>
                  <c:pt idx="12">
                    <c:v>North</c:v>
                  </c:pt>
                  <c:pt idx="13">
                    <c:v>East</c:v>
                  </c:pt>
                  <c:pt idx="14">
                    <c:v>South</c:v>
                  </c:pt>
                  <c:pt idx="15">
                    <c:v>North</c:v>
                  </c:pt>
                  <c:pt idx="16">
                    <c:v>East</c:v>
                  </c:pt>
                  <c:pt idx="17">
                    <c:v>North</c:v>
                  </c:pt>
                  <c:pt idx="18">
                    <c:v>North</c:v>
                  </c:pt>
                  <c:pt idx="19">
                    <c:v>East</c:v>
                  </c:pt>
                  <c:pt idx="20">
                    <c:v>West</c:v>
                  </c:pt>
                  <c:pt idx="21">
                    <c:v>East</c:v>
                  </c:pt>
                  <c:pt idx="22">
                    <c:v>East</c:v>
                  </c:pt>
                  <c:pt idx="23">
                    <c:v>East</c:v>
                  </c:pt>
                  <c:pt idx="24">
                    <c:v>East</c:v>
                  </c:pt>
                  <c:pt idx="25">
                    <c:v>East</c:v>
                  </c:pt>
                  <c:pt idx="26">
                    <c:v>East</c:v>
                  </c:pt>
                  <c:pt idx="27">
                    <c:v>North</c:v>
                  </c:pt>
                  <c:pt idx="28">
                    <c:v>West</c:v>
                  </c:pt>
                  <c:pt idx="29">
                    <c:v>West</c:v>
                  </c:pt>
                  <c:pt idx="30">
                    <c:v>North</c:v>
                  </c:pt>
                  <c:pt idx="31">
                    <c:v>East</c:v>
                  </c:pt>
                  <c:pt idx="32">
                    <c:v>North</c:v>
                  </c:pt>
                  <c:pt idx="33">
                    <c:v>South</c:v>
                  </c:pt>
                  <c:pt idx="34">
                    <c:v>South</c:v>
                  </c:pt>
                  <c:pt idx="35">
                    <c:v>East</c:v>
                  </c:pt>
                  <c:pt idx="36">
                    <c:v>East</c:v>
                  </c:pt>
                  <c:pt idx="37">
                    <c:v>West</c:v>
                  </c:pt>
                  <c:pt idx="38">
                    <c:v>West</c:v>
                  </c:pt>
                  <c:pt idx="39">
                    <c:v>North</c:v>
                  </c:pt>
                  <c:pt idx="40">
                    <c:v>North</c:v>
                  </c:pt>
                  <c:pt idx="41">
                    <c:v>West</c:v>
                  </c:pt>
                  <c:pt idx="42">
                    <c:v>West</c:v>
                  </c:pt>
                  <c:pt idx="43">
                    <c:v>North</c:v>
                  </c:pt>
                  <c:pt idx="44">
                    <c:v>North</c:v>
                  </c:pt>
                  <c:pt idx="45">
                    <c:v>West</c:v>
                  </c:pt>
                  <c:pt idx="46">
                    <c:v>North</c:v>
                  </c:pt>
                  <c:pt idx="47">
                    <c:v>East</c:v>
                  </c:pt>
                  <c:pt idx="48">
                    <c:v>East</c:v>
                  </c:pt>
                  <c:pt idx="49">
                    <c:v>East</c:v>
                  </c:pt>
                  <c:pt idx="50">
                    <c:v>East</c:v>
                  </c:pt>
                  <c:pt idx="51">
                    <c:v>North</c:v>
                  </c:pt>
                  <c:pt idx="52">
                    <c:v>East</c:v>
                  </c:pt>
                  <c:pt idx="53">
                    <c:v>West</c:v>
                  </c:pt>
                  <c:pt idx="54">
                    <c:v>East</c:v>
                  </c:pt>
                  <c:pt idx="55">
                    <c:v>East</c:v>
                  </c:pt>
                  <c:pt idx="56">
                    <c:v>South</c:v>
                  </c:pt>
                  <c:pt idx="57">
                    <c:v>West</c:v>
                  </c:pt>
                  <c:pt idx="58">
                    <c:v>West</c:v>
                  </c:pt>
                  <c:pt idx="59">
                    <c:v>South</c:v>
                  </c:pt>
                  <c:pt idx="60">
                    <c:v>East</c:v>
                  </c:pt>
                  <c:pt idx="61">
                    <c:v>East</c:v>
                  </c:pt>
                  <c:pt idx="62">
                    <c:v>West</c:v>
                  </c:pt>
                  <c:pt idx="63">
                    <c:v>East</c:v>
                  </c:pt>
                  <c:pt idx="64">
                    <c:v>West</c:v>
                  </c:pt>
                  <c:pt idx="65">
                    <c:v>West</c:v>
                  </c:pt>
                  <c:pt idx="66">
                    <c:v>South</c:v>
                  </c:pt>
                  <c:pt idx="67">
                    <c:v>North</c:v>
                  </c:pt>
                  <c:pt idx="68">
                    <c:v>South</c:v>
                  </c:pt>
                  <c:pt idx="69">
                    <c:v>North</c:v>
                  </c:pt>
                  <c:pt idx="70">
                    <c:v>West</c:v>
                  </c:pt>
                  <c:pt idx="71">
                    <c:v>South</c:v>
                  </c:pt>
                  <c:pt idx="72">
                    <c:v>South</c:v>
                  </c:pt>
                  <c:pt idx="73">
                    <c:v>West</c:v>
                  </c:pt>
                  <c:pt idx="74">
                    <c:v>East</c:v>
                  </c:pt>
                  <c:pt idx="75">
                    <c:v>South</c:v>
                  </c:pt>
                  <c:pt idx="76">
                    <c:v>East</c:v>
                  </c:pt>
                  <c:pt idx="77">
                    <c:v>South</c:v>
                  </c:pt>
                  <c:pt idx="78">
                    <c:v>North</c:v>
                  </c:pt>
                  <c:pt idx="79">
                    <c:v>South</c:v>
                  </c:pt>
                  <c:pt idx="80">
                    <c:v>South</c:v>
                  </c:pt>
                  <c:pt idx="81">
                    <c:v>North</c:v>
                  </c:pt>
                  <c:pt idx="82">
                    <c:v>West</c:v>
                  </c:pt>
                  <c:pt idx="83">
                    <c:v>East</c:v>
                  </c:pt>
                  <c:pt idx="84">
                    <c:v>South</c:v>
                  </c:pt>
                  <c:pt idx="85">
                    <c:v>North</c:v>
                  </c:pt>
                  <c:pt idx="86">
                    <c:v>East</c:v>
                  </c:pt>
                  <c:pt idx="87">
                    <c:v>South</c:v>
                  </c:pt>
                  <c:pt idx="88">
                    <c:v>North</c:v>
                  </c:pt>
                  <c:pt idx="89">
                    <c:v>North</c:v>
                  </c:pt>
                  <c:pt idx="90">
                    <c:v>East</c:v>
                  </c:pt>
                  <c:pt idx="91">
                    <c:v>East</c:v>
                  </c:pt>
                  <c:pt idx="92">
                    <c:v>West</c:v>
                  </c:pt>
                  <c:pt idx="93">
                    <c:v>North</c:v>
                  </c:pt>
                  <c:pt idx="94">
                    <c:v>East</c:v>
                  </c:pt>
                  <c:pt idx="95">
                    <c:v>North</c:v>
                  </c:pt>
                  <c:pt idx="96">
                    <c:v>East</c:v>
                  </c:pt>
                  <c:pt idx="97">
                    <c:v>West</c:v>
                  </c:pt>
                  <c:pt idx="98">
                    <c:v>East</c:v>
                  </c:pt>
                  <c:pt idx="99">
                    <c:v>South</c:v>
                  </c:pt>
                  <c:pt idx="100">
                    <c:v>North</c:v>
                  </c:pt>
                </c:lvl>
                <c:lvl>
                  <c:pt idx="1">
                    <c:v>Footwear</c:v>
                  </c:pt>
                  <c:pt idx="2">
                    <c:v>Footwear</c:v>
                  </c:pt>
                  <c:pt idx="3">
                    <c:v>Clothing</c:v>
                  </c:pt>
                  <c:pt idx="4">
                    <c:v>Footwear</c:v>
                  </c:pt>
                  <c:pt idx="5">
                    <c:v>Appliances</c:v>
                  </c:pt>
                  <c:pt idx="6">
                    <c:v>Electronics</c:v>
                  </c:pt>
                  <c:pt idx="7">
                    <c:v>Footwear</c:v>
                  </c:pt>
                  <c:pt idx="8">
                    <c:v>Appliances</c:v>
                  </c:pt>
                  <c:pt idx="9">
                    <c:v>Electronics</c:v>
                  </c:pt>
                  <c:pt idx="10">
                    <c:v>Appliances</c:v>
                  </c:pt>
                  <c:pt idx="11">
                    <c:v>Electronics</c:v>
                  </c:pt>
                  <c:pt idx="12">
                    <c:v>Clothing</c:v>
                  </c:pt>
                  <c:pt idx="13">
                    <c:v>Footwear</c:v>
                  </c:pt>
                  <c:pt idx="14">
                    <c:v>Footwear</c:v>
                  </c:pt>
                  <c:pt idx="15">
                    <c:v>Electronics</c:v>
                  </c:pt>
                  <c:pt idx="16">
                    <c:v>Appliances</c:v>
                  </c:pt>
                  <c:pt idx="17">
                    <c:v>Clothing</c:v>
                  </c:pt>
                  <c:pt idx="18">
                    <c:v>Clothing</c:v>
                  </c:pt>
                  <c:pt idx="19">
                    <c:v>Footwear</c:v>
                  </c:pt>
                  <c:pt idx="20">
                    <c:v>Appliances</c:v>
                  </c:pt>
                  <c:pt idx="21">
                    <c:v>Clothing</c:v>
                  </c:pt>
                  <c:pt idx="22">
                    <c:v>Electronics</c:v>
                  </c:pt>
                  <c:pt idx="23">
                    <c:v>Clothing</c:v>
                  </c:pt>
                  <c:pt idx="24">
                    <c:v>Electronics</c:v>
                  </c:pt>
                  <c:pt idx="25">
                    <c:v>Footwear</c:v>
                  </c:pt>
                  <c:pt idx="26">
                    <c:v>Clothing</c:v>
                  </c:pt>
                  <c:pt idx="27">
                    <c:v>Clothing</c:v>
                  </c:pt>
                  <c:pt idx="28">
                    <c:v>Clothing</c:v>
                  </c:pt>
                  <c:pt idx="29">
                    <c:v>Clothing</c:v>
                  </c:pt>
                  <c:pt idx="30">
                    <c:v>Appliances</c:v>
                  </c:pt>
                  <c:pt idx="31">
                    <c:v>Footwear</c:v>
                  </c:pt>
                  <c:pt idx="32">
                    <c:v>Appliances</c:v>
                  </c:pt>
                  <c:pt idx="33">
                    <c:v>Electronics</c:v>
                  </c:pt>
                  <c:pt idx="34">
                    <c:v>Footwear</c:v>
                  </c:pt>
                  <c:pt idx="35">
                    <c:v>Electronics</c:v>
                  </c:pt>
                  <c:pt idx="36">
                    <c:v>Appliances</c:v>
                  </c:pt>
                  <c:pt idx="37">
                    <c:v>Electronics</c:v>
                  </c:pt>
                  <c:pt idx="38">
                    <c:v>Clothing</c:v>
                  </c:pt>
                  <c:pt idx="39">
                    <c:v>Footwear</c:v>
                  </c:pt>
                  <c:pt idx="40">
                    <c:v>Footwear</c:v>
                  </c:pt>
                  <c:pt idx="41">
                    <c:v>Electronics</c:v>
                  </c:pt>
                  <c:pt idx="42">
                    <c:v>Appliances</c:v>
                  </c:pt>
                  <c:pt idx="43">
                    <c:v>Electronics</c:v>
                  </c:pt>
                  <c:pt idx="44">
                    <c:v>Appliances</c:v>
                  </c:pt>
                  <c:pt idx="45">
                    <c:v>Electronics</c:v>
                  </c:pt>
                  <c:pt idx="46">
                    <c:v>Electronics</c:v>
                  </c:pt>
                  <c:pt idx="47">
                    <c:v>Clothing</c:v>
                  </c:pt>
                  <c:pt idx="48">
                    <c:v>Footwear</c:v>
                  </c:pt>
                  <c:pt idx="49">
                    <c:v>Clothing</c:v>
                  </c:pt>
                  <c:pt idx="50">
                    <c:v>Clothing</c:v>
                  </c:pt>
                  <c:pt idx="51">
                    <c:v>Electronics</c:v>
                  </c:pt>
                  <c:pt idx="52">
                    <c:v>Electronics</c:v>
                  </c:pt>
                  <c:pt idx="53">
                    <c:v>Footwear</c:v>
                  </c:pt>
                  <c:pt idx="54">
                    <c:v>Clothing</c:v>
                  </c:pt>
                  <c:pt idx="55">
                    <c:v>Clothing</c:v>
                  </c:pt>
                  <c:pt idx="56">
                    <c:v>Appliances</c:v>
                  </c:pt>
                  <c:pt idx="57">
                    <c:v>Appliances</c:v>
                  </c:pt>
                  <c:pt idx="58">
                    <c:v>Footwear</c:v>
                  </c:pt>
                  <c:pt idx="59">
                    <c:v>Clothing</c:v>
                  </c:pt>
                  <c:pt idx="60">
                    <c:v>Clothing</c:v>
                  </c:pt>
                  <c:pt idx="61">
                    <c:v>Clothing</c:v>
                  </c:pt>
                  <c:pt idx="62">
                    <c:v>Electronics</c:v>
                  </c:pt>
                  <c:pt idx="63">
                    <c:v>Appliances</c:v>
                  </c:pt>
                  <c:pt idx="64">
                    <c:v>Appliances</c:v>
                  </c:pt>
                  <c:pt idx="65">
                    <c:v>Electronics</c:v>
                  </c:pt>
                  <c:pt idx="66">
                    <c:v>Appliances</c:v>
                  </c:pt>
                  <c:pt idx="67">
                    <c:v>Appliances</c:v>
                  </c:pt>
                  <c:pt idx="68">
                    <c:v>Clothing</c:v>
                  </c:pt>
                  <c:pt idx="69">
                    <c:v>Electronics</c:v>
                  </c:pt>
                  <c:pt idx="70">
                    <c:v>Electronics</c:v>
                  </c:pt>
                  <c:pt idx="71">
                    <c:v>Appliances</c:v>
                  </c:pt>
                  <c:pt idx="72">
                    <c:v>Appliances</c:v>
                  </c:pt>
                  <c:pt idx="73">
                    <c:v>Clothing</c:v>
                  </c:pt>
                  <c:pt idx="74">
                    <c:v>Appliances</c:v>
                  </c:pt>
                  <c:pt idx="75">
                    <c:v>Electronics</c:v>
                  </c:pt>
                  <c:pt idx="76">
                    <c:v>Appliances</c:v>
                  </c:pt>
                  <c:pt idx="77">
                    <c:v>Electronics</c:v>
                  </c:pt>
                  <c:pt idx="78">
                    <c:v>Footwear</c:v>
                  </c:pt>
                  <c:pt idx="79">
                    <c:v>Clothing</c:v>
                  </c:pt>
                  <c:pt idx="80">
                    <c:v>Appliances</c:v>
                  </c:pt>
                  <c:pt idx="81">
                    <c:v>Electronics</c:v>
                  </c:pt>
                  <c:pt idx="82">
                    <c:v>Electronics</c:v>
                  </c:pt>
                  <c:pt idx="83">
                    <c:v>Appliances</c:v>
                  </c:pt>
                  <c:pt idx="84">
                    <c:v>Footwear</c:v>
                  </c:pt>
                  <c:pt idx="85">
                    <c:v>Electronics</c:v>
                  </c:pt>
                  <c:pt idx="86">
                    <c:v>Clothing</c:v>
                  </c:pt>
                  <c:pt idx="87">
                    <c:v>Electronics</c:v>
                  </c:pt>
                  <c:pt idx="88">
                    <c:v>Electronics</c:v>
                  </c:pt>
                  <c:pt idx="89">
                    <c:v>Appliances</c:v>
                  </c:pt>
                  <c:pt idx="90">
                    <c:v>Clothing</c:v>
                  </c:pt>
                  <c:pt idx="91">
                    <c:v>Footwear</c:v>
                  </c:pt>
                  <c:pt idx="92">
                    <c:v>Clothing</c:v>
                  </c:pt>
                  <c:pt idx="93">
                    <c:v>Appliances</c:v>
                  </c:pt>
                  <c:pt idx="94">
                    <c:v>Footwear</c:v>
                  </c:pt>
                  <c:pt idx="95">
                    <c:v>Footwear</c:v>
                  </c:pt>
                  <c:pt idx="96">
                    <c:v>Appliances</c:v>
                  </c:pt>
                  <c:pt idx="97">
                    <c:v>Clothing</c:v>
                  </c:pt>
                  <c:pt idx="98">
                    <c:v>Appliances</c:v>
                  </c:pt>
                  <c:pt idx="99">
                    <c:v>Clothing</c:v>
                  </c:pt>
                  <c:pt idx="100">
                    <c:v>Clothing</c:v>
                  </c:pt>
                </c:lvl>
                <c:lvl>
                  <c:pt idx="1">
                    <c:v>Boots</c:v>
                  </c:pt>
                  <c:pt idx="2">
                    <c:v>Boots</c:v>
                  </c:pt>
                  <c:pt idx="3">
                    <c:v>Trousers</c:v>
                  </c:pt>
                  <c:pt idx="4">
                    <c:v>Sneakers</c:v>
                  </c:pt>
                  <c:pt idx="5">
                    <c:v>Blender</c:v>
                  </c:pt>
                  <c:pt idx="6">
                    <c:v>Laptop</c:v>
                  </c:pt>
                  <c:pt idx="7">
                    <c:v>Sneakers</c:v>
                  </c:pt>
                  <c:pt idx="8">
                    <c:v>Microwave</c:v>
                  </c:pt>
                  <c:pt idx="9">
                    <c:v>Smartphone</c:v>
                  </c:pt>
                  <c:pt idx="10">
                    <c:v>Microwave</c:v>
                  </c:pt>
                  <c:pt idx="11">
                    <c:v>Smartphone</c:v>
                  </c:pt>
                  <c:pt idx="12">
                    <c:v>Trousers</c:v>
                  </c:pt>
                  <c:pt idx="13">
                    <c:v>Sneakers</c:v>
                  </c:pt>
                  <c:pt idx="14">
                    <c:v>Boots</c:v>
                  </c:pt>
                  <c:pt idx="15">
                    <c:v>Smartphone</c:v>
                  </c:pt>
                  <c:pt idx="16">
                    <c:v>Microwave</c:v>
                  </c:pt>
                  <c:pt idx="17">
                    <c:v>Trousers</c:v>
                  </c:pt>
                  <c:pt idx="18">
                    <c:v>Trousers</c:v>
                  </c:pt>
                  <c:pt idx="19">
                    <c:v>Sneakers</c:v>
                  </c:pt>
                  <c:pt idx="20">
                    <c:v>Microwave</c:v>
                  </c:pt>
                  <c:pt idx="21">
                    <c:v>Trousers</c:v>
                  </c:pt>
                  <c:pt idx="22">
                    <c:v>Smartphone</c:v>
                  </c:pt>
                  <c:pt idx="23">
                    <c:v>Trousers</c:v>
                  </c:pt>
                  <c:pt idx="24">
                    <c:v>Smartphone</c:v>
                  </c:pt>
                  <c:pt idx="25">
                    <c:v>Sneakers</c:v>
                  </c:pt>
                  <c:pt idx="26">
                    <c:v>Shirt</c:v>
                  </c:pt>
                  <c:pt idx="27">
                    <c:v>Trousers</c:v>
                  </c:pt>
                  <c:pt idx="28">
                    <c:v>Shirt</c:v>
                  </c:pt>
                  <c:pt idx="29">
                    <c:v>Shirt</c:v>
                  </c:pt>
                  <c:pt idx="30">
                    <c:v>Blender</c:v>
                  </c:pt>
                  <c:pt idx="31">
                    <c:v>Sneakers</c:v>
                  </c:pt>
                  <c:pt idx="32">
                    <c:v>Microwave</c:v>
                  </c:pt>
                  <c:pt idx="33">
                    <c:v>Smartphone</c:v>
                  </c:pt>
                  <c:pt idx="34">
                    <c:v>Sneakers</c:v>
                  </c:pt>
                  <c:pt idx="35">
                    <c:v>Smartphone</c:v>
                  </c:pt>
                  <c:pt idx="36">
                    <c:v>Microwave</c:v>
                  </c:pt>
                  <c:pt idx="37">
                    <c:v>Laptop</c:v>
                  </c:pt>
                  <c:pt idx="38">
                    <c:v>Shirt</c:v>
                  </c:pt>
                  <c:pt idx="39">
                    <c:v>Sneakers</c:v>
                  </c:pt>
                  <c:pt idx="40">
                    <c:v>Sneakers</c:v>
                  </c:pt>
                  <c:pt idx="41">
                    <c:v>Laptop</c:v>
                  </c:pt>
                  <c:pt idx="42">
                    <c:v>Blender</c:v>
                  </c:pt>
                  <c:pt idx="43">
                    <c:v>Laptop</c:v>
                  </c:pt>
                  <c:pt idx="44">
                    <c:v>Blender</c:v>
                  </c:pt>
                  <c:pt idx="45">
                    <c:v>Smartphone</c:v>
                  </c:pt>
                  <c:pt idx="46">
                    <c:v>Smartphone</c:v>
                  </c:pt>
                  <c:pt idx="47">
                    <c:v>Shirt</c:v>
                  </c:pt>
                  <c:pt idx="48">
                    <c:v>Sneakers</c:v>
                  </c:pt>
                  <c:pt idx="49">
                    <c:v>Shirt</c:v>
                  </c:pt>
                  <c:pt idx="50">
                    <c:v>Trousers</c:v>
                  </c:pt>
                  <c:pt idx="51">
                    <c:v>Laptop</c:v>
                  </c:pt>
                  <c:pt idx="52">
                    <c:v>Smartphone</c:v>
                  </c:pt>
                  <c:pt idx="53">
                    <c:v>Sneakers</c:v>
                  </c:pt>
                  <c:pt idx="54">
                    <c:v>Trousers</c:v>
                  </c:pt>
                  <c:pt idx="55">
                    <c:v>Shirt</c:v>
                  </c:pt>
                  <c:pt idx="56">
                    <c:v>Blender</c:v>
                  </c:pt>
                  <c:pt idx="57">
                    <c:v>Blender</c:v>
                  </c:pt>
                  <c:pt idx="58">
                    <c:v>Boots</c:v>
                  </c:pt>
                  <c:pt idx="59">
                    <c:v>Shirt</c:v>
                  </c:pt>
                  <c:pt idx="60">
                    <c:v>Shirt</c:v>
                  </c:pt>
                  <c:pt idx="61">
                    <c:v>Shirt</c:v>
                  </c:pt>
                  <c:pt idx="62">
                    <c:v>Laptop</c:v>
                  </c:pt>
                  <c:pt idx="63">
                    <c:v>Microwave</c:v>
                  </c:pt>
                  <c:pt idx="64">
                    <c:v>Blender</c:v>
                  </c:pt>
                  <c:pt idx="65">
                    <c:v>Smartphone</c:v>
                  </c:pt>
                  <c:pt idx="66">
                    <c:v>Microwave</c:v>
                  </c:pt>
                  <c:pt idx="67">
                    <c:v>Microwave</c:v>
                  </c:pt>
                  <c:pt idx="68">
                    <c:v>Trousers</c:v>
                  </c:pt>
                  <c:pt idx="69">
                    <c:v>Smartphone</c:v>
                  </c:pt>
                  <c:pt idx="70">
                    <c:v>Laptop</c:v>
                  </c:pt>
                  <c:pt idx="71">
                    <c:v>Blender</c:v>
                  </c:pt>
                  <c:pt idx="72">
                    <c:v>Blender</c:v>
                  </c:pt>
                  <c:pt idx="73">
                    <c:v>Shirt</c:v>
                  </c:pt>
                  <c:pt idx="74">
                    <c:v>Blender</c:v>
                  </c:pt>
                  <c:pt idx="75">
                    <c:v>Laptop</c:v>
                  </c:pt>
                  <c:pt idx="76">
                    <c:v>Blender</c:v>
                  </c:pt>
                  <c:pt idx="77">
                    <c:v>Smartphone</c:v>
                  </c:pt>
                  <c:pt idx="78">
                    <c:v>Boots</c:v>
                  </c:pt>
                  <c:pt idx="79">
                    <c:v>Shirt</c:v>
                  </c:pt>
                  <c:pt idx="80">
                    <c:v>Blender</c:v>
                  </c:pt>
                  <c:pt idx="81">
                    <c:v>Smartphone</c:v>
                  </c:pt>
                  <c:pt idx="82">
                    <c:v>Smartphone</c:v>
                  </c:pt>
                  <c:pt idx="83">
                    <c:v>Blender</c:v>
                  </c:pt>
                  <c:pt idx="84">
                    <c:v>Boots</c:v>
                  </c:pt>
                  <c:pt idx="85">
                    <c:v>Smartphone</c:v>
                  </c:pt>
                  <c:pt idx="86">
                    <c:v>Shirt</c:v>
                  </c:pt>
                  <c:pt idx="87">
                    <c:v>Laptop</c:v>
                  </c:pt>
                  <c:pt idx="88">
                    <c:v>Laptop</c:v>
                  </c:pt>
                  <c:pt idx="89">
                    <c:v>Blender</c:v>
                  </c:pt>
                  <c:pt idx="90">
                    <c:v>Shirt</c:v>
                  </c:pt>
                  <c:pt idx="91">
                    <c:v>Boots</c:v>
                  </c:pt>
                  <c:pt idx="92">
                    <c:v>Trousers</c:v>
                  </c:pt>
                  <c:pt idx="93">
                    <c:v>Microwave</c:v>
                  </c:pt>
                  <c:pt idx="94">
                    <c:v>Sneakers</c:v>
                  </c:pt>
                  <c:pt idx="95">
                    <c:v>Sneakers</c:v>
                  </c:pt>
                  <c:pt idx="96">
                    <c:v>Blender</c:v>
                  </c:pt>
                  <c:pt idx="97">
                    <c:v>Shirt</c:v>
                  </c:pt>
                  <c:pt idx="98">
                    <c:v>Blender</c:v>
                  </c:pt>
                  <c:pt idx="99">
                    <c:v>Shirt</c:v>
                  </c:pt>
                  <c:pt idx="100">
                    <c:v>Shirt</c:v>
                  </c:pt>
                </c:lvl>
                <c:lvl>
                  <c:pt idx="1">
                    <c:v>2025-04-20</c:v>
                  </c:pt>
                  <c:pt idx="2">
                    <c:v>2025-03-31</c:v>
                  </c:pt>
                  <c:pt idx="3">
                    <c:v>2025-02-09</c:v>
                  </c:pt>
                  <c:pt idx="4">
                    <c:v>2025-01-29</c:v>
                  </c:pt>
                  <c:pt idx="5">
                    <c:v>2025-03-06</c:v>
                  </c:pt>
                  <c:pt idx="6">
                    <c:v>2025-03-28</c:v>
                  </c:pt>
                  <c:pt idx="7">
                    <c:v>2025-01-12</c:v>
                  </c:pt>
                  <c:pt idx="8">
                    <c:v>2025-02-06</c:v>
                  </c:pt>
                  <c:pt idx="9">
                    <c:v>2025-02-06</c:v>
                  </c:pt>
                  <c:pt idx="10">
                    <c:v>2025-02-13</c:v>
                  </c:pt>
                  <c:pt idx="11">
                    <c:v>2025-03-16</c:v>
                  </c:pt>
                  <c:pt idx="12">
                    <c:v>2025-03-16</c:v>
                  </c:pt>
                  <c:pt idx="13">
                    <c:v>2025-03-11</c:v>
                  </c:pt>
                  <c:pt idx="14">
                    <c:v>2025-01-11</c:v>
                  </c:pt>
                  <c:pt idx="15">
                    <c:v>2025-02-13</c:v>
                  </c:pt>
                  <c:pt idx="16">
                    <c:v>2025-04-02</c:v>
                  </c:pt>
                  <c:pt idx="17">
                    <c:v>2025-01-10</c:v>
                  </c:pt>
                  <c:pt idx="18">
                    <c:v>2025-02-05</c:v>
                  </c:pt>
                  <c:pt idx="19">
                    <c:v>2025-03-25</c:v>
                  </c:pt>
                  <c:pt idx="20">
                    <c:v>2025-04-28</c:v>
                  </c:pt>
                  <c:pt idx="21">
                    <c:v>2025-04-17</c:v>
                  </c:pt>
                  <c:pt idx="22">
                    <c:v>2025-01-03</c:v>
                  </c:pt>
                  <c:pt idx="23">
                    <c:v>2025-02-04</c:v>
                  </c:pt>
                  <c:pt idx="24">
                    <c:v>2025-02-16</c:v>
                  </c:pt>
                  <c:pt idx="25">
                    <c:v>2025-02-26</c:v>
                  </c:pt>
                  <c:pt idx="26">
                    <c:v>2025-02-23</c:v>
                  </c:pt>
                  <c:pt idx="27">
                    <c:v>2025-04-30</c:v>
                  </c:pt>
                  <c:pt idx="28">
                    <c:v>2025-04-18</c:v>
                  </c:pt>
                  <c:pt idx="29">
                    <c:v>2025-02-15</c:v>
                  </c:pt>
                  <c:pt idx="30">
                    <c:v>2025-02-28</c:v>
                  </c:pt>
                  <c:pt idx="31">
                    <c:v>2025-04-02</c:v>
                  </c:pt>
                  <c:pt idx="32">
                    <c:v>2025-02-05</c:v>
                  </c:pt>
                  <c:pt idx="33">
                    <c:v>2025-05-01</c:v>
                  </c:pt>
                  <c:pt idx="34">
                    <c:v>2025-01-08</c:v>
                  </c:pt>
                  <c:pt idx="35">
                    <c:v>2025-03-31</c:v>
                  </c:pt>
                  <c:pt idx="36">
                    <c:v>2025-04-01</c:v>
                  </c:pt>
                  <c:pt idx="37">
                    <c:v>2025-01-23</c:v>
                  </c:pt>
                  <c:pt idx="38">
                    <c:v>2025-02-17</c:v>
                  </c:pt>
                  <c:pt idx="39">
                    <c:v>2025-02-22</c:v>
                  </c:pt>
                  <c:pt idx="40">
                    <c:v>2025-03-15</c:v>
                  </c:pt>
                  <c:pt idx="41">
                    <c:v>2025-01-22</c:v>
                  </c:pt>
                  <c:pt idx="42">
                    <c:v>2025-04-15</c:v>
                  </c:pt>
                  <c:pt idx="43">
                    <c:v>2025-01-02</c:v>
                  </c:pt>
                  <c:pt idx="44">
                    <c:v>2025-02-05</c:v>
                  </c:pt>
                  <c:pt idx="45">
                    <c:v>2025-02-01</c:v>
                  </c:pt>
                  <c:pt idx="46">
                    <c:v>2025-02-13</c:v>
                  </c:pt>
                  <c:pt idx="47">
                    <c:v>2025-02-14</c:v>
                  </c:pt>
                  <c:pt idx="48">
                    <c:v>2025-02-09</c:v>
                  </c:pt>
                  <c:pt idx="49">
                    <c:v>2025-02-17</c:v>
                  </c:pt>
                  <c:pt idx="50">
                    <c:v>2025-02-07</c:v>
                  </c:pt>
                  <c:pt idx="51">
                    <c:v>2025-01-20</c:v>
                  </c:pt>
                  <c:pt idx="52">
                    <c:v>2025-01-13</c:v>
                  </c:pt>
                  <c:pt idx="53">
                    <c:v>2025-04-02</c:v>
                  </c:pt>
                  <c:pt idx="54">
                    <c:v>2025-03-09</c:v>
                  </c:pt>
                  <c:pt idx="55">
                    <c:v>2025-02-25</c:v>
                  </c:pt>
                  <c:pt idx="56">
                    <c:v>2025-01-13</c:v>
                  </c:pt>
                  <c:pt idx="57">
                    <c:v>2025-01-22</c:v>
                  </c:pt>
                  <c:pt idx="58">
                    <c:v>2025-02-02</c:v>
                  </c:pt>
                  <c:pt idx="59">
                    <c:v>2025-01-08</c:v>
                  </c:pt>
                  <c:pt idx="60">
                    <c:v>2025-01-19</c:v>
                  </c:pt>
                  <c:pt idx="61">
                    <c:v>2025-02-18</c:v>
                  </c:pt>
                  <c:pt idx="62">
                    <c:v>2025-03-19</c:v>
                  </c:pt>
                  <c:pt idx="63">
                    <c:v>2025-03-25</c:v>
                  </c:pt>
                  <c:pt idx="64">
                    <c:v>2025-03-11</c:v>
                  </c:pt>
                  <c:pt idx="65">
                    <c:v>2025-02-05</c:v>
                  </c:pt>
                  <c:pt idx="66">
                    <c:v>2025-01-24</c:v>
                  </c:pt>
                  <c:pt idx="67">
                    <c:v>2025-02-11</c:v>
                  </c:pt>
                  <c:pt idx="68">
                    <c:v>2025-03-04</c:v>
                  </c:pt>
                  <c:pt idx="69">
                    <c:v>2025-03-03</c:v>
                  </c:pt>
                  <c:pt idx="70">
                    <c:v>2025-03-03</c:v>
                  </c:pt>
                  <c:pt idx="71">
                    <c:v>2025-01-01</c:v>
                  </c:pt>
                  <c:pt idx="72">
                    <c:v>2025-01-06</c:v>
                  </c:pt>
                  <c:pt idx="73">
                    <c:v>2025-03-23</c:v>
                  </c:pt>
                  <c:pt idx="74">
                    <c:v>2025-03-19</c:v>
                  </c:pt>
                  <c:pt idx="75">
                    <c:v>2025-02-14</c:v>
                  </c:pt>
                  <c:pt idx="76">
                    <c:v>2025-03-28</c:v>
                  </c:pt>
                  <c:pt idx="77">
                    <c:v>2025-03-18</c:v>
                  </c:pt>
                  <c:pt idx="78">
                    <c:v>2025-03-09</c:v>
                  </c:pt>
                  <c:pt idx="79">
                    <c:v>2025-02-05</c:v>
                  </c:pt>
                  <c:pt idx="80">
                    <c:v>2025-01-01</c:v>
                  </c:pt>
                  <c:pt idx="81">
                    <c:v>2025-03-08</c:v>
                  </c:pt>
                  <c:pt idx="82">
                    <c:v>2025-04-09</c:v>
                  </c:pt>
                  <c:pt idx="83">
                    <c:v>2025-02-24</c:v>
                  </c:pt>
                  <c:pt idx="84">
                    <c:v>2025-02-05</c:v>
                  </c:pt>
                  <c:pt idx="85">
                    <c:v>2025-03-12</c:v>
                  </c:pt>
                  <c:pt idx="86">
                    <c:v>2025-04-19</c:v>
                  </c:pt>
                  <c:pt idx="87">
                    <c:v>2025-03-05</c:v>
                  </c:pt>
                  <c:pt idx="88">
                    <c:v>2025-04-14</c:v>
                  </c:pt>
                  <c:pt idx="89">
                    <c:v>2025-03-16</c:v>
                  </c:pt>
                  <c:pt idx="90">
                    <c:v>2025-01-20</c:v>
                  </c:pt>
                  <c:pt idx="91">
                    <c:v>2025-03-30</c:v>
                  </c:pt>
                  <c:pt idx="92">
                    <c:v>2025-03-09</c:v>
                  </c:pt>
                  <c:pt idx="93">
                    <c:v>2025-04-07</c:v>
                  </c:pt>
                  <c:pt idx="94">
                    <c:v>2025-02-16</c:v>
                  </c:pt>
                  <c:pt idx="95">
                    <c:v>2025-04-15</c:v>
                  </c:pt>
                  <c:pt idx="96">
                    <c:v>2025-04-09</c:v>
                  </c:pt>
                  <c:pt idx="97">
                    <c:v>2025-02-19</c:v>
                  </c:pt>
                  <c:pt idx="98">
                    <c:v>2025-01-03</c:v>
                  </c:pt>
                  <c:pt idx="99">
                    <c:v>2025-05-01</c:v>
                  </c:pt>
                  <c:pt idx="100">
                    <c:v>2025-01-09</c:v>
                  </c:pt>
                </c:lvl>
              </c:multiLvlStrCache>
            </c:multiLvlStrRef>
          </c:xVal>
          <c:yVal>
            <c:numRef>
              <c:f>Sheet1!$I$2:$I$102</c:f>
              <c:numCache>
                <c:formatCode>General</c:formatCode>
                <c:ptCount val="101"/>
                <c:pt idx="0">
                  <c:v>46181</c:v>
                </c:pt>
                <c:pt idx="1">
                  <c:v>414</c:v>
                </c:pt>
                <c:pt idx="2">
                  <c:v>434</c:v>
                </c:pt>
                <c:pt idx="3">
                  <c:v>484</c:v>
                </c:pt>
                <c:pt idx="4">
                  <c:v>495</c:v>
                </c:pt>
                <c:pt idx="5">
                  <c:v>459</c:v>
                </c:pt>
                <c:pt idx="6">
                  <c:v>437</c:v>
                </c:pt>
                <c:pt idx="7">
                  <c:v>512</c:v>
                </c:pt>
                <c:pt idx="8">
                  <c:v>487</c:v>
                </c:pt>
                <c:pt idx="9">
                  <c:v>487</c:v>
                </c:pt>
                <c:pt idx="10">
                  <c:v>480</c:v>
                </c:pt>
                <c:pt idx="11">
                  <c:v>449</c:v>
                </c:pt>
                <c:pt idx="12">
                  <c:v>449</c:v>
                </c:pt>
                <c:pt idx="13">
                  <c:v>454</c:v>
                </c:pt>
                <c:pt idx="14">
                  <c:v>513</c:v>
                </c:pt>
                <c:pt idx="15">
                  <c:v>480</c:v>
                </c:pt>
                <c:pt idx="16">
                  <c:v>432</c:v>
                </c:pt>
                <c:pt idx="17">
                  <c:v>514</c:v>
                </c:pt>
                <c:pt idx="18">
                  <c:v>488</c:v>
                </c:pt>
                <c:pt idx="19">
                  <c:v>440</c:v>
                </c:pt>
                <c:pt idx="20">
                  <c:v>406</c:v>
                </c:pt>
                <c:pt idx="21">
                  <c:v>417</c:v>
                </c:pt>
                <c:pt idx="22">
                  <c:v>521</c:v>
                </c:pt>
                <c:pt idx="23">
                  <c:v>489</c:v>
                </c:pt>
                <c:pt idx="24">
                  <c:v>477</c:v>
                </c:pt>
                <c:pt idx="25">
                  <c:v>467</c:v>
                </c:pt>
                <c:pt idx="26">
                  <c:v>470</c:v>
                </c:pt>
                <c:pt idx="27">
                  <c:v>404</c:v>
                </c:pt>
                <c:pt idx="28">
                  <c:v>416</c:v>
                </c:pt>
                <c:pt idx="29">
                  <c:v>478</c:v>
                </c:pt>
                <c:pt idx="30">
                  <c:v>465</c:v>
                </c:pt>
                <c:pt idx="31">
                  <c:v>432</c:v>
                </c:pt>
                <c:pt idx="32">
                  <c:v>488</c:v>
                </c:pt>
                <c:pt idx="33">
                  <c:v>403</c:v>
                </c:pt>
                <c:pt idx="34">
                  <c:v>516</c:v>
                </c:pt>
                <c:pt idx="35">
                  <c:v>434</c:v>
                </c:pt>
                <c:pt idx="36">
                  <c:v>433</c:v>
                </c:pt>
                <c:pt idx="37">
                  <c:v>501</c:v>
                </c:pt>
                <c:pt idx="38">
                  <c:v>476</c:v>
                </c:pt>
                <c:pt idx="39">
                  <c:v>471</c:v>
                </c:pt>
                <c:pt idx="40">
                  <c:v>450</c:v>
                </c:pt>
                <c:pt idx="41">
                  <c:v>502</c:v>
                </c:pt>
                <c:pt idx="42">
                  <c:v>419</c:v>
                </c:pt>
                <c:pt idx="43">
                  <c:v>522</c:v>
                </c:pt>
                <c:pt idx="44">
                  <c:v>488</c:v>
                </c:pt>
                <c:pt idx="45">
                  <c:v>492</c:v>
                </c:pt>
                <c:pt idx="46">
                  <c:v>480</c:v>
                </c:pt>
                <c:pt idx="47">
                  <c:v>479</c:v>
                </c:pt>
                <c:pt idx="48">
                  <c:v>484</c:v>
                </c:pt>
                <c:pt idx="49">
                  <c:v>476</c:v>
                </c:pt>
                <c:pt idx="50">
                  <c:v>486</c:v>
                </c:pt>
                <c:pt idx="51">
                  <c:v>504</c:v>
                </c:pt>
                <c:pt idx="52">
                  <c:v>511</c:v>
                </c:pt>
                <c:pt idx="53">
                  <c:v>432</c:v>
                </c:pt>
                <c:pt idx="54">
                  <c:v>456</c:v>
                </c:pt>
                <c:pt idx="55">
                  <c:v>468</c:v>
                </c:pt>
                <c:pt idx="56">
                  <c:v>511</c:v>
                </c:pt>
                <c:pt idx="57">
                  <c:v>502</c:v>
                </c:pt>
                <c:pt idx="58">
                  <c:v>491</c:v>
                </c:pt>
                <c:pt idx="59">
                  <c:v>516</c:v>
                </c:pt>
                <c:pt idx="60">
                  <c:v>505</c:v>
                </c:pt>
                <c:pt idx="61">
                  <c:v>475</c:v>
                </c:pt>
                <c:pt idx="62">
                  <c:v>446</c:v>
                </c:pt>
                <c:pt idx="63">
                  <c:v>440</c:v>
                </c:pt>
                <c:pt idx="64">
                  <c:v>454</c:v>
                </c:pt>
                <c:pt idx="65">
                  <c:v>488</c:v>
                </c:pt>
                <c:pt idx="66">
                  <c:v>500</c:v>
                </c:pt>
                <c:pt idx="67">
                  <c:v>482</c:v>
                </c:pt>
                <c:pt idx="68">
                  <c:v>461</c:v>
                </c:pt>
                <c:pt idx="69">
                  <c:v>462</c:v>
                </c:pt>
                <c:pt idx="70">
                  <c:v>462</c:v>
                </c:pt>
                <c:pt idx="71">
                  <c:v>523</c:v>
                </c:pt>
                <c:pt idx="72">
                  <c:v>518</c:v>
                </c:pt>
                <c:pt idx="73">
                  <c:v>442</c:v>
                </c:pt>
                <c:pt idx="74">
                  <c:v>446</c:v>
                </c:pt>
                <c:pt idx="75">
                  <c:v>479</c:v>
                </c:pt>
                <c:pt idx="76">
                  <c:v>437</c:v>
                </c:pt>
                <c:pt idx="77">
                  <c:v>447</c:v>
                </c:pt>
                <c:pt idx="78">
                  <c:v>456</c:v>
                </c:pt>
                <c:pt idx="79">
                  <c:v>488</c:v>
                </c:pt>
                <c:pt idx="80">
                  <c:v>523</c:v>
                </c:pt>
                <c:pt idx="81">
                  <c:v>457</c:v>
                </c:pt>
                <c:pt idx="82">
                  <c:v>425</c:v>
                </c:pt>
                <c:pt idx="83">
                  <c:v>469</c:v>
                </c:pt>
                <c:pt idx="84">
                  <c:v>488</c:v>
                </c:pt>
                <c:pt idx="85">
                  <c:v>453</c:v>
                </c:pt>
                <c:pt idx="86">
                  <c:v>415</c:v>
                </c:pt>
                <c:pt idx="87">
                  <c:v>460</c:v>
                </c:pt>
                <c:pt idx="88">
                  <c:v>420</c:v>
                </c:pt>
                <c:pt idx="89">
                  <c:v>449</c:v>
                </c:pt>
                <c:pt idx="90">
                  <c:v>504</c:v>
                </c:pt>
                <c:pt idx="91">
                  <c:v>435</c:v>
                </c:pt>
                <c:pt idx="92">
                  <c:v>456</c:v>
                </c:pt>
                <c:pt idx="93">
                  <c:v>427</c:v>
                </c:pt>
                <c:pt idx="94">
                  <c:v>477</c:v>
                </c:pt>
                <c:pt idx="95">
                  <c:v>419</c:v>
                </c:pt>
                <c:pt idx="96">
                  <c:v>425</c:v>
                </c:pt>
                <c:pt idx="97">
                  <c:v>474</c:v>
                </c:pt>
                <c:pt idx="98">
                  <c:v>521</c:v>
                </c:pt>
                <c:pt idx="99">
                  <c:v>403</c:v>
                </c:pt>
                <c:pt idx="100">
                  <c:v>515</c:v>
                </c:pt>
              </c:numCache>
            </c:numRef>
          </c:yVal>
          <c:smooth val="0"/>
          <c:extLst>
            <c:ext xmlns:c16="http://schemas.microsoft.com/office/drawing/2014/chart" uri="{C3380CC4-5D6E-409C-BE32-E72D297353CC}">
              <c16:uniqueId val="{00000001-970F-4608-A634-CD7EDDE4824E}"/>
            </c:ext>
          </c:extLst>
        </c:ser>
        <c:dLbls>
          <c:showLegendKey val="0"/>
          <c:showVal val="0"/>
          <c:showCatName val="0"/>
          <c:showSerName val="0"/>
          <c:showPercent val="0"/>
          <c:showBubbleSize val="0"/>
        </c:dLbls>
        <c:axId val="1898574400"/>
        <c:axId val="1898573440"/>
      </c:scatterChart>
      <c:valAx>
        <c:axId val="1898574400"/>
        <c:scaling>
          <c:orientation val="minMax"/>
        </c:scaling>
        <c:delete val="0"/>
        <c:axPos val="b"/>
        <c:majorGridlines>
          <c:spPr>
            <a:ln w="9525" cap="flat" cmpd="sng" algn="ctr">
              <a:solidFill>
                <a:schemeClr val="lt1">
                  <a:lumMod val="95000"/>
                  <a:alpha val="10000"/>
                </a:schemeClr>
              </a:solidFill>
              <a:round/>
            </a:ln>
            <a:effectLst/>
          </c:spPr>
        </c:majorGridlines>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98573440"/>
        <c:crosses val="autoZero"/>
        <c:crossBetween val="midCat"/>
      </c:valAx>
      <c:valAx>
        <c:axId val="18985734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985744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practice3.xlsm]Sheet5!PivotTable2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Total</c:v>
                </c:pt>
              </c:strCache>
            </c:strRef>
          </c:tx>
          <c:spPr>
            <a:solidFill>
              <a:schemeClr val="accent1"/>
            </a:solidFill>
            <a:ln>
              <a:noFill/>
            </a:ln>
            <a:effectLst/>
          </c:spPr>
          <c:invertIfNegative val="0"/>
          <c:cat>
            <c:strRef>
              <c:f>Sheet5!$A$4:$A$12</c:f>
              <c:strCache>
                <c:ptCount val="8"/>
                <c:pt idx="0">
                  <c:v>Blender</c:v>
                </c:pt>
                <c:pt idx="1">
                  <c:v>Boots</c:v>
                </c:pt>
                <c:pt idx="2">
                  <c:v>Laptop</c:v>
                </c:pt>
                <c:pt idx="3">
                  <c:v>Microwave</c:v>
                </c:pt>
                <c:pt idx="4">
                  <c:v>Shirt</c:v>
                </c:pt>
                <c:pt idx="5">
                  <c:v>Smartphone</c:v>
                </c:pt>
                <c:pt idx="6">
                  <c:v>Sneakers</c:v>
                </c:pt>
                <c:pt idx="7">
                  <c:v>Trousers</c:v>
                </c:pt>
              </c:strCache>
            </c:strRef>
          </c:cat>
          <c:val>
            <c:numRef>
              <c:f>Sheet5!$B$4:$B$12</c:f>
              <c:numCache>
                <c:formatCode>General</c:formatCode>
                <c:ptCount val="8"/>
                <c:pt idx="0">
                  <c:v>110928</c:v>
                </c:pt>
                <c:pt idx="1">
                  <c:v>34687</c:v>
                </c:pt>
                <c:pt idx="2">
                  <c:v>55834</c:v>
                </c:pt>
                <c:pt idx="3">
                  <c:v>42624</c:v>
                </c:pt>
                <c:pt idx="4">
                  <c:v>120105</c:v>
                </c:pt>
                <c:pt idx="5">
                  <c:v>72506</c:v>
                </c:pt>
                <c:pt idx="6">
                  <c:v>52563</c:v>
                </c:pt>
                <c:pt idx="7">
                  <c:v>38873</c:v>
                </c:pt>
              </c:numCache>
            </c:numRef>
          </c:val>
          <c:extLst>
            <c:ext xmlns:c16="http://schemas.microsoft.com/office/drawing/2014/chart" uri="{C3380CC4-5D6E-409C-BE32-E72D297353CC}">
              <c16:uniqueId val="{00000000-2C1D-4226-8260-B1FCC0A4D442}"/>
            </c:ext>
          </c:extLst>
        </c:ser>
        <c:dLbls>
          <c:showLegendKey val="0"/>
          <c:showVal val="0"/>
          <c:showCatName val="0"/>
          <c:showSerName val="0"/>
          <c:showPercent val="0"/>
          <c:showBubbleSize val="0"/>
        </c:dLbls>
        <c:gapWidth val="219"/>
        <c:overlap val="-27"/>
        <c:axId val="1405002303"/>
        <c:axId val="1405003263"/>
      </c:barChart>
      <c:catAx>
        <c:axId val="140500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003263"/>
        <c:crosses val="autoZero"/>
        <c:auto val="1"/>
        <c:lblAlgn val="ctr"/>
        <c:lblOffset val="100"/>
        <c:noMultiLvlLbl val="0"/>
      </c:catAx>
      <c:valAx>
        <c:axId val="1405003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002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practice3.xlsm]Sheet5!PivotTable3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Sheet5!$B$15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B7-4E53-9280-1268FB05B6F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B7-4E53-9280-1268FB05B6F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B7-4E53-9280-1268FB05B6F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B7-4E53-9280-1268FB05B6F7}"/>
              </c:ext>
            </c:extLst>
          </c:dPt>
          <c:cat>
            <c:strRef>
              <c:f>Sheet5!$A$16:$A$20</c:f>
              <c:strCache>
                <c:ptCount val="4"/>
                <c:pt idx="0">
                  <c:v>East</c:v>
                </c:pt>
                <c:pt idx="1">
                  <c:v>North</c:v>
                </c:pt>
                <c:pt idx="2">
                  <c:v>South</c:v>
                </c:pt>
                <c:pt idx="3">
                  <c:v>West</c:v>
                </c:pt>
              </c:strCache>
            </c:strRef>
          </c:cat>
          <c:val>
            <c:numRef>
              <c:f>Sheet5!$B$16:$B$20</c:f>
              <c:numCache>
                <c:formatCode>General</c:formatCode>
                <c:ptCount val="4"/>
                <c:pt idx="0">
                  <c:v>341</c:v>
                </c:pt>
                <c:pt idx="1">
                  <c:v>252</c:v>
                </c:pt>
                <c:pt idx="2">
                  <c:v>199</c:v>
                </c:pt>
                <c:pt idx="3">
                  <c:v>205</c:v>
                </c:pt>
              </c:numCache>
            </c:numRef>
          </c:val>
          <c:extLst>
            <c:ext xmlns:c16="http://schemas.microsoft.com/office/drawing/2014/chart" uri="{C3380CC4-5D6E-409C-BE32-E72D297353CC}">
              <c16:uniqueId val="{00000000-B1A6-44EE-9AFA-647BBD1870C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practice3.xlsm]DashBoard!PivotTable2</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DashBoard!$B$12:$B$13</c:f>
              <c:strCache>
                <c:ptCount val="1"/>
                <c:pt idx="0">
                  <c:v>Appliances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DashBoard!$B$14:$B$18</c:f>
              <c:numCache>
                <c:formatCode>General</c:formatCode>
                <c:ptCount val="4"/>
                <c:pt idx="0">
                  <c:v>64286</c:v>
                </c:pt>
                <c:pt idx="1">
                  <c:v>37639</c:v>
                </c:pt>
                <c:pt idx="2">
                  <c:v>34494</c:v>
                </c:pt>
                <c:pt idx="3">
                  <c:v>17133</c:v>
                </c:pt>
              </c:numCache>
            </c:numRef>
          </c:val>
          <c:extLst>
            <c:ext xmlns:c16="http://schemas.microsoft.com/office/drawing/2014/chart" uri="{C3380CC4-5D6E-409C-BE32-E72D297353CC}">
              <c16:uniqueId val="{00000000-8051-4DEE-931C-D681CC671F3D}"/>
            </c:ext>
          </c:extLst>
        </c:ser>
        <c:ser>
          <c:idx val="1"/>
          <c:order val="1"/>
          <c:tx>
            <c:strRef>
              <c:f>DashBoard!$C$12:$C$13</c:f>
              <c:strCache>
                <c:ptCount val="1"/>
                <c:pt idx="0">
                  <c:v>Clothing</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DashBoard!$C$14:$C$18</c:f>
              <c:numCache>
                <c:formatCode>General</c:formatCode>
                <c:ptCount val="4"/>
                <c:pt idx="0">
                  <c:v>58959</c:v>
                </c:pt>
                <c:pt idx="1">
                  <c:v>23316</c:v>
                </c:pt>
                <c:pt idx="2">
                  <c:v>35563</c:v>
                </c:pt>
                <c:pt idx="3">
                  <c:v>41140</c:v>
                </c:pt>
              </c:numCache>
            </c:numRef>
          </c:val>
          <c:extLst>
            <c:ext xmlns:c16="http://schemas.microsoft.com/office/drawing/2014/chart" uri="{C3380CC4-5D6E-409C-BE32-E72D297353CC}">
              <c16:uniqueId val="{00000001-1D65-4ED4-A702-8111C4EEF1AF}"/>
            </c:ext>
          </c:extLst>
        </c:ser>
        <c:ser>
          <c:idx val="2"/>
          <c:order val="2"/>
          <c:tx>
            <c:strRef>
              <c:f>DashBoard!$D$12:$D$13</c:f>
              <c:strCache>
                <c:ptCount val="1"/>
                <c:pt idx="0">
                  <c:v>Electronics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DashBoard!$D$14:$D$18</c:f>
              <c:numCache>
                <c:formatCode>General</c:formatCode>
                <c:ptCount val="4"/>
                <c:pt idx="0">
                  <c:v>12291</c:v>
                </c:pt>
                <c:pt idx="1">
                  <c:v>49021</c:v>
                </c:pt>
                <c:pt idx="2">
                  <c:v>27775</c:v>
                </c:pt>
                <c:pt idx="3">
                  <c:v>39253</c:v>
                </c:pt>
              </c:numCache>
            </c:numRef>
          </c:val>
          <c:extLst>
            <c:ext xmlns:c16="http://schemas.microsoft.com/office/drawing/2014/chart" uri="{C3380CC4-5D6E-409C-BE32-E72D297353CC}">
              <c16:uniqueId val="{00000002-1D65-4ED4-A702-8111C4EEF1AF}"/>
            </c:ext>
          </c:extLst>
        </c:ser>
        <c:ser>
          <c:idx val="3"/>
          <c:order val="3"/>
          <c:tx>
            <c:strRef>
              <c:f>DashBoard!$E$12:$E$13</c:f>
              <c:strCache>
                <c:ptCount val="1"/>
                <c:pt idx="0">
                  <c:v>Footwear</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DashBoard!$E$14:$E$18</c:f>
              <c:numCache>
                <c:formatCode>General</c:formatCode>
                <c:ptCount val="4"/>
                <c:pt idx="0">
                  <c:v>36335</c:v>
                </c:pt>
                <c:pt idx="1">
                  <c:v>27662</c:v>
                </c:pt>
                <c:pt idx="2">
                  <c:v>12940</c:v>
                </c:pt>
                <c:pt idx="3">
                  <c:v>10313</c:v>
                </c:pt>
              </c:numCache>
            </c:numRef>
          </c:val>
          <c:extLst>
            <c:ext xmlns:c16="http://schemas.microsoft.com/office/drawing/2014/chart" uri="{C3380CC4-5D6E-409C-BE32-E72D297353CC}">
              <c16:uniqueId val="{00000003-1D65-4ED4-A702-8111C4EEF1AF}"/>
            </c:ext>
          </c:extLst>
        </c:ser>
        <c:dLbls>
          <c:showLegendKey val="0"/>
          <c:showVal val="0"/>
          <c:showCatName val="0"/>
          <c:showSerName val="0"/>
          <c:showPercent val="0"/>
          <c:showBubbleSize val="0"/>
        </c:dLbls>
        <c:gapWidth val="100"/>
        <c:overlap val="-24"/>
        <c:axId val="167918624"/>
        <c:axId val="167917664"/>
      </c:barChart>
      <c:catAx>
        <c:axId val="1679186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7917664"/>
        <c:crosses val="autoZero"/>
        <c:auto val="1"/>
        <c:lblAlgn val="ctr"/>
        <c:lblOffset val="100"/>
        <c:noMultiLvlLbl val="0"/>
      </c:catAx>
      <c:valAx>
        <c:axId val="167917664"/>
        <c:scaling>
          <c:orientation val="minMax"/>
        </c:scaling>
        <c:delete val="0"/>
        <c:axPos val="l"/>
        <c:majorGridlines>
          <c:spPr>
            <a:ln w="9525" cap="flat" cmpd="sng" algn="ctr">
              <a:noFill/>
              <a:round/>
            </a:ln>
            <a:effectLst>
              <a:softEdge rad="31750"/>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791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practice3.xlsm]DashBoard!PivotTable2</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Sales</a:t>
            </a:r>
            <a:r>
              <a:rPr lang="en-IN" baseline="0"/>
              <a:t> Over Region and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DashBoard!$B$12:$B$13</c:f>
              <c:strCache>
                <c:ptCount val="1"/>
                <c:pt idx="0">
                  <c:v>Appliances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DashBoard!$B$14:$B$18</c:f>
              <c:numCache>
                <c:formatCode>General</c:formatCode>
                <c:ptCount val="4"/>
                <c:pt idx="0">
                  <c:v>64286</c:v>
                </c:pt>
                <c:pt idx="1">
                  <c:v>37639</c:v>
                </c:pt>
                <c:pt idx="2">
                  <c:v>34494</c:v>
                </c:pt>
                <c:pt idx="3">
                  <c:v>17133</c:v>
                </c:pt>
              </c:numCache>
            </c:numRef>
          </c:val>
          <c:extLst>
            <c:ext xmlns:c16="http://schemas.microsoft.com/office/drawing/2014/chart" uri="{C3380CC4-5D6E-409C-BE32-E72D297353CC}">
              <c16:uniqueId val="{00000000-36FE-4B7D-BA34-9928404D338F}"/>
            </c:ext>
          </c:extLst>
        </c:ser>
        <c:ser>
          <c:idx val="1"/>
          <c:order val="1"/>
          <c:tx>
            <c:strRef>
              <c:f>DashBoard!$C$12:$C$13</c:f>
              <c:strCache>
                <c:ptCount val="1"/>
                <c:pt idx="0">
                  <c:v>Clothing</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DashBoard!$C$14:$C$18</c:f>
              <c:numCache>
                <c:formatCode>General</c:formatCode>
                <c:ptCount val="4"/>
                <c:pt idx="0">
                  <c:v>58959</c:v>
                </c:pt>
                <c:pt idx="1">
                  <c:v>23316</c:v>
                </c:pt>
                <c:pt idx="2">
                  <c:v>35563</c:v>
                </c:pt>
                <c:pt idx="3">
                  <c:v>41140</c:v>
                </c:pt>
              </c:numCache>
            </c:numRef>
          </c:val>
          <c:extLst>
            <c:ext xmlns:c16="http://schemas.microsoft.com/office/drawing/2014/chart" uri="{C3380CC4-5D6E-409C-BE32-E72D297353CC}">
              <c16:uniqueId val="{00000001-5FB8-4A19-B98B-2D7BFB77E1C5}"/>
            </c:ext>
          </c:extLst>
        </c:ser>
        <c:ser>
          <c:idx val="2"/>
          <c:order val="2"/>
          <c:tx>
            <c:strRef>
              <c:f>DashBoard!$D$12:$D$13</c:f>
              <c:strCache>
                <c:ptCount val="1"/>
                <c:pt idx="0">
                  <c:v>Electronics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DashBoard!$D$14:$D$18</c:f>
              <c:numCache>
                <c:formatCode>General</c:formatCode>
                <c:ptCount val="4"/>
                <c:pt idx="0">
                  <c:v>12291</c:v>
                </c:pt>
                <c:pt idx="1">
                  <c:v>49021</c:v>
                </c:pt>
                <c:pt idx="2">
                  <c:v>27775</c:v>
                </c:pt>
                <c:pt idx="3">
                  <c:v>39253</c:v>
                </c:pt>
              </c:numCache>
            </c:numRef>
          </c:val>
          <c:extLst>
            <c:ext xmlns:c16="http://schemas.microsoft.com/office/drawing/2014/chart" uri="{C3380CC4-5D6E-409C-BE32-E72D297353CC}">
              <c16:uniqueId val="{00000002-5FB8-4A19-B98B-2D7BFB77E1C5}"/>
            </c:ext>
          </c:extLst>
        </c:ser>
        <c:ser>
          <c:idx val="3"/>
          <c:order val="3"/>
          <c:tx>
            <c:strRef>
              <c:f>DashBoard!$E$12:$E$13</c:f>
              <c:strCache>
                <c:ptCount val="1"/>
                <c:pt idx="0">
                  <c:v>Footwear</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DashBoard!$E$14:$E$18</c:f>
              <c:numCache>
                <c:formatCode>General</c:formatCode>
                <c:ptCount val="4"/>
                <c:pt idx="0">
                  <c:v>36335</c:v>
                </c:pt>
                <c:pt idx="1">
                  <c:v>27662</c:v>
                </c:pt>
                <c:pt idx="2">
                  <c:v>12940</c:v>
                </c:pt>
                <c:pt idx="3">
                  <c:v>10313</c:v>
                </c:pt>
              </c:numCache>
            </c:numRef>
          </c:val>
          <c:extLst>
            <c:ext xmlns:c16="http://schemas.microsoft.com/office/drawing/2014/chart" uri="{C3380CC4-5D6E-409C-BE32-E72D297353CC}">
              <c16:uniqueId val="{00000003-5FB8-4A19-B98B-2D7BFB77E1C5}"/>
            </c:ext>
          </c:extLst>
        </c:ser>
        <c:dLbls>
          <c:showLegendKey val="0"/>
          <c:showVal val="0"/>
          <c:showCatName val="0"/>
          <c:showSerName val="0"/>
          <c:showPercent val="0"/>
          <c:showBubbleSize val="0"/>
        </c:dLbls>
        <c:gapWidth val="100"/>
        <c:overlap val="-24"/>
        <c:axId val="167918624"/>
        <c:axId val="167917664"/>
      </c:barChart>
      <c:catAx>
        <c:axId val="1679186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7917664"/>
        <c:crosses val="autoZero"/>
        <c:auto val="1"/>
        <c:lblAlgn val="ctr"/>
        <c:lblOffset val="100"/>
        <c:noMultiLvlLbl val="0"/>
      </c:catAx>
      <c:valAx>
        <c:axId val="16791766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6791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practice3.xlsm]DashBoard!PivotTable1</c:name>
    <c:fmtId val="7"/>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DashBoard!$B$3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C878-4270-9966-ED12C32053B8}"/>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C878-4270-9966-ED12C32053B8}"/>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4-C878-4270-9966-ED12C32053B8}"/>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C878-4270-9966-ED12C32053B8}"/>
              </c:ext>
            </c:extLst>
          </c:dPt>
          <c:dLbls>
            <c:dLbl>
              <c:idx val="0"/>
              <c:layout>
                <c:manualLayout>
                  <c:x val="3.0919728783902014E-3"/>
                  <c:y val="-1.27052347623213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878-4270-9966-ED12C32053B8}"/>
                </c:ext>
              </c:extLst>
            </c:dLbl>
            <c:dLbl>
              <c:idx val="1"/>
              <c:layout>
                <c:manualLayout>
                  <c:x val="0.11220231846019248"/>
                  <c:y val="-9.444954797317002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878-4270-9966-ED12C32053B8}"/>
                </c:ext>
              </c:extLst>
            </c:dLbl>
            <c:dLbl>
              <c:idx val="2"/>
              <c:layout>
                <c:manualLayout>
                  <c:x val="-3.8526902887139236E-3"/>
                  <c:y val="8.887831729367162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878-4270-9966-ED12C32053B8}"/>
                </c:ext>
              </c:extLst>
            </c:dLbl>
            <c:dLbl>
              <c:idx val="3"/>
              <c:layout>
                <c:manualLayout>
                  <c:x val="-1.588888888888889E-2"/>
                  <c:y val="1.6305774278215224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878-4270-9966-ED12C32053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DashBoard!$A$4:$A$8</c:f>
              <c:strCache>
                <c:ptCount val="4"/>
                <c:pt idx="0">
                  <c:v>Appliances</c:v>
                </c:pt>
                <c:pt idx="1">
                  <c:v>Clothing</c:v>
                </c:pt>
                <c:pt idx="2">
                  <c:v>Electronics</c:v>
                </c:pt>
                <c:pt idx="3">
                  <c:v>Footwear</c:v>
                </c:pt>
              </c:strCache>
            </c:strRef>
          </c:cat>
          <c:val>
            <c:numRef>
              <c:f>DashBoard!$B$4:$B$8</c:f>
              <c:numCache>
                <c:formatCode>General</c:formatCode>
                <c:ptCount val="4"/>
                <c:pt idx="0">
                  <c:v>153552</c:v>
                </c:pt>
                <c:pt idx="1">
                  <c:v>158978</c:v>
                </c:pt>
                <c:pt idx="2">
                  <c:v>128340</c:v>
                </c:pt>
                <c:pt idx="3">
                  <c:v>87250</c:v>
                </c:pt>
              </c:numCache>
            </c:numRef>
          </c:val>
          <c:extLst>
            <c:ext xmlns:c16="http://schemas.microsoft.com/office/drawing/2014/chart" uri="{C3380CC4-5D6E-409C-BE32-E72D297353CC}">
              <c16:uniqueId val="{00000000-C878-4270-9966-ED12C32053B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practice3.xlsm]DashBoard!PivotTable1</c:name>
    <c:fmtId val="1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Over Category</a:t>
            </a:r>
            <a:endParaRPr lang="en-US" baseline="0"/>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DashBoard!$B$3</c:f>
              <c:strCache>
                <c:ptCount val="1"/>
                <c:pt idx="0">
                  <c:v>Total</c:v>
                </c:pt>
              </c:strCache>
            </c:strRef>
          </c:tx>
          <c:spPr>
            <a:ln>
              <a:solidFill>
                <a:schemeClr val="bg2">
                  <a:lumMod val="75000"/>
                </a:schemeClr>
              </a:solidFill>
            </a:ln>
          </c:spPr>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A-C92E-4E5E-9390-65A4E854580C}"/>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C-C92E-4E5E-9390-65A4E854580C}"/>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E-C92E-4E5E-9390-65A4E854580C}"/>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10-C92E-4E5E-9390-65A4E854580C}"/>
              </c:ext>
            </c:extLst>
          </c:dPt>
          <c:dLbls>
            <c:dLbl>
              <c:idx val="0"/>
              <c:layout>
                <c:manualLayout>
                  <c:x val="3.0919728783902014E-3"/>
                  <c:y val="-1.27052347623213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92E-4E5E-9390-65A4E854580C}"/>
                </c:ext>
              </c:extLst>
            </c:dLbl>
            <c:dLbl>
              <c:idx val="1"/>
              <c:layout>
                <c:manualLayout>
                  <c:x val="0.11220231846019248"/>
                  <c:y val="-9.444954797317002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92E-4E5E-9390-65A4E854580C}"/>
                </c:ext>
              </c:extLst>
            </c:dLbl>
            <c:dLbl>
              <c:idx val="2"/>
              <c:layout>
                <c:manualLayout>
                  <c:x val="-3.8526902887139236E-3"/>
                  <c:y val="8.887831729367162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C92E-4E5E-9390-65A4E854580C}"/>
                </c:ext>
              </c:extLst>
            </c:dLbl>
            <c:dLbl>
              <c:idx val="3"/>
              <c:layout>
                <c:manualLayout>
                  <c:x val="-1.588888888888889E-2"/>
                  <c:y val="1.6305774278215224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C92E-4E5E-9390-65A4E85458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DashBoard!$A$4:$A$8</c:f>
              <c:strCache>
                <c:ptCount val="4"/>
                <c:pt idx="0">
                  <c:v>Appliances</c:v>
                </c:pt>
                <c:pt idx="1">
                  <c:v>Clothing</c:v>
                </c:pt>
                <c:pt idx="2">
                  <c:v>Electronics</c:v>
                </c:pt>
                <c:pt idx="3">
                  <c:v>Footwear</c:v>
                </c:pt>
              </c:strCache>
            </c:strRef>
          </c:cat>
          <c:val>
            <c:numRef>
              <c:f>DashBoard!$B$4:$B$8</c:f>
              <c:numCache>
                <c:formatCode>General</c:formatCode>
                <c:ptCount val="4"/>
                <c:pt idx="0">
                  <c:v>153552</c:v>
                </c:pt>
                <c:pt idx="1">
                  <c:v>158978</c:v>
                </c:pt>
                <c:pt idx="2">
                  <c:v>128340</c:v>
                </c:pt>
                <c:pt idx="3">
                  <c:v>87250</c:v>
                </c:pt>
              </c:numCache>
            </c:numRef>
          </c:val>
          <c:extLst>
            <c:ext xmlns:c16="http://schemas.microsoft.com/office/drawing/2014/chart" uri="{C3380CC4-5D6E-409C-BE32-E72D297353CC}">
              <c16:uniqueId val="{00000011-C92E-4E5E-9390-65A4E854580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practice3.xlsm]DashBoard!PivotTable3</c:name>
    <c:fmtId val="5"/>
  </c:pivotSource>
  <c:chart>
    <c:title>
      <c:tx>
        <c:rich>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Sales Trend Over Time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DashBoard!$B$21</c:f>
              <c:strCache>
                <c:ptCount val="1"/>
                <c:pt idx="0">
                  <c:v>Total</c:v>
                </c:pt>
              </c:strCache>
            </c:strRef>
          </c:tx>
          <c:spPr>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cat>
            <c:strRef>
              <c:f>DashBoard!$A$22:$A$89</c:f>
              <c:strCache>
                <c:ptCount val="67"/>
                <c:pt idx="0">
                  <c:v>2025-01-01</c:v>
                </c:pt>
                <c:pt idx="1">
                  <c:v>2025-01-02</c:v>
                </c:pt>
                <c:pt idx="2">
                  <c:v>2025-01-03</c:v>
                </c:pt>
                <c:pt idx="3">
                  <c:v>2025-01-06</c:v>
                </c:pt>
                <c:pt idx="4">
                  <c:v>2025-01-08</c:v>
                </c:pt>
                <c:pt idx="5">
                  <c:v>2025-01-09</c:v>
                </c:pt>
                <c:pt idx="6">
                  <c:v>2025-01-10</c:v>
                </c:pt>
                <c:pt idx="7">
                  <c:v>2025-01-11</c:v>
                </c:pt>
                <c:pt idx="8">
                  <c:v>2025-01-12</c:v>
                </c:pt>
                <c:pt idx="9">
                  <c:v>2025-01-13</c:v>
                </c:pt>
                <c:pt idx="10">
                  <c:v>2025-01-19</c:v>
                </c:pt>
                <c:pt idx="11">
                  <c:v>2025-01-20</c:v>
                </c:pt>
                <c:pt idx="12">
                  <c:v>2025-01-22</c:v>
                </c:pt>
                <c:pt idx="13">
                  <c:v>2025-01-23</c:v>
                </c:pt>
                <c:pt idx="14">
                  <c:v>2025-01-24</c:v>
                </c:pt>
                <c:pt idx="15">
                  <c:v>2025-01-29</c:v>
                </c:pt>
                <c:pt idx="16">
                  <c:v>2025-02-01</c:v>
                </c:pt>
                <c:pt idx="17">
                  <c:v>2025-02-02</c:v>
                </c:pt>
                <c:pt idx="18">
                  <c:v>2025-02-04</c:v>
                </c:pt>
                <c:pt idx="19">
                  <c:v>2025-02-05</c:v>
                </c:pt>
                <c:pt idx="20">
                  <c:v>2025-02-06</c:v>
                </c:pt>
                <c:pt idx="21">
                  <c:v>2025-02-07</c:v>
                </c:pt>
                <c:pt idx="22">
                  <c:v>2025-02-09</c:v>
                </c:pt>
                <c:pt idx="23">
                  <c:v>2025-02-11</c:v>
                </c:pt>
                <c:pt idx="24">
                  <c:v>2025-02-13</c:v>
                </c:pt>
                <c:pt idx="25">
                  <c:v>2025-02-14</c:v>
                </c:pt>
                <c:pt idx="26">
                  <c:v>2025-02-15</c:v>
                </c:pt>
                <c:pt idx="27">
                  <c:v>2025-02-16</c:v>
                </c:pt>
                <c:pt idx="28">
                  <c:v>2025-02-17</c:v>
                </c:pt>
                <c:pt idx="29">
                  <c:v>2025-02-18</c:v>
                </c:pt>
                <c:pt idx="30">
                  <c:v>2025-02-19</c:v>
                </c:pt>
                <c:pt idx="31">
                  <c:v>2025-02-22</c:v>
                </c:pt>
                <c:pt idx="32">
                  <c:v>2025-02-23</c:v>
                </c:pt>
                <c:pt idx="33">
                  <c:v>2025-02-24</c:v>
                </c:pt>
                <c:pt idx="34">
                  <c:v>2025-02-25</c:v>
                </c:pt>
                <c:pt idx="35">
                  <c:v>2025-02-26</c:v>
                </c:pt>
                <c:pt idx="36">
                  <c:v>2025-02-28</c:v>
                </c:pt>
                <c:pt idx="37">
                  <c:v>2025-03-03</c:v>
                </c:pt>
                <c:pt idx="38">
                  <c:v>2025-03-04</c:v>
                </c:pt>
                <c:pt idx="39">
                  <c:v>2025-03-05</c:v>
                </c:pt>
                <c:pt idx="40">
                  <c:v>2025-03-06</c:v>
                </c:pt>
                <c:pt idx="41">
                  <c:v>2025-03-08</c:v>
                </c:pt>
                <c:pt idx="42">
                  <c:v>2025-03-09</c:v>
                </c:pt>
                <c:pt idx="43">
                  <c:v>2025-03-11</c:v>
                </c:pt>
                <c:pt idx="44">
                  <c:v>2025-03-12</c:v>
                </c:pt>
                <c:pt idx="45">
                  <c:v>2025-03-15</c:v>
                </c:pt>
                <c:pt idx="46">
                  <c:v>2025-03-16</c:v>
                </c:pt>
                <c:pt idx="47">
                  <c:v>2025-03-18</c:v>
                </c:pt>
                <c:pt idx="48">
                  <c:v>2025-03-19</c:v>
                </c:pt>
                <c:pt idx="49">
                  <c:v>2025-03-23</c:v>
                </c:pt>
                <c:pt idx="50">
                  <c:v>2025-03-25</c:v>
                </c:pt>
                <c:pt idx="51">
                  <c:v>2025-03-28</c:v>
                </c:pt>
                <c:pt idx="52">
                  <c:v>2025-03-30</c:v>
                </c:pt>
                <c:pt idx="53">
                  <c:v>2025-03-31</c:v>
                </c:pt>
                <c:pt idx="54">
                  <c:v>2025-04-01</c:v>
                </c:pt>
                <c:pt idx="55">
                  <c:v>2025-04-02</c:v>
                </c:pt>
                <c:pt idx="56">
                  <c:v>2025-04-07</c:v>
                </c:pt>
                <c:pt idx="57">
                  <c:v>2025-04-09</c:v>
                </c:pt>
                <c:pt idx="58">
                  <c:v>2025-04-14</c:v>
                </c:pt>
                <c:pt idx="59">
                  <c:v>2025-04-15</c:v>
                </c:pt>
                <c:pt idx="60">
                  <c:v>2025-04-17</c:v>
                </c:pt>
                <c:pt idx="61">
                  <c:v>2025-04-18</c:v>
                </c:pt>
                <c:pt idx="62">
                  <c:v>2025-04-19</c:v>
                </c:pt>
                <c:pt idx="63">
                  <c:v>2025-04-20</c:v>
                </c:pt>
                <c:pt idx="64">
                  <c:v>2025-04-28</c:v>
                </c:pt>
                <c:pt idx="65">
                  <c:v>2025-04-30</c:v>
                </c:pt>
                <c:pt idx="66">
                  <c:v>2025-05-01</c:v>
                </c:pt>
              </c:strCache>
            </c:strRef>
          </c:cat>
          <c:val>
            <c:numRef>
              <c:f>DashBoard!$B$22:$B$89</c:f>
              <c:numCache>
                <c:formatCode>General</c:formatCode>
                <c:ptCount val="67"/>
                <c:pt idx="0">
                  <c:v>15435</c:v>
                </c:pt>
                <c:pt idx="1">
                  <c:v>3928</c:v>
                </c:pt>
                <c:pt idx="2">
                  <c:v>16350</c:v>
                </c:pt>
                <c:pt idx="3">
                  <c:v>7398</c:v>
                </c:pt>
                <c:pt idx="4">
                  <c:v>8565</c:v>
                </c:pt>
                <c:pt idx="5">
                  <c:v>16321</c:v>
                </c:pt>
                <c:pt idx="6">
                  <c:v>1694</c:v>
                </c:pt>
                <c:pt idx="7">
                  <c:v>1220</c:v>
                </c:pt>
                <c:pt idx="8">
                  <c:v>636</c:v>
                </c:pt>
                <c:pt idx="9">
                  <c:v>9265</c:v>
                </c:pt>
                <c:pt idx="10">
                  <c:v>5832</c:v>
                </c:pt>
                <c:pt idx="11">
                  <c:v>14366</c:v>
                </c:pt>
                <c:pt idx="12">
                  <c:v>8719</c:v>
                </c:pt>
                <c:pt idx="13">
                  <c:v>2968</c:v>
                </c:pt>
                <c:pt idx="14">
                  <c:v>6855</c:v>
                </c:pt>
                <c:pt idx="15">
                  <c:v>545</c:v>
                </c:pt>
                <c:pt idx="16">
                  <c:v>3955</c:v>
                </c:pt>
                <c:pt idx="17">
                  <c:v>5544</c:v>
                </c:pt>
                <c:pt idx="18">
                  <c:v>2134</c:v>
                </c:pt>
                <c:pt idx="19">
                  <c:v>31595</c:v>
                </c:pt>
                <c:pt idx="20">
                  <c:v>1484</c:v>
                </c:pt>
                <c:pt idx="21">
                  <c:v>4216</c:v>
                </c:pt>
                <c:pt idx="22">
                  <c:v>4449</c:v>
                </c:pt>
                <c:pt idx="23">
                  <c:v>6885</c:v>
                </c:pt>
                <c:pt idx="24">
                  <c:v>6312</c:v>
                </c:pt>
                <c:pt idx="25">
                  <c:v>11848</c:v>
                </c:pt>
                <c:pt idx="26">
                  <c:v>2560</c:v>
                </c:pt>
                <c:pt idx="27">
                  <c:v>14975</c:v>
                </c:pt>
                <c:pt idx="28">
                  <c:v>7144</c:v>
                </c:pt>
                <c:pt idx="29">
                  <c:v>6040</c:v>
                </c:pt>
                <c:pt idx="30">
                  <c:v>13420</c:v>
                </c:pt>
                <c:pt idx="31">
                  <c:v>3042</c:v>
                </c:pt>
                <c:pt idx="32">
                  <c:v>2460</c:v>
                </c:pt>
                <c:pt idx="33">
                  <c:v>8550</c:v>
                </c:pt>
                <c:pt idx="34">
                  <c:v>4779</c:v>
                </c:pt>
                <c:pt idx="35">
                  <c:v>2388</c:v>
                </c:pt>
                <c:pt idx="36">
                  <c:v>2598</c:v>
                </c:pt>
                <c:pt idx="37">
                  <c:v>14595</c:v>
                </c:pt>
                <c:pt idx="38">
                  <c:v>6948</c:v>
                </c:pt>
                <c:pt idx="39">
                  <c:v>9310</c:v>
                </c:pt>
                <c:pt idx="40">
                  <c:v>558</c:v>
                </c:pt>
                <c:pt idx="41">
                  <c:v>8136</c:v>
                </c:pt>
                <c:pt idx="42">
                  <c:v>24167</c:v>
                </c:pt>
                <c:pt idx="43">
                  <c:v>7649</c:v>
                </c:pt>
                <c:pt idx="44">
                  <c:v>8610</c:v>
                </c:pt>
                <c:pt idx="45">
                  <c:v>3225</c:v>
                </c:pt>
                <c:pt idx="46">
                  <c:v>11683</c:v>
                </c:pt>
                <c:pt idx="47">
                  <c:v>7875</c:v>
                </c:pt>
                <c:pt idx="48">
                  <c:v>13880</c:v>
                </c:pt>
                <c:pt idx="49">
                  <c:v>7683</c:v>
                </c:pt>
                <c:pt idx="50">
                  <c:v>8249</c:v>
                </c:pt>
                <c:pt idx="51">
                  <c:v>8472</c:v>
                </c:pt>
                <c:pt idx="52">
                  <c:v>10849</c:v>
                </c:pt>
                <c:pt idx="53">
                  <c:v>3143</c:v>
                </c:pt>
                <c:pt idx="54">
                  <c:v>2853</c:v>
                </c:pt>
                <c:pt idx="55">
                  <c:v>8822</c:v>
                </c:pt>
                <c:pt idx="56">
                  <c:v>11865</c:v>
                </c:pt>
                <c:pt idx="57">
                  <c:v>21356</c:v>
                </c:pt>
                <c:pt idx="58">
                  <c:v>9480</c:v>
                </c:pt>
                <c:pt idx="59">
                  <c:v>16800</c:v>
                </c:pt>
                <c:pt idx="60">
                  <c:v>1944</c:v>
                </c:pt>
                <c:pt idx="61">
                  <c:v>2522</c:v>
                </c:pt>
                <c:pt idx="62">
                  <c:v>8697</c:v>
                </c:pt>
                <c:pt idx="63">
                  <c:v>229</c:v>
                </c:pt>
                <c:pt idx="64">
                  <c:v>1905</c:v>
                </c:pt>
                <c:pt idx="65">
                  <c:v>2490</c:v>
                </c:pt>
                <c:pt idx="66">
                  <c:v>17650</c:v>
                </c:pt>
              </c:numCache>
            </c:numRef>
          </c:val>
          <c:smooth val="0"/>
          <c:extLst>
            <c:ext xmlns:c16="http://schemas.microsoft.com/office/drawing/2014/chart" uri="{C3380CC4-5D6E-409C-BE32-E72D297353CC}">
              <c16:uniqueId val="{00000000-C2A3-4342-AD10-D85184B9542C}"/>
            </c:ext>
          </c:extLst>
        </c:ser>
        <c:dLbls>
          <c:showLegendKey val="0"/>
          <c:showVal val="0"/>
          <c:showCatName val="0"/>
          <c:showSerName val="0"/>
          <c:showPercent val="0"/>
          <c:showBubbleSize val="0"/>
        </c:dLbls>
        <c:marker val="1"/>
        <c:smooth val="0"/>
        <c:axId val="178205055"/>
        <c:axId val="178206495"/>
      </c:lineChart>
      <c:catAx>
        <c:axId val="17820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06495"/>
        <c:crosses val="autoZero"/>
        <c:auto val="1"/>
        <c:lblAlgn val="ctr"/>
        <c:lblOffset val="100"/>
        <c:noMultiLvlLbl val="0"/>
      </c:catAx>
      <c:valAx>
        <c:axId val="178206495"/>
        <c:scaling>
          <c:orientation val="minMax"/>
        </c:scaling>
        <c:delete val="1"/>
        <c:axPos val="l"/>
        <c:numFmt formatCode="General" sourceLinked="1"/>
        <c:majorTickMark val="none"/>
        <c:minorTickMark val="none"/>
        <c:tickLblPos val="nextTo"/>
        <c:crossAx val="1782050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Sold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75000"/>
            </a:schemeClr>
          </a:solidFill>
          <a:ln>
            <a:solidFill>
              <a:schemeClr val="tx1"/>
            </a:solidFill>
          </a:ln>
          <a:effectLst/>
        </c:spPr>
        <c:marker>
          <c:symbol val="none"/>
        </c:marker>
        <c:dLbl>
          <c:idx val="0"/>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solidFill>
              <a:schemeClr val="tx1"/>
            </a:solidFill>
          </a:ln>
          <a:effectLst/>
        </c:spPr>
        <c:marker>
          <c:symbol val="none"/>
        </c:marker>
        <c:dLbl>
          <c:idx val="0"/>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solidFill>
              <a:schemeClr val="tx1"/>
            </a:solid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DashBoard!$E$22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DashBoard!$D$23:$D$27</c:f>
              <c:strCache>
                <c:ptCount val="4"/>
                <c:pt idx="0">
                  <c:v>East</c:v>
                </c:pt>
                <c:pt idx="1">
                  <c:v>North</c:v>
                </c:pt>
                <c:pt idx="2">
                  <c:v>South</c:v>
                </c:pt>
                <c:pt idx="3">
                  <c:v>West</c:v>
                </c:pt>
              </c:strCache>
            </c:strRef>
          </c:cat>
          <c:val>
            <c:numRef>
              <c:f>DashBoard!$E$23:$E$27</c:f>
              <c:numCache>
                <c:formatCode>General</c:formatCode>
                <c:ptCount val="4"/>
                <c:pt idx="0">
                  <c:v>341</c:v>
                </c:pt>
                <c:pt idx="1">
                  <c:v>252</c:v>
                </c:pt>
                <c:pt idx="2">
                  <c:v>199</c:v>
                </c:pt>
                <c:pt idx="3">
                  <c:v>205</c:v>
                </c:pt>
              </c:numCache>
            </c:numRef>
          </c:val>
          <c:extLst>
            <c:ext xmlns:c16="http://schemas.microsoft.com/office/drawing/2014/chart" uri="{C3380CC4-5D6E-409C-BE32-E72D297353CC}">
              <c16:uniqueId val="{00000000-87E0-4390-9A90-62E16B24CDC1}"/>
            </c:ext>
          </c:extLst>
        </c:ser>
        <c:dLbls>
          <c:dLblPos val="outEnd"/>
          <c:showLegendKey val="0"/>
          <c:showVal val="1"/>
          <c:showCatName val="0"/>
          <c:showSerName val="0"/>
          <c:showPercent val="0"/>
          <c:showBubbleSize val="0"/>
        </c:dLbls>
        <c:gapWidth val="20"/>
        <c:axId val="186165247"/>
        <c:axId val="186165727"/>
      </c:barChart>
      <c:catAx>
        <c:axId val="186165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65727"/>
        <c:crosses val="autoZero"/>
        <c:auto val="1"/>
        <c:lblAlgn val="ctr"/>
        <c:lblOffset val="100"/>
        <c:noMultiLvlLbl val="0"/>
      </c:catAx>
      <c:valAx>
        <c:axId val="186165727"/>
        <c:scaling>
          <c:orientation val="minMax"/>
        </c:scaling>
        <c:delete val="1"/>
        <c:axPos val="b"/>
        <c:numFmt formatCode="General" sourceLinked="1"/>
        <c:majorTickMark val="none"/>
        <c:minorTickMark val="none"/>
        <c:tickLblPos val="nextTo"/>
        <c:crossAx val="186165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practice3.xlsm]DashBoard!PivotTable5</c:name>
    <c:fmtId val="3"/>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s>
    <c:plotArea>
      <c:layout/>
      <c:pieChart>
        <c:varyColors val="1"/>
        <c:ser>
          <c:idx val="0"/>
          <c:order val="0"/>
          <c:tx>
            <c:strRef>
              <c:f>DashBoard!$H$54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C04-4A96-B13B-A63C27307349}"/>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6C04-4A96-B13B-A63C27307349}"/>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6C04-4A96-B13B-A63C27307349}"/>
              </c:ext>
            </c:extLst>
          </c:dPt>
          <c:cat>
            <c:strRef>
              <c:f>DashBoard!$G$55:$G$58</c:f>
              <c:strCache>
                <c:ptCount val="3"/>
                <c:pt idx="0">
                  <c:v>400-450</c:v>
                </c:pt>
                <c:pt idx="1">
                  <c:v>450-500</c:v>
                </c:pt>
                <c:pt idx="2">
                  <c:v>Above 500</c:v>
                </c:pt>
              </c:strCache>
            </c:strRef>
          </c:cat>
          <c:val>
            <c:numRef>
              <c:f>DashBoard!$H$55:$H$58</c:f>
              <c:numCache>
                <c:formatCode>General</c:formatCode>
                <c:ptCount val="3"/>
                <c:pt idx="0">
                  <c:v>181672</c:v>
                </c:pt>
                <c:pt idx="1">
                  <c:v>233751</c:v>
                </c:pt>
                <c:pt idx="2">
                  <c:v>112697</c:v>
                </c:pt>
              </c:numCache>
            </c:numRef>
          </c:val>
          <c:extLst>
            <c:ext xmlns:c16="http://schemas.microsoft.com/office/drawing/2014/chart" uri="{C3380CC4-5D6E-409C-BE32-E72D297353CC}">
              <c16:uniqueId val="{00000000-7C36-4FF1-BE9E-C7F732A18B3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practice3.xlsm]DashBoard!PivotTable5</c:name>
    <c:fmtId val="7"/>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s>
    <c:plotArea>
      <c:layout/>
      <c:doughnutChart>
        <c:varyColors val="1"/>
        <c:ser>
          <c:idx val="0"/>
          <c:order val="0"/>
          <c:tx>
            <c:strRef>
              <c:f>DashBoard!$H$54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248-453A-9B8F-27CBB407C87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B248-453A-9B8F-27CBB407C87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B248-453A-9B8F-27CBB407C87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DashBoard!$G$55:$G$58</c:f>
              <c:strCache>
                <c:ptCount val="3"/>
                <c:pt idx="0">
                  <c:v>400-450</c:v>
                </c:pt>
                <c:pt idx="1">
                  <c:v>450-500</c:v>
                </c:pt>
                <c:pt idx="2">
                  <c:v>Above 500</c:v>
                </c:pt>
              </c:strCache>
            </c:strRef>
          </c:cat>
          <c:val>
            <c:numRef>
              <c:f>DashBoard!$H$55:$H$58</c:f>
              <c:numCache>
                <c:formatCode>General</c:formatCode>
                <c:ptCount val="3"/>
                <c:pt idx="0">
                  <c:v>181672</c:v>
                </c:pt>
                <c:pt idx="1">
                  <c:v>233751</c:v>
                </c:pt>
                <c:pt idx="2">
                  <c:v>112697</c:v>
                </c:pt>
              </c:numCache>
            </c:numRef>
          </c:val>
          <c:extLst>
            <c:ext xmlns:c16="http://schemas.microsoft.com/office/drawing/2014/chart" uri="{C3380CC4-5D6E-409C-BE32-E72D297353CC}">
              <c16:uniqueId val="{00000006-B248-453A-9B8F-27CBB407C87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practice3.xlsm]DashBoard!PivotTable2</c:name>
    <c:fmtId val="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Sales</a:t>
            </a:r>
            <a:r>
              <a:rPr lang="en-IN" baseline="0"/>
              <a:t> Over Region and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DashBoard!$B$12:$B$13</c:f>
              <c:strCache>
                <c:ptCount val="1"/>
                <c:pt idx="0">
                  <c:v>Appliances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DashBoard!$B$14:$B$18</c:f>
              <c:numCache>
                <c:formatCode>General</c:formatCode>
                <c:ptCount val="4"/>
                <c:pt idx="0">
                  <c:v>64286</c:v>
                </c:pt>
                <c:pt idx="1">
                  <c:v>37639</c:v>
                </c:pt>
                <c:pt idx="2">
                  <c:v>34494</c:v>
                </c:pt>
                <c:pt idx="3">
                  <c:v>17133</c:v>
                </c:pt>
              </c:numCache>
            </c:numRef>
          </c:val>
          <c:extLst>
            <c:ext xmlns:c16="http://schemas.microsoft.com/office/drawing/2014/chart" uri="{C3380CC4-5D6E-409C-BE32-E72D297353CC}">
              <c16:uniqueId val="{00000000-D195-4FFD-B869-88ED9EC88999}"/>
            </c:ext>
          </c:extLst>
        </c:ser>
        <c:ser>
          <c:idx val="1"/>
          <c:order val="1"/>
          <c:tx>
            <c:strRef>
              <c:f>DashBoard!$C$12:$C$13</c:f>
              <c:strCache>
                <c:ptCount val="1"/>
                <c:pt idx="0">
                  <c:v>Clothing</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DashBoard!$C$14:$C$18</c:f>
              <c:numCache>
                <c:formatCode>General</c:formatCode>
                <c:ptCount val="4"/>
                <c:pt idx="0">
                  <c:v>58959</c:v>
                </c:pt>
                <c:pt idx="1">
                  <c:v>23316</c:v>
                </c:pt>
                <c:pt idx="2">
                  <c:v>35563</c:v>
                </c:pt>
                <c:pt idx="3">
                  <c:v>41140</c:v>
                </c:pt>
              </c:numCache>
            </c:numRef>
          </c:val>
          <c:extLst>
            <c:ext xmlns:c16="http://schemas.microsoft.com/office/drawing/2014/chart" uri="{C3380CC4-5D6E-409C-BE32-E72D297353CC}">
              <c16:uniqueId val="{00000001-E96D-41DD-AECF-F92FDD91E84A}"/>
            </c:ext>
          </c:extLst>
        </c:ser>
        <c:ser>
          <c:idx val="2"/>
          <c:order val="2"/>
          <c:tx>
            <c:strRef>
              <c:f>DashBoard!$D$12:$D$13</c:f>
              <c:strCache>
                <c:ptCount val="1"/>
                <c:pt idx="0">
                  <c:v>Electronics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DashBoard!$D$14:$D$18</c:f>
              <c:numCache>
                <c:formatCode>General</c:formatCode>
                <c:ptCount val="4"/>
                <c:pt idx="0">
                  <c:v>12291</c:v>
                </c:pt>
                <c:pt idx="1">
                  <c:v>49021</c:v>
                </c:pt>
                <c:pt idx="2">
                  <c:v>27775</c:v>
                </c:pt>
                <c:pt idx="3">
                  <c:v>39253</c:v>
                </c:pt>
              </c:numCache>
            </c:numRef>
          </c:val>
          <c:extLst>
            <c:ext xmlns:c16="http://schemas.microsoft.com/office/drawing/2014/chart" uri="{C3380CC4-5D6E-409C-BE32-E72D297353CC}">
              <c16:uniqueId val="{00000002-E96D-41DD-AECF-F92FDD91E84A}"/>
            </c:ext>
          </c:extLst>
        </c:ser>
        <c:ser>
          <c:idx val="3"/>
          <c:order val="3"/>
          <c:tx>
            <c:strRef>
              <c:f>DashBoard!$E$12:$E$13</c:f>
              <c:strCache>
                <c:ptCount val="1"/>
                <c:pt idx="0">
                  <c:v>Footwear</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DashBoard!$A$14:$A$18</c:f>
              <c:strCache>
                <c:ptCount val="4"/>
                <c:pt idx="0">
                  <c:v>East</c:v>
                </c:pt>
                <c:pt idx="1">
                  <c:v>North</c:v>
                </c:pt>
                <c:pt idx="2">
                  <c:v>South</c:v>
                </c:pt>
                <c:pt idx="3">
                  <c:v>West</c:v>
                </c:pt>
              </c:strCache>
            </c:strRef>
          </c:cat>
          <c:val>
            <c:numRef>
              <c:f>DashBoard!$E$14:$E$18</c:f>
              <c:numCache>
                <c:formatCode>General</c:formatCode>
                <c:ptCount val="4"/>
                <c:pt idx="0">
                  <c:v>36335</c:v>
                </c:pt>
                <c:pt idx="1">
                  <c:v>27662</c:v>
                </c:pt>
                <c:pt idx="2">
                  <c:v>12940</c:v>
                </c:pt>
                <c:pt idx="3">
                  <c:v>10313</c:v>
                </c:pt>
              </c:numCache>
            </c:numRef>
          </c:val>
          <c:extLst>
            <c:ext xmlns:c16="http://schemas.microsoft.com/office/drawing/2014/chart" uri="{C3380CC4-5D6E-409C-BE32-E72D297353CC}">
              <c16:uniqueId val="{00000003-E96D-41DD-AECF-F92FDD91E84A}"/>
            </c:ext>
          </c:extLst>
        </c:ser>
        <c:dLbls>
          <c:showLegendKey val="0"/>
          <c:showVal val="0"/>
          <c:showCatName val="0"/>
          <c:showSerName val="0"/>
          <c:showPercent val="0"/>
          <c:showBubbleSize val="0"/>
        </c:dLbls>
        <c:gapWidth val="100"/>
        <c:overlap val="-24"/>
        <c:axId val="167918624"/>
        <c:axId val="167917664"/>
      </c:barChart>
      <c:catAx>
        <c:axId val="1679186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7917664"/>
        <c:crosses val="autoZero"/>
        <c:auto val="1"/>
        <c:lblAlgn val="ctr"/>
        <c:lblOffset val="100"/>
        <c:noMultiLvlLbl val="0"/>
      </c:catAx>
      <c:valAx>
        <c:axId val="16791766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6791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practice3.xlsm]DashBoard!PivotTable1</c:name>
    <c:fmtId val="18"/>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a:t>
            </a:r>
            <a:r>
              <a:rPr lang="en-US" baseline="0"/>
              <a:t> Over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0919728783902014E-3"/>
              <c:y val="-1.2705234762321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0.11220231846019248"/>
              <c:y val="-9.44495479731700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3.8526902887139236E-3"/>
              <c:y val="8.88783172936716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dLbl>
          <c:idx val="0"/>
          <c:layout>
            <c:manualLayout>
              <c:x val="-1.588888888888889E-2"/>
              <c:y val="1.630577427821522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DashBoard!$B$3</c:f>
              <c:strCache>
                <c:ptCount val="1"/>
                <c:pt idx="0">
                  <c:v>Total</c:v>
                </c:pt>
              </c:strCache>
            </c:strRef>
          </c:tx>
          <c:spPr>
            <a:ln>
              <a:solidFill>
                <a:schemeClr val="bg2">
                  <a:lumMod val="75000"/>
                </a:schemeClr>
              </a:solidFill>
            </a:ln>
          </c:spPr>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1-12F0-4083-8250-AEF244E6C42C}"/>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3-12F0-4083-8250-AEF244E6C42C}"/>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5-12F0-4083-8250-AEF244E6C42C}"/>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solidFill>
                  <a:schemeClr val="bg2">
                    <a:lumMod val="75000"/>
                  </a:schemeClr>
                </a:solidFill>
              </a:ln>
              <a:effectLst>
                <a:outerShdw blurRad="40000" dist="23000" dir="5400000" rotWithShape="0">
                  <a:srgbClr val="000000">
                    <a:alpha val="35000"/>
                  </a:srgbClr>
                </a:outerShdw>
              </a:effectLst>
            </c:spPr>
            <c:extLst>
              <c:ext xmlns:c16="http://schemas.microsoft.com/office/drawing/2014/chart" uri="{C3380CC4-5D6E-409C-BE32-E72D297353CC}">
                <c16:uniqueId val="{00000007-12F0-4083-8250-AEF244E6C42C}"/>
              </c:ext>
            </c:extLst>
          </c:dPt>
          <c:dLbls>
            <c:dLbl>
              <c:idx val="0"/>
              <c:layout>
                <c:manualLayout>
                  <c:x val="3.0919728783902014E-3"/>
                  <c:y val="-1.270523476232137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F0-4083-8250-AEF244E6C42C}"/>
                </c:ext>
              </c:extLst>
            </c:dLbl>
            <c:dLbl>
              <c:idx val="1"/>
              <c:layout>
                <c:manualLayout>
                  <c:x val="0.11220231846019248"/>
                  <c:y val="-9.444954797317002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F0-4083-8250-AEF244E6C42C}"/>
                </c:ext>
              </c:extLst>
            </c:dLbl>
            <c:dLbl>
              <c:idx val="2"/>
              <c:layout>
                <c:manualLayout>
                  <c:x val="-3.8526902887139236E-3"/>
                  <c:y val="8.887831729367162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2F0-4083-8250-AEF244E6C42C}"/>
                </c:ext>
              </c:extLst>
            </c:dLbl>
            <c:dLbl>
              <c:idx val="3"/>
              <c:layout>
                <c:manualLayout>
                  <c:x val="-1.588888888888889E-2"/>
                  <c:y val="1.6305774278215224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F0-4083-8250-AEF244E6C4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DashBoard!$A$4:$A$8</c:f>
              <c:strCache>
                <c:ptCount val="4"/>
                <c:pt idx="0">
                  <c:v>Appliances</c:v>
                </c:pt>
                <c:pt idx="1">
                  <c:v>Clothing</c:v>
                </c:pt>
                <c:pt idx="2">
                  <c:v>Electronics</c:v>
                </c:pt>
                <c:pt idx="3">
                  <c:v>Footwear</c:v>
                </c:pt>
              </c:strCache>
            </c:strRef>
          </c:cat>
          <c:val>
            <c:numRef>
              <c:f>DashBoard!$B$4:$B$8</c:f>
              <c:numCache>
                <c:formatCode>General</c:formatCode>
                <c:ptCount val="4"/>
                <c:pt idx="0">
                  <c:v>153552</c:v>
                </c:pt>
                <c:pt idx="1">
                  <c:v>158978</c:v>
                </c:pt>
                <c:pt idx="2">
                  <c:v>128340</c:v>
                </c:pt>
                <c:pt idx="3">
                  <c:v>87250</c:v>
                </c:pt>
              </c:numCache>
            </c:numRef>
          </c:val>
          <c:extLst>
            <c:ext xmlns:c16="http://schemas.microsoft.com/office/drawing/2014/chart" uri="{C3380CC4-5D6E-409C-BE32-E72D297353CC}">
              <c16:uniqueId val="{00000008-12F0-4083-8250-AEF244E6C42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practice3.xlsm]DashBoard!PivotTable3</c:name>
    <c:fmtId val="8"/>
  </c:pivotSource>
  <c:chart>
    <c:title>
      <c:tx>
        <c:rich>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Sales Trend Over Time</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endParaRPr lang="en-US"/>
        </a:p>
      </c:txPr>
    </c:title>
    <c:autoTitleDeleted val="0"/>
    <c:pivotFmts>
      <c:pivotFmt>
        <c:idx val="0"/>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round/>
          </a:ln>
          <a:effectLst/>
        </c:spPr>
        <c:marker>
          <c:symbol val="circle"/>
          <c:size val="5"/>
          <c:spPr>
            <a:solidFill>
              <a:schemeClr val="tx2">
                <a:lumMod val="60000"/>
                <a:lumOff val="4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circle"/>
          <c:size val="5"/>
          <c:spPr>
            <a:solidFill>
              <a:schemeClr val="tx2">
                <a:lumMod val="60000"/>
                <a:lumOff val="40000"/>
              </a:schemeClr>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DashBoard!$B$21</c:f>
              <c:strCache>
                <c:ptCount val="1"/>
                <c:pt idx="0">
                  <c:v>Total</c:v>
                </c:pt>
              </c:strCache>
            </c:strRef>
          </c:tx>
          <c:spPr>
            <a:ln w="28575" cap="rnd">
              <a:solidFill>
                <a:schemeClr val="accent2"/>
              </a:solidFill>
              <a:round/>
            </a:ln>
            <a:effectLst/>
          </c:spPr>
          <c:marker>
            <c:symbol val="circle"/>
            <c:size val="5"/>
            <c:spPr>
              <a:solidFill>
                <a:schemeClr val="tx2">
                  <a:lumMod val="60000"/>
                  <a:lumOff val="40000"/>
                </a:schemeClr>
              </a:solidFill>
              <a:ln w="9525">
                <a:solidFill>
                  <a:schemeClr val="tx1"/>
                </a:solidFill>
              </a:ln>
              <a:effectLst/>
            </c:spPr>
          </c:marker>
          <c:cat>
            <c:strRef>
              <c:f>DashBoard!$A$22:$A$89</c:f>
              <c:strCache>
                <c:ptCount val="67"/>
                <c:pt idx="0">
                  <c:v>2025-01-01</c:v>
                </c:pt>
                <c:pt idx="1">
                  <c:v>2025-01-02</c:v>
                </c:pt>
                <c:pt idx="2">
                  <c:v>2025-01-03</c:v>
                </c:pt>
                <c:pt idx="3">
                  <c:v>2025-01-06</c:v>
                </c:pt>
                <c:pt idx="4">
                  <c:v>2025-01-08</c:v>
                </c:pt>
                <c:pt idx="5">
                  <c:v>2025-01-09</c:v>
                </c:pt>
                <c:pt idx="6">
                  <c:v>2025-01-10</c:v>
                </c:pt>
                <c:pt idx="7">
                  <c:v>2025-01-11</c:v>
                </c:pt>
                <c:pt idx="8">
                  <c:v>2025-01-12</c:v>
                </c:pt>
                <c:pt idx="9">
                  <c:v>2025-01-13</c:v>
                </c:pt>
                <c:pt idx="10">
                  <c:v>2025-01-19</c:v>
                </c:pt>
                <c:pt idx="11">
                  <c:v>2025-01-20</c:v>
                </c:pt>
                <c:pt idx="12">
                  <c:v>2025-01-22</c:v>
                </c:pt>
                <c:pt idx="13">
                  <c:v>2025-01-23</c:v>
                </c:pt>
                <c:pt idx="14">
                  <c:v>2025-01-24</c:v>
                </c:pt>
                <c:pt idx="15">
                  <c:v>2025-01-29</c:v>
                </c:pt>
                <c:pt idx="16">
                  <c:v>2025-02-01</c:v>
                </c:pt>
                <c:pt idx="17">
                  <c:v>2025-02-02</c:v>
                </c:pt>
                <c:pt idx="18">
                  <c:v>2025-02-04</c:v>
                </c:pt>
                <c:pt idx="19">
                  <c:v>2025-02-05</c:v>
                </c:pt>
                <c:pt idx="20">
                  <c:v>2025-02-06</c:v>
                </c:pt>
                <c:pt idx="21">
                  <c:v>2025-02-07</c:v>
                </c:pt>
                <c:pt idx="22">
                  <c:v>2025-02-09</c:v>
                </c:pt>
                <c:pt idx="23">
                  <c:v>2025-02-11</c:v>
                </c:pt>
                <c:pt idx="24">
                  <c:v>2025-02-13</c:v>
                </c:pt>
                <c:pt idx="25">
                  <c:v>2025-02-14</c:v>
                </c:pt>
                <c:pt idx="26">
                  <c:v>2025-02-15</c:v>
                </c:pt>
                <c:pt idx="27">
                  <c:v>2025-02-16</c:v>
                </c:pt>
                <c:pt idx="28">
                  <c:v>2025-02-17</c:v>
                </c:pt>
                <c:pt idx="29">
                  <c:v>2025-02-18</c:v>
                </c:pt>
                <c:pt idx="30">
                  <c:v>2025-02-19</c:v>
                </c:pt>
                <c:pt idx="31">
                  <c:v>2025-02-22</c:v>
                </c:pt>
                <c:pt idx="32">
                  <c:v>2025-02-23</c:v>
                </c:pt>
                <c:pt idx="33">
                  <c:v>2025-02-24</c:v>
                </c:pt>
                <c:pt idx="34">
                  <c:v>2025-02-25</c:v>
                </c:pt>
                <c:pt idx="35">
                  <c:v>2025-02-26</c:v>
                </c:pt>
                <c:pt idx="36">
                  <c:v>2025-02-28</c:v>
                </c:pt>
                <c:pt idx="37">
                  <c:v>2025-03-03</c:v>
                </c:pt>
                <c:pt idx="38">
                  <c:v>2025-03-04</c:v>
                </c:pt>
                <c:pt idx="39">
                  <c:v>2025-03-05</c:v>
                </c:pt>
                <c:pt idx="40">
                  <c:v>2025-03-06</c:v>
                </c:pt>
                <c:pt idx="41">
                  <c:v>2025-03-08</c:v>
                </c:pt>
                <c:pt idx="42">
                  <c:v>2025-03-09</c:v>
                </c:pt>
                <c:pt idx="43">
                  <c:v>2025-03-11</c:v>
                </c:pt>
                <c:pt idx="44">
                  <c:v>2025-03-12</c:v>
                </c:pt>
                <c:pt idx="45">
                  <c:v>2025-03-15</c:v>
                </c:pt>
                <c:pt idx="46">
                  <c:v>2025-03-16</c:v>
                </c:pt>
                <c:pt idx="47">
                  <c:v>2025-03-18</c:v>
                </c:pt>
                <c:pt idx="48">
                  <c:v>2025-03-19</c:v>
                </c:pt>
                <c:pt idx="49">
                  <c:v>2025-03-23</c:v>
                </c:pt>
                <c:pt idx="50">
                  <c:v>2025-03-25</c:v>
                </c:pt>
                <c:pt idx="51">
                  <c:v>2025-03-28</c:v>
                </c:pt>
                <c:pt idx="52">
                  <c:v>2025-03-30</c:v>
                </c:pt>
                <c:pt idx="53">
                  <c:v>2025-03-31</c:v>
                </c:pt>
                <c:pt idx="54">
                  <c:v>2025-04-01</c:v>
                </c:pt>
                <c:pt idx="55">
                  <c:v>2025-04-02</c:v>
                </c:pt>
                <c:pt idx="56">
                  <c:v>2025-04-07</c:v>
                </c:pt>
                <c:pt idx="57">
                  <c:v>2025-04-09</c:v>
                </c:pt>
                <c:pt idx="58">
                  <c:v>2025-04-14</c:v>
                </c:pt>
                <c:pt idx="59">
                  <c:v>2025-04-15</c:v>
                </c:pt>
                <c:pt idx="60">
                  <c:v>2025-04-17</c:v>
                </c:pt>
                <c:pt idx="61">
                  <c:v>2025-04-18</c:v>
                </c:pt>
                <c:pt idx="62">
                  <c:v>2025-04-19</c:v>
                </c:pt>
                <c:pt idx="63">
                  <c:v>2025-04-20</c:v>
                </c:pt>
                <c:pt idx="64">
                  <c:v>2025-04-28</c:v>
                </c:pt>
                <c:pt idx="65">
                  <c:v>2025-04-30</c:v>
                </c:pt>
                <c:pt idx="66">
                  <c:v>2025-05-01</c:v>
                </c:pt>
              </c:strCache>
            </c:strRef>
          </c:cat>
          <c:val>
            <c:numRef>
              <c:f>DashBoard!$B$22:$B$89</c:f>
              <c:numCache>
                <c:formatCode>General</c:formatCode>
                <c:ptCount val="67"/>
                <c:pt idx="0">
                  <c:v>15435</c:v>
                </c:pt>
                <c:pt idx="1">
                  <c:v>3928</c:v>
                </c:pt>
                <c:pt idx="2">
                  <c:v>16350</c:v>
                </c:pt>
                <c:pt idx="3">
                  <c:v>7398</c:v>
                </c:pt>
                <c:pt idx="4">
                  <c:v>8565</c:v>
                </c:pt>
                <c:pt idx="5">
                  <c:v>16321</c:v>
                </c:pt>
                <c:pt idx="6">
                  <c:v>1694</c:v>
                </c:pt>
                <c:pt idx="7">
                  <c:v>1220</c:v>
                </c:pt>
                <c:pt idx="8">
                  <c:v>636</c:v>
                </c:pt>
                <c:pt idx="9">
                  <c:v>9265</c:v>
                </c:pt>
                <c:pt idx="10">
                  <c:v>5832</c:v>
                </c:pt>
                <c:pt idx="11">
                  <c:v>14366</c:v>
                </c:pt>
                <c:pt idx="12">
                  <c:v>8719</c:v>
                </c:pt>
                <c:pt idx="13">
                  <c:v>2968</c:v>
                </c:pt>
                <c:pt idx="14">
                  <c:v>6855</c:v>
                </c:pt>
                <c:pt idx="15">
                  <c:v>545</c:v>
                </c:pt>
                <c:pt idx="16">
                  <c:v>3955</c:v>
                </c:pt>
                <c:pt idx="17">
                  <c:v>5544</c:v>
                </c:pt>
                <c:pt idx="18">
                  <c:v>2134</c:v>
                </c:pt>
                <c:pt idx="19">
                  <c:v>31595</c:v>
                </c:pt>
                <c:pt idx="20">
                  <c:v>1484</c:v>
                </c:pt>
                <c:pt idx="21">
                  <c:v>4216</c:v>
                </c:pt>
                <c:pt idx="22">
                  <c:v>4449</c:v>
                </c:pt>
                <c:pt idx="23">
                  <c:v>6885</c:v>
                </c:pt>
                <c:pt idx="24">
                  <c:v>6312</c:v>
                </c:pt>
                <c:pt idx="25">
                  <c:v>11848</c:v>
                </c:pt>
                <c:pt idx="26">
                  <c:v>2560</c:v>
                </c:pt>
                <c:pt idx="27">
                  <c:v>14975</c:v>
                </c:pt>
                <c:pt idx="28">
                  <c:v>7144</c:v>
                </c:pt>
                <c:pt idx="29">
                  <c:v>6040</c:v>
                </c:pt>
                <c:pt idx="30">
                  <c:v>13420</c:v>
                </c:pt>
                <c:pt idx="31">
                  <c:v>3042</c:v>
                </c:pt>
                <c:pt idx="32">
                  <c:v>2460</c:v>
                </c:pt>
                <c:pt idx="33">
                  <c:v>8550</c:v>
                </c:pt>
                <c:pt idx="34">
                  <c:v>4779</c:v>
                </c:pt>
                <c:pt idx="35">
                  <c:v>2388</c:v>
                </c:pt>
                <c:pt idx="36">
                  <c:v>2598</c:v>
                </c:pt>
                <c:pt idx="37">
                  <c:v>14595</c:v>
                </c:pt>
                <c:pt idx="38">
                  <c:v>6948</c:v>
                </c:pt>
                <c:pt idx="39">
                  <c:v>9310</c:v>
                </c:pt>
                <c:pt idx="40">
                  <c:v>558</c:v>
                </c:pt>
                <c:pt idx="41">
                  <c:v>8136</c:v>
                </c:pt>
                <c:pt idx="42">
                  <c:v>24167</c:v>
                </c:pt>
                <c:pt idx="43">
                  <c:v>7649</c:v>
                </c:pt>
                <c:pt idx="44">
                  <c:v>8610</c:v>
                </c:pt>
                <c:pt idx="45">
                  <c:v>3225</c:v>
                </c:pt>
                <c:pt idx="46">
                  <c:v>11683</c:v>
                </c:pt>
                <c:pt idx="47">
                  <c:v>7875</c:v>
                </c:pt>
                <c:pt idx="48">
                  <c:v>13880</c:v>
                </c:pt>
                <c:pt idx="49">
                  <c:v>7683</c:v>
                </c:pt>
                <c:pt idx="50">
                  <c:v>8249</c:v>
                </c:pt>
                <c:pt idx="51">
                  <c:v>8472</c:v>
                </c:pt>
                <c:pt idx="52">
                  <c:v>10849</c:v>
                </c:pt>
                <c:pt idx="53">
                  <c:v>3143</c:v>
                </c:pt>
                <c:pt idx="54">
                  <c:v>2853</c:v>
                </c:pt>
                <c:pt idx="55">
                  <c:v>8822</c:v>
                </c:pt>
                <c:pt idx="56">
                  <c:v>11865</c:v>
                </c:pt>
                <c:pt idx="57">
                  <c:v>21356</c:v>
                </c:pt>
                <c:pt idx="58">
                  <c:v>9480</c:v>
                </c:pt>
                <c:pt idx="59">
                  <c:v>16800</c:v>
                </c:pt>
                <c:pt idx="60">
                  <c:v>1944</c:v>
                </c:pt>
                <c:pt idx="61">
                  <c:v>2522</c:v>
                </c:pt>
                <c:pt idx="62">
                  <c:v>8697</c:v>
                </c:pt>
                <c:pt idx="63">
                  <c:v>229</c:v>
                </c:pt>
                <c:pt idx="64">
                  <c:v>1905</c:v>
                </c:pt>
                <c:pt idx="65">
                  <c:v>2490</c:v>
                </c:pt>
                <c:pt idx="66">
                  <c:v>17650</c:v>
                </c:pt>
              </c:numCache>
            </c:numRef>
          </c:val>
          <c:smooth val="0"/>
          <c:extLst>
            <c:ext xmlns:c16="http://schemas.microsoft.com/office/drawing/2014/chart" uri="{C3380CC4-5D6E-409C-BE32-E72D297353CC}">
              <c16:uniqueId val="{00000000-3CCF-4A7B-A16C-5DD7366886B0}"/>
            </c:ext>
          </c:extLst>
        </c:ser>
        <c:dLbls>
          <c:showLegendKey val="0"/>
          <c:showVal val="0"/>
          <c:showCatName val="0"/>
          <c:showSerName val="0"/>
          <c:showPercent val="0"/>
          <c:showBubbleSize val="0"/>
        </c:dLbls>
        <c:marker val="1"/>
        <c:smooth val="0"/>
        <c:axId val="178205055"/>
        <c:axId val="178206495"/>
      </c:lineChart>
      <c:catAx>
        <c:axId val="17820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06495"/>
        <c:crosses val="autoZero"/>
        <c:auto val="1"/>
        <c:lblAlgn val="ctr"/>
        <c:lblOffset val="100"/>
        <c:noMultiLvlLbl val="0"/>
      </c:catAx>
      <c:valAx>
        <c:axId val="178206495"/>
        <c:scaling>
          <c:orientation val="minMax"/>
        </c:scaling>
        <c:delete val="1"/>
        <c:axPos val="l"/>
        <c:numFmt formatCode="General" sourceLinked="1"/>
        <c:majorTickMark val="none"/>
        <c:minorTickMark val="none"/>
        <c:tickLblPos val="nextTo"/>
        <c:crossAx val="1782050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practice3.xlsm]DashBoard!PivotTable4</c:name>
    <c:fmtId val="7"/>
  </c:pivotSource>
  <c:chart>
    <c:title>
      <c:tx>
        <c:rich>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r>
              <a:rPr lang="en-US" sz="1600" b="1" i="0" u="none" strike="noStrike" kern="1200" baseline="0">
                <a:solidFill>
                  <a:srgbClr val="1F497D"/>
                </a:solidFill>
                <a:latin typeface="+mn-lt"/>
                <a:ea typeface="+mn-ea"/>
                <a:cs typeface="+mn-cs"/>
              </a:rPr>
              <a:t>Quantity Sold By Region</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rgbClr val="1F497D"/>
              </a:solidFill>
              <a:latin typeface="+mn-lt"/>
              <a:ea typeface="+mn-ea"/>
              <a:cs typeface="+mn-cs"/>
            </a:defRPr>
          </a:pPr>
          <a:endParaRPr lang="en-US"/>
        </a:p>
      </c:txPr>
    </c:title>
    <c:autoTitleDeleted val="0"/>
    <c:pivotFmts>
      <c:pivotFmt>
        <c:idx val="0"/>
        <c:spPr>
          <a:solidFill>
            <a:schemeClr val="accent2">
              <a:lumMod val="75000"/>
            </a:schemeClr>
          </a:solidFill>
          <a:ln>
            <a:solidFill>
              <a:schemeClr val="tx1"/>
            </a:solidFill>
          </a:ln>
          <a:effectLst/>
        </c:spPr>
        <c:marker>
          <c:symbol val="none"/>
        </c:marker>
        <c:dLbl>
          <c:idx val="0"/>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solidFill>
              <a:schemeClr val="tx1"/>
            </a:solidFill>
          </a:ln>
          <a:effectLst/>
        </c:spPr>
        <c:marker>
          <c:symbol val="none"/>
        </c:marker>
        <c:dLbl>
          <c:idx val="0"/>
          <c:spPr>
            <a:solidFill>
              <a:schemeClr val="bg2">
                <a:lumMod val="5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solidFill>
              <a:schemeClr val="tx1"/>
            </a:solid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solidFill>
              <a:schemeClr val="tx1"/>
            </a:solid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solidFill>
              <a:schemeClr val="tx1"/>
            </a:solid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DashBoard!$E$22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DashBoard!$D$23:$D$27</c:f>
              <c:strCache>
                <c:ptCount val="4"/>
                <c:pt idx="0">
                  <c:v>East</c:v>
                </c:pt>
                <c:pt idx="1">
                  <c:v>North</c:v>
                </c:pt>
                <c:pt idx="2">
                  <c:v>South</c:v>
                </c:pt>
                <c:pt idx="3">
                  <c:v>West</c:v>
                </c:pt>
              </c:strCache>
            </c:strRef>
          </c:cat>
          <c:val>
            <c:numRef>
              <c:f>DashBoard!$E$23:$E$27</c:f>
              <c:numCache>
                <c:formatCode>General</c:formatCode>
                <c:ptCount val="4"/>
                <c:pt idx="0">
                  <c:v>341</c:v>
                </c:pt>
                <c:pt idx="1">
                  <c:v>252</c:v>
                </c:pt>
                <c:pt idx="2">
                  <c:v>199</c:v>
                </c:pt>
                <c:pt idx="3">
                  <c:v>205</c:v>
                </c:pt>
              </c:numCache>
            </c:numRef>
          </c:val>
          <c:extLst>
            <c:ext xmlns:c16="http://schemas.microsoft.com/office/drawing/2014/chart" uri="{C3380CC4-5D6E-409C-BE32-E72D297353CC}">
              <c16:uniqueId val="{00000001-CCB1-4909-BCE3-12843543EB85}"/>
            </c:ext>
          </c:extLst>
        </c:ser>
        <c:dLbls>
          <c:dLblPos val="outEnd"/>
          <c:showLegendKey val="0"/>
          <c:showVal val="1"/>
          <c:showCatName val="0"/>
          <c:showSerName val="0"/>
          <c:showPercent val="0"/>
          <c:showBubbleSize val="0"/>
        </c:dLbls>
        <c:gapWidth val="20"/>
        <c:axId val="186165247"/>
        <c:axId val="186165727"/>
      </c:barChart>
      <c:catAx>
        <c:axId val="186165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165727"/>
        <c:crosses val="autoZero"/>
        <c:auto val="1"/>
        <c:lblAlgn val="ctr"/>
        <c:lblOffset val="100"/>
        <c:noMultiLvlLbl val="0"/>
      </c:catAx>
      <c:valAx>
        <c:axId val="186165727"/>
        <c:scaling>
          <c:orientation val="minMax"/>
        </c:scaling>
        <c:delete val="1"/>
        <c:axPos val="b"/>
        <c:numFmt formatCode="General" sourceLinked="1"/>
        <c:majorTickMark val="none"/>
        <c:minorTickMark val="none"/>
        <c:tickLblPos val="nextTo"/>
        <c:crossAx val="186165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practice3.xlsm]DashBoard!PivotTable5</c:name>
    <c:fmtId val="12"/>
  </c:pivotSource>
  <c:chart>
    <c:title>
      <c:tx>
        <c:rich>
          <a:bodyPr rot="0" spcFirstLastPara="1" vertOverflow="ellipsis" vert="horz" wrap="square" anchor="ctr" anchorCtr="1"/>
          <a:lstStyle/>
          <a:p>
            <a:pPr algn="ctr" rtl="0">
              <a:defRPr lang="en-IN" sz="1600" b="1" i="0" u="none" strike="noStrike" kern="1200" spc="0" baseline="0">
                <a:solidFill>
                  <a:srgbClr val="1F497D"/>
                </a:solidFill>
                <a:latin typeface="+mn-lt"/>
                <a:ea typeface="+mn-ea"/>
                <a:cs typeface="+mn-cs"/>
              </a:defRPr>
            </a:pPr>
            <a:r>
              <a:rPr lang="en-IN" sz="1600" b="1" i="0" u="none" strike="noStrike" kern="1200" spc="0" baseline="0">
                <a:solidFill>
                  <a:srgbClr val="1F497D"/>
                </a:solidFill>
                <a:latin typeface="+mn-lt"/>
                <a:ea typeface="+mn-ea"/>
                <a:cs typeface="+mn-cs"/>
              </a:rPr>
              <a:t>Sales By Bins</a:t>
            </a:r>
          </a:p>
        </c:rich>
      </c:tx>
      <c:layout>
        <c:manualLayout>
          <c:xMode val="edge"/>
          <c:yMode val="edge"/>
          <c:x val="0.35703412595638984"/>
          <c:y val="5.4882345970825044E-2"/>
        </c:manualLayout>
      </c:layout>
      <c:overlay val="0"/>
      <c:spPr>
        <a:noFill/>
        <a:ln>
          <a:noFill/>
        </a:ln>
        <a:effectLst/>
      </c:spPr>
      <c:txPr>
        <a:bodyPr rot="0" spcFirstLastPara="1" vertOverflow="ellipsis" vert="horz" wrap="square" anchor="ctr" anchorCtr="1"/>
        <a:lstStyle/>
        <a:p>
          <a:pPr algn="ctr" rtl="0">
            <a:defRPr lang="en-IN" sz="1600" b="1" i="0" u="none" strike="noStrike" kern="1200" spc="0" baseline="0">
              <a:solidFill>
                <a:srgbClr val="1F497D"/>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w="19050">
            <a:solidFill>
              <a:schemeClr val="lt1"/>
            </a:solidFill>
          </a:ln>
          <a:effectLst/>
        </c:spPr>
      </c:pivotFmt>
      <c:pivotFmt>
        <c:idx val="23"/>
        <c:spPr>
          <a:solidFill>
            <a:schemeClr val="accent2"/>
          </a:solidFill>
          <a:ln w="19050">
            <a:solidFill>
              <a:schemeClr val="lt1"/>
            </a:solidFill>
          </a:ln>
          <a:effectLst/>
        </c:spPr>
      </c:pivotFmt>
      <c:pivotFmt>
        <c:idx val="24"/>
        <c:spPr>
          <a:solidFill>
            <a:schemeClr val="accent2"/>
          </a:solidFill>
          <a:ln w="19050">
            <a:solidFill>
              <a:schemeClr val="lt1"/>
            </a:solidFill>
          </a:ln>
          <a:effectLst/>
        </c:spPr>
      </c:pivotFmt>
    </c:pivotFmts>
    <c:plotArea>
      <c:layout/>
      <c:doughnutChart>
        <c:varyColors val="1"/>
        <c:ser>
          <c:idx val="0"/>
          <c:order val="0"/>
          <c:tx>
            <c:strRef>
              <c:f>DashBoard!$H$54</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BB5-4627-863C-690D7692552D}"/>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BB5-4627-863C-690D7692552D}"/>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0BB5-4627-863C-690D7692552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DashBoard!$G$55:$G$58</c:f>
              <c:strCache>
                <c:ptCount val="3"/>
                <c:pt idx="0">
                  <c:v>400-450</c:v>
                </c:pt>
                <c:pt idx="1">
                  <c:v>450-500</c:v>
                </c:pt>
                <c:pt idx="2">
                  <c:v>Above 500</c:v>
                </c:pt>
              </c:strCache>
            </c:strRef>
          </c:cat>
          <c:val>
            <c:numRef>
              <c:f>DashBoard!$H$55:$H$58</c:f>
              <c:numCache>
                <c:formatCode>General</c:formatCode>
                <c:ptCount val="3"/>
                <c:pt idx="0">
                  <c:v>181672</c:v>
                </c:pt>
                <c:pt idx="1">
                  <c:v>233751</c:v>
                </c:pt>
                <c:pt idx="2">
                  <c:v>112697</c:v>
                </c:pt>
              </c:numCache>
            </c:numRef>
          </c:val>
          <c:extLst>
            <c:ext xmlns:c16="http://schemas.microsoft.com/office/drawing/2014/chart" uri="{C3380CC4-5D6E-409C-BE32-E72D297353CC}">
              <c16:uniqueId val="{00000006-0BB5-4627-863C-690D7692552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practice3.xlsm]Sheet7!PivotTable6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Sheet7!$B$1</c:f>
              <c:strCache>
                <c:ptCount val="1"/>
                <c:pt idx="0">
                  <c:v>Total</c:v>
                </c:pt>
              </c:strCache>
            </c:strRef>
          </c:tx>
          <c:spPr>
            <a:solidFill>
              <a:schemeClr val="accent1"/>
            </a:solidFill>
            <a:ln>
              <a:noFill/>
            </a:ln>
            <a:effectLst/>
          </c:spPr>
          <c:invertIfNegative val="0"/>
          <c:cat>
            <c:strRef>
              <c:f>Sheet7!$A$2:$A$5</c:f>
              <c:strCache>
                <c:ptCount val="3"/>
                <c:pt idx="0">
                  <c:v>400-450</c:v>
                </c:pt>
                <c:pt idx="1">
                  <c:v>450-500</c:v>
                </c:pt>
                <c:pt idx="2">
                  <c:v>Above 500</c:v>
                </c:pt>
              </c:strCache>
            </c:strRef>
          </c:cat>
          <c:val>
            <c:numRef>
              <c:f>Sheet7!$B$2:$B$5</c:f>
              <c:numCache>
                <c:formatCode>General</c:formatCode>
                <c:ptCount val="3"/>
                <c:pt idx="0">
                  <c:v>181672</c:v>
                </c:pt>
                <c:pt idx="1">
                  <c:v>233751</c:v>
                </c:pt>
                <c:pt idx="2">
                  <c:v>112697</c:v>
                </c:pt>
              </c:numCache>
            </c:numRef>
          </c:val>
          <c:extLst>
            <c:ext xmlns:c16="http://schemas.microsoft.com/office/drawing/2014/chart" uri="{C3380CC4-5D6E-409C-BE32-E72D297353CC}">
              <c16:uniqueId val="{00000000-0979-4DA5-A169-FD4E781AF116}"/>
            </c:ext>
          </c:extLst>
        </c:ser>
        <c:dLbls>
          <c:showLegendKey val="0"/>
          <c:showVal val="0"/>
          <c:showCatName val="0"/>
          <c:showSerName val="0"/>
          <c:showPercent val="0"/>
          <c:showBubbleSize val="0"/>
        </c:dLbls>
        <c:gapWidth val="219"/>
        <c:overlap val="-27"/>
        <c:axId val="1092405103"/>
        <c:axId val="1092408943"/>
      </c:barChart>
      <c:catAx>
        <c:axId val="109240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408943"/>
        <c:crosses val="autoZero"/>
        <c:auto val="1"/>
        <c:lblAlgn val="ctr"/>
        <c:lblOffset val="100"/>
        <c:noMultiLvlLbl val="0"/>
      </c:catAx>
      <c:valAx>
        <c:axId val="1092408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405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952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0 Line Fit  Plot</a:t>
            </a:r>
          </a:p>
        </c:rich>
      </c:tx>
      <c:overlay val="0"/>
    </c:title>
    <c:autoTitleDeleted val="0"/>
    <c:plotArea>
      <c:layout/>
      <c:scatterChart>
        <c:scatterStyle val="lineMarker"/>
        <c:varyColors val="0"/>
        <c:ser>
          <c:idx val="0"/>
          <c:order val="0"/>
          <c:spPr>
            <a:ln w="28575">
              <a:noFill/>
            </a:ln>
          </c:spPr>
          <c:xVal>
            <c:numRef>
              <c:f>ANOVA1!$F$110</c:f>
              <c:numCache>
                <c:formatCode>General</c:formatCode>
                <c:ptCount val="1"/>
                <c:pt idx="0">
                  <c:v>80</c:v>
                </c:pt>
              </c:numCache>
            </c:numRef>
          </c:xVal>
          <c:yVal>
            <c:numRef>
              <c:f>ANOVA1!$F$109:$G$109</c:f>
              <c:numCache>
                <c:formatCode>General</c:formatCode>
                <c:ptCount val="2"/>
                <c:pt idx="0">
                  <c:v>90</c:v>
                </c:pt>
                <c:pt idx="1">
                  <c:v>100</c:v>
                </c:pt>
              </c:numCache>
            </c:numRef>
          </c:yVal>
          <c:smooth val="0"/>
          <c:extLst>
            <c:ext xmlns:c16="http://schemas.microsoft.com/office/drawing/2014/chart" uri="{C3380CC4-5D6E-409C-BE32-E72D297353CC}">
              <c16:uniqueId val="{00000002-551D-446F-B848-18555E1AFD63}"/>
            </c:ext>
          </c:extLst>
        </c:ser>
        <c:ser>
          <c:idx val="1"/>
          <c:order val="1"/>
          <c:tx>
            <c:v>Predicted 1</c:v>
          </c:tx>
          <c:spPr>
            <a:ln w="28575">
              <a:noFill/>
            </a:ln>
          </c:spPr>
          <c:xVal>
            <c:numRef>
              <c:f>ANOVA1!$F$110</c:f>
              <c:numCache>
                <c:formatCode>General</c:formatCode>
                <c:ptCount val="1"/>
                <c:pt idx="0">
                  <c:v>80</c:v>
                </c:pt>
              </c:numCache>
            </c:numRef>
          </c:xVal>
          <c:yVal>
            <c:numRef>
              <c:f>ANOVA1!$F$140</c:f>
              <c:numCache>
                <c:formatCode>General</c:formatCode>
                <c:ptCount val="1"/>
                <c:pt idx="0">
                  <c:v>107.15335619794222</c:v>
                </c:pt>
              </c:numCache>
            </c:numRef>
          </c:yVal>
          <c:smooth val="0"/>
          <c:extLst>
            <c:ext xmlns:c16="http://schemas.microsoft.com/office/drawing/2014/chart" uri="{C3380CC4-5D6E-409C-BE32-E72D297353CC}">
              <c16:uniqueId val="{00000003-551D-446F-B848-18555E1AFD63}"/>
            </c:ext>
          </c:extLst>
        </c:ser>
        <c:dLbls>
          <c:showLegendKey val="0"/>
          <c:showVal val="0"/>
          <c:showCatName val="0"/>
          <c:showSerName val="0"/>
          <c:showPercent val="0"/>
          <c:showBubbleSize val="0"/>
        </c:dLbls>
        <c:axId val="400572703"/>
        <c:axId val="400567423"/>
      </c:scatterChart>
      <c:valAx>
        <c:axId val="400572703"/>
        <c:scaling>
          <c:orientation val="minMax"/>
        </c:scaling>
        <c:delete val="0"/>
        <c:axPos val="b"/>
        <c:title>
          <c:tx>
            <c:rich>
              <a:bodyPr/>
              <a:lstStyle/>
              <a:p>
                <a:pPr>
                  <a:defRPr/>
                </a:pPr>
                <a:r>
                  <a:rPr lang="en-IN"/>
                  <a:t>0</a:t>
                </a:r>
              </a:p>
            </c:rich>
          </c:tx>
          <c:overlay val="0"/>
        </c:title>
        <c:numFmt formatCode="General" sourceLinked="1"/>
        <c:majorTickMark val="out"/>
        <c:minorTickMark val="none"/>
        <c:tickLblPos val="nextTo"/>
        <c:crossAx val="400567423"/>
        <c:crosses val="autoZero"/>
        <c:crossBetween val="midCat"/>
      </c:valAx>
      <c:valAx>
        <c:axId val="400567423"/>
        <c:scaling>
          <c:orientation val="minMax"/>
        </c:scaling>
        <c:delete val="0"/>
        <c:axPos val="l"/>
        <c:title>
          <c:tx>
            <c:rich>
              <a:bodyPr/>
              <a:lstStyle/>
              <a:p>
                <a:pPr>
                  <a:defRPr/>
                </a:pPr>
                <a:r>
                  <a:rPr lang="en-IN"/>
                  <a:t>1</a:t>
                </a:r>
              </a:p>
            </c:rich>
          </c:tx>
          <c:overlay val="0"/>
        </c:title>
        <c:numFmt formatCode="General" sourceLinked="1"/>
        <c:majorTickMark val="out"/>
        <c:minorTickMark val="none"/>
        <c:tickLblPos val="nextTo"/>
        <c:crossAx val="400572703"/>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80 Line Fit  Plot</a:t>
            </a:r>
          </a:p>
        </c:rich>
      </c:tx>
      <c:overlay val="0"/>
    </c:title>
    <c:autoTitleDeleted val="0"/>
    <c:plotArea>
      <c:layout/>
      <c:scatterChart>
        <c:scatterStyle val="lineMarker"/>
        <c:varyColors val="0"/>
        <c:ser>
          <c:idx val="0"/>
          <c:order val="0"/>
          <c:spPr>
            <a:ln w="28575">
              <a:noFill/>
            </a:ln>
          </c:spPr>
          <c:xVal>
            <c:numRef>
              <c:f>ANOVA1!$G$110</c:f>
              <c:numCache>
                <c:formatCode>General</c:formatCode>
                <c:ptCount val="1"/>
                <c:pt idx="0">
                  <c:v>900</c:v>
                </c:pt>
              </c:numCache>
            </c:numRef>
          </c:xVal>
          <c:yVal>
            <c:numRef>
              <c:f>ANOVA1!$F$109:$G$109</c:f>
              <c:numCache>
                <c:formatCode>General</c:formatCode>
                <c:ptCount val="2"/>
                <c:pt idx="0">
                  <c:v>90</c:v>
                </c:pt>
                <c:pt idx="1">
                  <c:v>100</c:v>
                </c:pt>
              </c:numCache>
            </c:numRef>
          </c:yVal>
          <c:smooth val="0"/>
          <c:extLst>
            <c:ext xmlns:c16="http://schemas.microsoft.com/office/drawing/2014/chart" uri="{C3380CC4-5D6E-409C-BE32-E72D297353CC}">
              <c16:uniqueId val="{00000002-37F8-4ADF-A460-4D7F89BD7001}"/>
            </c:ext>
          </c:extLst>
        </c:ser>
        <c:ser>
          <c:idx val="1"/>
          <c:order val="1"/>
          <c:tx>
            <c:v>Predicted 1</c:v>
          </c:tx>
          <c:spPr>
            <a:ln w="28575">
              <a:noFill/>
            </a:ln>
          </c:spPr>
          <c:xVal>
            <c:numRef>
              <c:f>ANOVA1!$G$110</c:f>
              <c:numCache>
                <c:formatCode>General</c:formatCode>
                <c:ptCount val="1"/>
                <c:pt idx="0">
                  <c:v>900</c:v>
                </c:pt>
              </c:numCache>
            </c:numRef>
          </c:xVal>
          <c:yVal>
            <c:numRef>
              <c:f>ANOVA1!$F$140</c:f>
              <c:numCache>
                <c:formatCode>General</c:formatCode>
                <c:ptCount val="1"/>
                <c:pt idx="0">
                  <c:v>107.15335619794222</c:v>
                </c:pt>
              </c:numCache>
            </c:numRef>
          </c:yVal>
          <c:smooth val="0"/>
          <c:extLst>
            <c:ext xmlns:c16="http://schemas.microsoft.com/office/drawing/2014/chart" uri="{C3380CC4-5D6E-409C-BE32-E72D297353CC}">
              <c16:uniqueId val="{00000003-37F8-4ADF-A460-4D7F89BD7001}"/>
            </c:ext>
          </c:extLst>
        </c:ser>
        <c:dLbls>
          <c:showLegendKey val="0"/>
          <c:showVal val="0"/>
          <c:showCatName val="0"/>
          <c:showSerName val="0"/>
          <c:showPercent val="0"/>
          <c:showBubbleSize val="0"/>
        </c:dLbls>
        <c:axId val="400565023"/>
        <c:axId val="400565503"/>
      </c:scatterChart>
      <c:valAx>
        <c:axId val="400565023"/>
        <c:scaling>
          <c:orientation val="minMax"/>
        </c:scaling>
        <c:delete val="0"/>
        <c:axPos val="b"/>
        <c:title>
          <c:tx>
            <c:rich>
              <a:bodyPr/>
              <a:lstStyle/>
              <a:p>
                <a:pPr>
                  <a:defRPr/>
                </a:pPr>
                <a:r>
                  <a:rPr lang="en-IN"/>
                  <a:t>80</a:t>
                </a:r>
              </a:p>
            </c:rich>
          </c:tx>
          <c:overlay val="0"/>
        </c:title>
        <c:numFmt formatCode="General" sourceLinked="1"/>
        <c:majorTickMark val="out"/>
        <c:minorTickMark val="none"/>
        <c:tickLblPos val="nextTo"/>
        <c:crossAx val="400565503"/>
        <c:crosses val="autoZero"/>
        <c:crossBetween val="midCat"/>
      </c:valAx>
      <c:valAx>
        <c:axId val="400565503"/>
        <c:scaling>
          <c:orientation val="minMax"/>
        </c:scaling>
        <c:delete val="0"/>
        <c:axPos val="l"/>
        <c:title>
          <c:tx>
            <c:rich>
              <a:bodyPr/>
              <a:lstStyle/>
              <a:p>
                <a:pPr>
                  <a:defRPr/>
                </a:pPr>
                <a:r>
                  <a:rPr lang="en-IN"/>
                  <a:t>1</a:t>
                </a:r>
              </a:p>
            </c:rich>
          </c:tx>
          <c:overlay val="0"/>
        </c:title>
        <c:numFmt formatCode="General" sourceLinked="1"/>
        <c:majorTickMark val="out"/>
        <c:minorTickMark val="none"/>
        <c:tickLblPos val="nextTo"/>
        <c:crossAx val="400565023"/>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95078740157478"/>
          <c:y val="0.10524522669960371"/>
          <c:w val="0.83661171259842515"/>
          <c:h val="0.76369821419381401"/>
        </c:manualLayout>
      </c:layout>
      <c:scatterChart>
        <c:scatterStyle val="lineMarker"/>
        <c:varyColors val="0"/>
        <c:ser>
          <c:idx val="0"/>
          <c:order val="0"/>
          <c:spPr>
            <a:ln w="28575">
              <a:noFill/>
            </a:ln>
          </c:spPr>
          <c:xVal>
            <c:numRef>
              <c:f>ANOVA1!$I$140</c:f>
              <c:numCache>
                <c:formatCode>General</c:formatCode>
                <c:ptCount val="1"/>
                <c:pt idx="0">
                  <c:v>50</c:v>
                </c:pt>
              </c:numCache>
            </c:numRef>
          </c:xVal>
          <c:yVal>
            <c:numRef>
              <c:f>ANOVA1!$J$140</c:f>
              <c:numCache>
                <c:formatCode>General</c:formatCode>
                <c:ptCount val="1"/>
                <c:pt idx="0">
                  <c:v>90</c:v>
                </c:pt>
              </c:numCache>
            </c:numRef>
          </c:yVal>
          <c:smooth val="0"/>
          <c:extLst>
            <c:ext xmlns:c16="http://schemas.microsoft.com/office/drawing/2014/chart" uri="{C3380CC4-5D6E-409C-BE32-E72D297353CC}">
              <c16:uniqueId val="{00000002-A6F1-48B8-B23F-ACA500AF1E1B}"/>
            </c:ext>
          </c:extLst>
        </c:ser>
        <c:dLbls>
          <c:showLegendKey val="0"/>
          <c:showVal val="0"/>
          <c:showCatName val="0"/>
          <c:showSerName val="0"/>
          <c:showPercent val="0"/>
          <c:showBubbleSize val="0"/>
        </c:dLbls>
        <c:axId val="400570303"/>
        <c:axId val="400574143"/>
      </c:scatterChart>
      <c:valAx>
        <c:axId val="400570303"/>
        <c:scaling>
          <c:orientation val="minMax"/>
        </c:scaling>
        <c:delete val="0"/>
        <c:axPos val="b"/>
        <c:numFmt formatCode="General" sourceLinked="1"/>
        <c:majorTickMark val="out"/>
        <c:minorTickMark val="none"/>
        <c:tickLblPos val="nextTo"/>
        <c:crossAx val="400574143"/>
        <c:crosses val="autoZero"/>
        <c:crossBetween val="midCat"/>
      </c:valAx>
      <c:valAx>
        <c:axId val="400574143"/>
        <c:scaling>
          <c:orientation val="minMax"/>
        </c:scaling>
        <c:delete val="0"/>
        <c:axPos val="l"/>
        <c:numFmt formatCode="General" sourceLinked="1"/>
        <c:majorTickMark val="out"/>
        <c:minorTickMark val="none"/>
        <c:tickLblPos val="nextTo"/>
        <c:crossAx val="400570303"/>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image" Target="../media/image3.png"/><Relationship Id="rId7" Type="http://schemas.openxmlformats.org/officeDocument/2006/relationships/image" Target="../media/image5.png"/><Relationship Id="rId2" Type="http://schemas.openxmlformats.org/officeDocument/2006/relationships/hyperlink" Target="https://kryptera.se/google-valjer-nu-https-som-standard/" TargetMode="External"/><Relationship Id="rId1" Type="http://schemas.openxmlformats.org/officeDocument/2006/relationships/image" Target="../media/image2.png"/><Relationship Id="rId6" Type="http://schemas.openxmlformats.org/officeDocument/2006/relationships/hyperlink" Target="https://bearbones.miraheze.org/wiki/Netflix" TargetMode="External"/><Relationship Id="rId5" Type="http://schemas.openxmlformats.org/officeDocument/2006/relationships/image" Target="../media/image4.png"/><Relationship Id="rId10" Type="http://schemas.openxmlformats.org/officeDocument/2006/relationships/chart" Target="../charts/chart24.xml"/><Relationship Id="rId4" Type="http://schemas.openxmlformats.org/officeDocument/2006/relationships/hyperlink" Target="https://fr.wikipedia.org/wiki/Amazon" TargetMode="External"/><Relationship Id="rId9"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0</xdr:rowOff>
    </xdr:from>
    <xdr:to>
      <xdr:col>6</xdr:col>
      <xdr:colOff>285750</xdr:colOff>
      <xdr:row>13</xdr:row>
      <xdr:rowOff>9525</xdr:rowOff>
    </xdr:to>
    <xdr:graphicFrame macro="">
      <xdr:nvGraphicFramePr>
        <xdr:cNvPr id="2" name="Chart 1">
          <a:extLst>
            <a:ext uri="{FF2B5EF4-FFF2-40B4-BE49-F238E27FC236}">
              <a16:creationId xmlns:a16="http://schemas.microsoft.com/office/drawing/2014/main" id="{EECA4B05-5C35-73ED-8EAC-A923D9EBC7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13</xdr:row>
      <xdr:rowOff>9524</xdr:rowOff>
    </xdr:from>
    <xdr:to>
      <xdr:col>6</xdr:col>
      <xdr:colOff>295276</xdr:colOff>
      <xdr:row>27</xdr:row>
      <xdr:rowOff>2571</xdr:rowOff>
    </xdr:to>
    <xdr:graphicFrame macro="">
      <xdr:nvGraphicFramePr>
        <xdr:cNvPr id="3" name="Chart 2">
          <a:extLst>
            <a:ext uri="{FF2B5EF4-FFF2-40B4-BE49-F238E27FC236}">
              <a16:creationId xmlns:a16="http://schemas.microsoft.com/office/drawing/2014/main" id="{70D02321-4037-4D32-8A17-8A8D03CFC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609599</xdr:colOff>
      <xdr:row>0</xdr:row>
      <xdr:rowOff>1</xdr:rowOff>
    </xdr:from>
    <xdr:to>
      <xdr:col>15</xdr:col>
      <xdr:colOff>504825</xdr:colOff>
      <xdr:row>13</xdr:row>
      <xdr:rowOff>0</xdr:rowOff>
    </xdr:to>
    <xdr:graphicFrame macro="">
      <xdr:nvGraphicFramePr>
        <xdr:cNvPr id="5" name="Chart 4">
          <a:extLst>
            <a:ext uri="{FF2B5EF4-FFF2-40B4-BE49-F238E27FC236}">
              <a16:creationId xmlns:a16="http://schemas.microsoft.com/office/drawing/2014/main" id="{611EC92B-A6C5-4571-82AF-288980697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13</xdr:row>
      <xdr:rowOff>0</xdr:rowOff>
    </xdr:from>
    <xdr:to>
      <xdr:col>15</xdr:col>
      <xdr:colOff>514350</xdr:colOff>
      <xdr:row>27</xdr:row>
      <xdr:rowOff>0</xdr:rowOff>
    </xdr:to>
    <xdr:graphicFrame macro="">
      <xdr:nvGraphicFramePr>
        <xdr:cNvPr id="8" name="Chart 7">
          <a:extLst>
            <a:ext uri="{FF2B5EF4-FFF2-40B4-BE49-F238E27FC236}">
              <a16:creationId xmlns:a16="http://schemas.microsoft.com/office/drawing/2014/main" id="{28225C07-663C-4196-98B2-F928C89D6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0</xdr:row>
      <xdr:rowOff>0</xdr:rowOff>
    </xdr:from>
    <xdr:to>
      <xdr:col>21</xdr:col>
      <xdr:colOff>342900</xdr:colOff>
      <xdr:row>15</xdr:row>
      <xdr:rowOff>47625</xdr:rowOff>
    </xdr:to>
    <xdr:graphicFrame macro="">
      <xdr:nvGraphicFramePr>
        <xdr:cNvPr id="10" name="Chart 9">
          <a:extLst>
            <a:ext uri="{FF2B5EF4-FFF2-40B4-BE49-F238E27FC236}">
              <a16:creationId xmlns:a16="http://schemas.microsoft.com/office/drawing/2014/main" id="{0A1BD2EA-5E4C-4617-9490-CF8CB58FE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371475</xdr:colOff>
      <xdr:row>0</xdr:row>
      <xdr:rowOff>100012</xdr:rowOff>
    </xdr:from>
    <xdr:to>
      <xdr:col>11</xdr:col>
      <xdr:colOff>66675</xdr:colOff>
      <xdr:row>14</xdr:row>
      <xdr:rowOff>176212</xdr:rowOff>
    </xdr:to>
    <xdr:graphicFrame macro="">
      <xdr:nvGraphicFramePr>
        <xdr:cNvPr id="2" name="Chart 1">
          <a:extLst>
            <a:ext uri="{FF2B5EF4-FFF2-40B4-BE49-F238E27FC236}">
              <a16:creationId xmlns:a16="http://schemas.microsoft.com/office/drawing/2014/main" id="{2C99BA1C-2962-A92E-328F-CA41DB614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85725</xdr:colOff>
      <xdr:row>0</xdr:row>
      <xdr:rowOff>80962</xdr:rowOff>
    </xdr:from>
    <xdr:to>
      <xdr:col>18</xdr:col>
      <xdr:colOff>390525</xdr:colOff>
      <xdr:row>14</xdr:row>
      <xdr:rowOff>157162</xdr:rowOff>
    </xdr:to>
    <xdr:graphicFrame macro="">
      <xdr:nvGraphicFramePr>
        <xdr:cNvPr id="3" name="Chart 2">
          <a:extLst>
            <a:ext uri="{FF2B5EF4-FFF2-40B4-BE49-F238E27FC236}">
              <a16:creationId xmlns:a16="http://schemas.microsoft.com/office/drawing/2014/main" id="{1C87A93F-E19E-3D80-5297-32A0DA609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85725</xdr:colOff>
      <xdr:row>25</xdr:row>
      <xdr:rowOff>138112</xdr:rowOff>
    </xdr:from>
    <xdr:to>
      <xdr:col>17</xdr:col>
      <xdr:colOff>390525</xdr:colOff>
      <xdr:row>40</xdr:row>
      <xdr:rowOff>23812</xdr:rowOff>
    </xdr:to>
    <xdr:graphicFrame macro="">
      <xdr:nvGraphicFramePr>
        <xdr:cNvPr id="2" name="Chart 1">
          <a:extLst>
            <a:ext uri="{FF2B5EF4-FFF2-40B4-BE49-F238E27FC236}">
              <a16:creationId xmlns:a16="http://schemas.microsoft.com/office/drawing/2014/main" id="{15B2F927-7E07-DD05-3E79-79B00BE17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0</xdr:colOff>
      <xdr:row>8</xdr:row>
      <xdr:rowOff>0</xdr:rowOff>
    </xdr:from>
    <xdr:to>
      <xdr:col>31</xdr:col>
      <xdr:colOff>304800</xdr:colOff>
      <xdr:row>22</xdr:row>
      <xdr:rowOff>76200</xdr:rowOff>
    </xdr:to>
    <xdr:graphicFrame macro="">
      <xdr:nvGraphicFramePr>
        <xdr:cNvPr id="3" name="Chart 2">
          <a:extLst>
            <a:ext uri="{FF2B5EF4-FFF2-40B4-BE49-F238E27FC236}">
              <a16:creationId xmlns:a16="http://schemas.microsoft.com/office/drawing/2014/main" id="{344E7109-EE48-4259-AB02-0BFBFC14B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461962</xdr:colOff>
      <xdr:row>3</xdr:row>
      <xdr:rowOff>147637</xdr:rowOff>
    </xdr:from>
    <xdr:to>
      <xdr:col>14</xdr:col>
      <xdr:colOff>157162</xdr:colOff>
      <xdr:row>18</xdr:row>
      <xdr:rowOff>33337</xdr:rowOff>
    </xdr:to>
    <xdr:graphicFrame macro="">
      <xdr:nvGraphicFramePr>
        <xdr:cNvPr id="4" name="Chart 3">
          <a:extLst>
            <a:ext uri="{FF2B5EF4-FFF2-40B4-BE49-F238E27FC236}">
              <a16:creationId xmlns:a16="http://schemas.microsoft.com/office/drawing/2014/main" id="{915CF5BC-8EFB-4E0F-708B-2F84E27D7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314325</xdr:colOff>
      <xdr:row>8</xdr:row>
      <xdr:rowOff>0</xdr:rowOff>
    </xdr:from>
    <xdr:to>
      <xdr:col>38</xdr:col>
      <xdr:colOff>190500</xdr:colOff>
      <xdr:row>22</xdr:row>
      <xdr:rowOff>76200</xdr:rowOff>
    </xdr:to>
    <xdr:graphicFrame macro="">
      <xdr:nvGraphicFramePr>
        <xdr:cNvPr id="5" name="Chart 4">
          <a:extLst>
            <a:ext uri="{FF2B5EF4-FFF2-40B4-BE49-F238E27FC236}">
              <a16:creationId xmlns:a16="http://schemas.microsoft.com/office/drawing/2014/main" id="{09B18DC9-0A84-4262-B8BF-112B95629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600075</xdr:colOff>
      <xdr:row>22</xdr:row>
      <xdr:rowOff>95250</xdr:rowOff>
    </xdr:from>
    <xdr:to>
      <xdr:col>31</xdr:col>
      <xdr:colOff>314325</xdr:colOff>
      <xdr:row>35</xdr:row>
      <xdr:rowOff>152400</xdr:rowOff>
    </xdr:to>
    <xdr:graphicFrame macro="">
      <xdr:nvGraphicFramePr>
        <xdr:cNvPr id="7" name="Chart 6">
          <a:extLst>
            <a:ext uri="{FF2B5EF4-FFF2-40B4-BE49-F238E27FC236}">
              <a16:creationId xmlns:a16="http://schemas.microsoft.com/office/drawing/2014/main" id="{1DA0A7DA-A75B-4C18-9A1C-C18EDC61FD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333375</xdr:colOff>
      <xdr:row>22</xdr:row>
      <xdr:rowOff>95250</xdr:rowOff>
    </xdr:from>
    <xdr:to>
      <xdr:col>38</xdr:col>
      <xdr:colOff>200025</xdr:colOff>
      <xdr:row>35</xdr:row>
      <xdr:rowOff>161925</xdr:rowOff>
    </xdr:to>
    <xdr:graphicFrame macro="">
      <xdr:nvGraphicFramePr>
        <xdr:cNvPr id="9" name="Chart 8">
          <a:extLst>
            <a:ext uri="{FF2B5EF4-FFF2-40B4-BE49-F238E27FC236}">
              <a16:creationId xmlns:a16="http://schemas.microsoft.com/office/drawing/2014/main" id="{DF01B49C-64EE-4E0B-B7D3-0CA738876A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95250</xdr:colOff>
      <xdr:row>5</xdr:row>
      <xdr:rowOff>38100</xdr:rowOff>
    </xdr:from>
    <xdr:to>
      <xdr:col>16</xdr:col>
      <xdr:colOff>588308</xdr:colOff>
      <xdr:row>18</xdr:row>
      <xdr:rowOff>85725</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7A58E340-7661-F502-01FE-B0E9BBDBF1E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278721" y="990600"/>
              <a:ext cx="1815353"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1314450</xdr:colOff>
      <xdr:row>50</xdr:row>
      <xdr:rowOff>52387</xdr:rowOff>
    </xdr:from>
    <xdr:to>
      <xdr:col>10</xdr:col>
      <xdr:colOff>381000</xdr:colOff>
      <xdr:row>64</xdr:row>
      <xdr:rowOff>128587</xdr:rowOff>
    </xdr:to>
    <xdr:graphicFrame macro="">
      <xdr:nvGraphicFramePr>
        <xdr:cNvPr id="10" name="Chart 9">
          <a:extLst>
            <a:ext uri="{FF2B5EF4-FFF2-40B4-BE49-F238E27FC236}">
              <a16:creationId xmlns:a16="http://schemas.microsoft.com/office/drawing/2014/main" id="{B6BB8BE6-F994-4EF4-E3BF-A45F29922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209551</xdr:colOff>
      <xdr:row>22</xdr:row>
      <xdr:rowOff>114299</xdr:rowOff>
    </xdr:from>
    <xdr:to>
      <xdr:col>43</xdr:col>
      <xdr:colOff>600075</xdr:colOff>
      <xdr:row>35</xdr:row>
      <xdr:rowOff>161924</xdr:rowOff>
    </xdr:to>
    <xdr:graphicFrame macro="">
      <xdr:nvGraphicFramePr>
        <xdr:cNvPr id="11" name="Chart 10">
          <a:extLst>
            <a:ext uri="{FF2B5EF4-FFF2-40B4-BE49-F238E27FC236}">
              <a16:creationId xmlns:a16="http://schemas.microsoft.com/office/drawing/2014/main" id="{EE201A37-F631-4512-9817-ADF0E3100F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56</xdr:col>
      <xdr:colOff>342900</xdr:colOff>
      <xdr:row>5</xdr:row>
      <xdr:rowOff>85725</xdr:rowOff>
    </xdr:from>
    <xdr:to>
      <xdr:col>63</xdr:col>
      <xdr:colOff>285750</xdr:colOff>
      <xdr:row>20</xdr:row>
      <xdr:rowOff>171450</xdr:rowOff>
    </xdr:to>
    <xdr:sp macro="" textlink="">
      <xdr:nvSpPr>
        <xdr:cNvPr id="13" name="Rectangle: Rounded Corners 12">
          <a:extLst>
            <a:ext uri="{FF2B5EF4-FFF2-40B4-BE49-F238E27FC236}">
              <a16:creationId xmlns:a16="http://schemas.microsoft.com/office/drawing/2014/main" id="{2FCCC5E5-047A-7158-3A7D-7043322A922E}"/>
            </a:ext>
          </a:extLst>
        </xdr:cNvPr>
        <xdr:cNvSpPr/>
      </xdr:nvSpPr>
      <xdr:spPr>
        <a:xfrm>
          <a:off x="36547425" y="1038225"/>
          <a:ext cx="4210050" cy="29432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49</xdr:col>
      <xdr:colOff>47625</xdr:colOff>
      <xdr:row>21</xdr:row>
      <xdr:rowOff>171450</xdr:rowOff>
    </xdr:from>
    <xdr:to>
      <xdr:col>56</xdr:col>
      <xdr:colOff>161925</xdr:colOff>
      <xdr:row>37</xdr:row>
      <xdr:rowOff>152400</xdr:rowOff>
    </xdr:to>
    <xdr:sp macro="" textlink="">
      <xdr:nvSpPr>
        <xdr:cNvPr id="14" name="Rectangle: Rounded Corners 13">
          <a:extLst>
            <a:ext uri="{FF2B5EF4-FFF2-40B4-BE49-F238E27FC236}">
              <a16:creationId xmlns:a16="http://schemas.microsoft.com/office/drawing/2014/main" id="{89D4512E-8EC8-470C-BA09-D6562221579C}"/>
            </a:ext>
          </a:extLst>
        </xdr:cNvPr>
        <xdr:cNvSpPr/>
      </xdr:nvSpPr>
      <xdr:spPr>
        <a:xfrm>
          <a:off x="31984950" y="4171950"/>
          <a:ext cx="4381500" cy="30289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49</xdr:col>
      <xdr:colOff>47626</xdr:colOff>
      <xdr:row>5</xdr:row>
      <xdr:rowOff>152400</xdr:rowOff>
    </xdr:from>
    <xdr:to>
      <xdr:col>56</xdr:col>
      <xdr:colOff>133350</xdr:colOff>
      <xdr:row>20</xdr:row>
      <xdr:rowOff>161925</xdr:rowOff>
    </xdr:to>
    <xdr:sp macro="" textlink="">
      <xdr:nvSpPr>
        <xdr:cNvPr id="15" name="Rectangle: Rounded Corners 14">
          <a:extLst>
            <a:ext uri="{FF2B5EF4-FFF2-40B4-BE49-F238E27FC236}">
              <a16:creationId xmlns:a16="http://schemas.microsoft.com/office/drawing/2014/main" id="{787C9225-9708-4922-8110-02A813B76243}"/>
            </a:ext>
          </a:extLst>
        </xdr:cNvPr>
        <xdr:cNvSpPr/>
      </xdr:nvSpPr>
      <xdr:spPr>
        <a:xfrm>
          <a:off x="31984951" y="1104900"/>
          <a:ext cx="4352924" cy="28670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56</xdr:col>
      <xdr:colOff>352425</xdr:colOff>
      <xdr:row>21</xdr:row>
      <xdr:rowOff>161925</xdr:rowOff>
    </xdr:from>
    <xdr:to>
      <xdr:col>63</xdr:col>
      <xdr:colOff>352425</xdr:colOff>
      <xdr:row>38</xdr:row>
      <xdr:rowOff>0</xdr:rowOff>
    </xdr:to>
    <xdr:sp macro="" textlink="">
      <xdr:nvSpPr>
        <xdr:cNvPr id="16" name="Rectangle: Rounded Corners 15">
          <a:extLst>
            <a:ext uri="{FF2B5EF4-FFF2-40B4-BE49-F238E27FC236}">
              <a16:creationId xmlns:a16="http://schemas.microsoft.com/office/drawing/2014/main" id="{6420D3E7-16F8-4507-80A1-42A7A61A0C13}"/>
            </a:ext>
          </a:extLst>
        </xdr:cNvPr>
        <xdr:cNvSpPr/>
      </xdr:nvSpPr>
      <xdr:spPr>
        <a:xfrm>
          <a:off x="36334513" y="4162425"/>
          <a:ext cx="4235824" cy="30765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49</xdr:col>
      <xdr:colOff>400049</xdr:colOff>
      <xdr:row>6</xdr:row>
      <xdr:rowOff>85724</xdr:rowOff>
    </xdr:from>
    <xdr:to>
      <xdr:col>55</xdr:col>
      <xdr:colOff>447674</xdr:colOff>
      <xdr:row>20</xdr:row>
      <xdr:rowOff>76199</xdr:rowOff>
    </xdr:to>
    <xdr:graphicFrame macro="">
      <xdr:nvGraphicFramePr>
        <xdr:cNvPr id="17" name="Chart 16">
          <a:extLst>
            <a:ext uri="{FF2B5EF4-FFF2-40B4-BE49-F238E27FC236}">
              <a16:creationId xmlns:a16="http://schemas.microsoft.com/office/drawing/2014/main" id="{673AA181-08B5-4593-B184-81A61D2B2D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49</xdr:col>
      <xdr:colOff>314326</xdr:colOff>
      <xdr:row>22</xdr:row>
      <xdr:rowOff>104775</xdr:rowOff>
    </xdr:from>
    <xdr:to>
      <xdr:col>55</xdr:col>
      <xdr:colOff>495300</xdr:colOff>
      <xdr:row>36</xdr:row>
      <xdr:rowOff>180975</xdr:rowOff>
    </xdr:to>
    <xdr:graphicFrame macro="">
      <xdr:nvGraphicFramePr>
        <xdr:cNvPr id="18" name="Chart 17">
          <a:extLst>
            <a:ext uri="{FF2B5EF4-FFF2-40B4-BE49-F238E27FC236}">
              <a16:creationId xmlns:a16="http://schemas.microsoft.com/office/drawing/2014/main" id="{89A2E040-5C97-4441-A00F-668ADF537B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56</xdr:col>
      <xdr:colOff>485775</xdr:colOff>
      <xdr:row>6</xdr:row>
      <xdr:rowOff>66675</xdr:rowOff>
    </xdr:from>
    <xdr:to>
      <xdr:col>63</xdr:col>
      <xdr:colOff>104775</xdr:colOff>
      <xdr:row>19</xdr:row>
      <xdr:rowOff>171451</xdr:rowOff>
    </xdr:to>
    <xdr:graphicFrame macro="">
      <xdr:nvGraphicFramePr>
        <xdr:cNvPr id="19" name="Chart 18">
          <a:extLst>
            <a:ext uri="{FF2B5EF4-FFF2-40B4-BE49-F238E27FC236}">
              <a16:creationId xmlns:a16="http://schemas.microsoft.com/office/drawing/2014/main" id="{834E6925-6941-4A71-B899-78CA400FEF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57</xdr:col>
      <xdr:colOff>27455</xdr:colOff>
      <xdr:row>22</xdr:row>
      <xdr:rowOff>100853</xdr:rowOff>
    </xdr:from>
    <xdr:to>
      <xdr:col>63</xdr:col>
      <xdr:colOff>33618</xdr:colOff>
      <xdr:row>35</xdr:row>
      <xdr:rowOff>62753</xdr:rowOff>
    </xdr:to>
    <xdr:graphicFrame macro="">
      <xdr:nvGraphicFramePr>
        <xdr:cNvPr id="20" name="Chart 19">
          <a:extLst>
            <a:ext uri="{FF2B5EF4-FFF2-40B4-BE49-F238E27FC236}">
              <a16:creationId xmlns:a16="http://schemas.microsoft.com/office/drawing/2014/main" id="{57E27315-9B97-47C3-B7D1-72C1CF1596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63</xdr:col>
      <xdr:colOff>403413</xdr:colOff>
      <xdr:row>5</xdr:row>
      <xdr:rowOff>22412</xdr:rowOff>
    </xdr:from>
    <xdr:to>
      <xdr:col>69</xdr:col>
      <xdr:colOff>728383</xdr:colOff>
      <xdr:row>21</xdr:row>
      <xdr:rowOff>3362</xdr:rowOff>
    </xdr:to>
    <xdr:sp macro="" textlink="">
      <xdr:nvSpPr>
        <xdr:cNvPr id="22" name="Rectangle: Rounded Corners 21">
          <a:extLst>
            <a:ext uri="{FF2B5EF4-FFF2-40B4-BE49-F238E27FC236}">
              <a16:creationId xmlns:a16="http://schemas.microsoft.com/office/drawing/2014/main" id="{B64B2CE7-35B6-4C20-8BE5-EBF199FE9E94}"/>
            </a:ext>
          </a:extLst>
        </xdr:cNvPr>
        <xdr:cNvSpPr/>
      </xdr:nvSpPr>
      <xdr:spPr>
        <a:xfrm>
          <a:off x="42055678" y="974912"/>
          <a:ext cx="4863352" cy="30289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63</xdr:col>
      <xdr:colOff>549088</xdr:colOff>
      <xdr:row>5</xdr:row>
      <xdr:rowOff>179293</xdr:rowOff>
    </xdr:from>
    <xdr:to>
      <xdr:col>69</xdr:col>
      <xdr:colOff>515471</xdr:colOff>
      <xdr:row>19</xdr:row>
      <xdr:rowOff>159683</xdr:rowOff>
    </xdr:to>
    <xdr:graphicFrame macro="">
      <xdr:nvGraphicFramePr>
        <xdr:cNvPr id="23" name="Chart 22">
          <a:extLst>
            <a:ext uri="{FF2B5EF4-FFF2-40B4-BE49-F238E27FC236}">
              <a16:creationId xmlns:a16="http://schemas.microsoft.com/office/drawing/2014/main" id="{829D8161-1AEF-4C5E-9521-ED34AE285A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64</xdr:col>
      <xdr:colOff>0</xdr:colOff>
      <xdr:row>29</xdr:row>
      <xdr:rowOff>112058</xdr:rowOff>
    </xdr:from>
    <xdr:to>
      <xdr:col>66</xdr:col>
      <xdr:colOff>78441</xdr:colOff>
      <xdr:row>38</xdr:row>
      <xdr:rowOff>0</xdr:rowOff>
    </xdr:to>
    <mc:AlternateContent xmlns:mc="http://schemas.openxmlformats.org/markup-compatibility/2006" xmlns:a14="http://schemas.microsoft.com/office/drawing/2010/main">
      <mc:Choice Requires="a14">
        <xdr:graphicFrame macro="">
          <xdr:nvGraphicFramePr>
            <xdr:cNvPr id="27" name="Category 1">
              <a:extLst>
                <a:ext uri="{FF2B5EF4-FFF2-40B4-BE49-F238E27FC236}">
                  <a16:creationId xmlns:a16="http://schemas.microsoft.com/office/drawing/2014/main" id="{94C3D9A3-B45D-46C5-9316-A1A347FED2C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2257382" y="5636558"/>
              <a:ext cx="1815353" cy="16024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66</xdr:col>
      <xdr:colOff>481853</xdr:colOff>
      <xdr:row>29</xdr:row>
      <xdr:rowOff>56029</xdr:rowOff>
    </xdr:from>
    <xdr:to>
      <xdr:col>69</xdr:col>
      <xdr:colOff>708212</xdr:colOff>
      <xdr:row>37</xdr:row>
      <xdr:rowOff>134469</xdr:rowOff>
    </xdr:to>
    <mc:AlternateContent xmlns:mc="http://schemas.openxmlformats.org/markup-compatibility/2006" xmlns:a14="http://schemas.microsoft.com/office/drawing/2010/main">
      <mc:Choice Requires="a14">
        <xdr:graphicFrame macro="">
          <xdr:nvGraphicFramePr>
            <xdr:cNvPr id="28" name="Region">
              <a:extLst>
                <a:ext uri="{FF2B5EF4-FFF2-40B4-BE49-F238E27FC236}">
                  <a16:creationId xmlns:a16="http://schemas.microsoft.com/office/drawing/2014/main" id="{53EBC6FD-314E-AA9D-8B43-902E7C23EF7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7244000" y="5580529"/>
              <a:ext cx="2120153" cy="1602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49</xdr:col>
      <xdr:colOff>44822</xdr:colOff>
      <xdr:row>0</xdr:row>
      <xdr:rowOff>56029</xdr:rowOff>
    </xdr:from>
    <xdr:to>
      <xdr:col>56</xdr:col>
      <xdr:colOff>78442</xdr:colOff>
      <xdr:row>5</xdr:row>
      <xdr:rowOff>56029</xdr:rowOff>
    </xdr:to>
    <xdr:sp macro="" textlink="">
      <xdr:nvSpPr>
        <xdr:cNvPr id="29" name="Rectangle: Rounded Corners 28">
          <a:extLst>
            <a:ext uri="{FF2B5EF4-FFF2-40B4-BE49-F238E27FC236}">
              <a16:creationId xmlns:a16="http://schemas.microsoft.com/office/drawing/2014/main" id="{0882DE0B-29E7-C53D-B0AA-00325F93103C}"/>
            </a:ext>
          </a:extLst>
        </xdr:cNvPr>
        <xdr:cNvSpPr/>
      </xdr:nvSpPr>
      <xdr:spPr>
        <a:xfrm>
          <a:off x="33550410" y="56029"/>
          <a:ext cx="4269444" cy="9525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50</xdr:col>
      <xdr:colOff>246530</xdr:colOff>
      <xdr:row>1</xdr:row>
      <xdr:rowOff>44824</xdr:rowOff>
    </xdr:from>
    <xdr:to>
      <xdr:col>55</xdr:col>
      <xdr:colOff>493060</xdr:colOff>
      <xdr:row>5</xdr:row>
      <xdr:rowOff>11206</xdr:rowOff>
    </xdr:to>
    <xdr:sp macro="" textlink="">
      <xdr:nvSpPr>
        <xdr:cNvPr id="30" name="TextBox 29">
          <a:extLst>
            <a:ext uri="{FF2B5EF4-FFF2-40B4-BE49-F238E27FC236}">
              <a16:creationId xmlns:a16="http://schemas.microsoft.com/office/drawing/2014/main" id="{D62933AF-EE6A-6C51-A768-EB6C83E85679}"/>
            </a:ext>
          </a:extLst>
        </xdr:cNvPr>
        <xdr:cNvSpPr txBox="1"/>
      </xdr:nvSpPr>
      <xdr:spPr>
        <a:xfrm>
          <a:off x="34357236" y="235324"/>
          <a:ext cx="3272118" cy="728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solidFill>
                <a:schemeClr val="tx1"/>
              </a:solidFill>
            </a:rPr>
            <a:t>Sales Data Analysis</a:t>
          </a:r>
        </a:p>
      </xdr:txBody>
    </xdr:sp>
    <xdr:clientData/>
  </xdr:twoCellAnchor>
  <xdr:twoCellAnchor>
    <xdr:from>
      <xdr:col>60</xdr:col>
      <xdr:colOff>437029</xdr:colOff>
      <xdr:row>0</xdr:row>
      <xdr:rowOff>44822</xdr:rowOff>
    </xdr:from>
    <xdr:to>
      <xdr:col>64</xdr:col>
      <xdr:colOff>112059</xdr:colOff>
      <xdr:row>4</xdr:row>
      <xdr:rowOff>190498</xdr:rowOff>
    </xdr:to>
    <xdr:sp macro="" textlink="">
      <xdr:nvSpPr>
        <xdr:cNvPr id="8" name="Rectangle: Rounded Corners 7">
          <a:extLst>
            <a:ext uri="{FF2B5EF4-FFF2-40B4-BE49-F238E27FC236}">
              <a16:creationId xmlns:a16="http://schemas.microsoft.com/office/drawing/2014/main" id="{675CAEE7-69DD-473C-AFA8-9197B2492EC2}"/>
            </a:ext>
          </a:extLst>
        </xdr:cNvPr>
        <xdr:cNvSpPr/>
      </xdr:nvSpPr>
      <xdr:spPr>
        <a:xfrm>
          <a:off x="41954823" y="44822"/>
          <a:ext cx="2095501" cy="907676"/>
        </a:xfrm>
        <a:prstGeom prst="roundRect">
          <a:avLst/>
        </a:prstGeom>
        <a:solidFill>
          <a:schemeClr val="bg1">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1"/>
              </a:solidFill>
            </a:rPr>
            <a:t>Average Sales</a:t>
          </a:r>
        </a:p>
      </xdr:txBody>
    </xdr:sp>
    <xdr:clientData/>
  </xdr:twoCellAnchor>
  <xdr:twoCellAnchor>
    <xdr:from>
      <xdr:col>64</xdr:col>
      <xdr:colOff>235326</xdr:colOff>
      <xdr:row>0</xdr:row>
      <xdr:rowOff>56027</xdr:rowOff>
    </xdr:from>
    <xdr:to>
      <xdr:col>66</xdr:col>
      <xdr:colOff>291356</xdr:colOff>
      <xdr:row>4</xdr:row>
      <xdr:rowOff>179292</xdr:rowOff>
    </xdr:to>
    <xdr:sp macro="" textlink="">
      <xdr:nvSpPr>
        <xdr:cNvPr id="12" name="Rectangle: Rounded Corners 11">
          <a:extLst>
            <a:ext uri="{FF2B5EF4-FFF2-40B4-BE49-F238E27FC236}">
              <a16:creationId xmlns:a16="http://schemas.microsoft.com/office/drawing/2014/main" id="{6A554378-7047-4469-A50E-BD9E1820C166}"/>
            </a:ext>
          </a:extLst>
        </xdr:cNvPr>
        <xdr:cNvSpPr/>
      </xdr:nvSpPr>
      <xdr:spPr>
        <a:xfrm>
          <a:off x="44173591" y="56027"/>
          <a:ext cx="2095500" cy="885265"/>
        </a:xfrm>
        <a:prstGeom prst="roundRect">
          <a:avLst/>
        </a:prstGeom>
        <a:solidFill>
          <a:schemeClr val="bg1">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1"/>
              </a:solidFill>
            </a:rPr>
            <a:t>Total Quantity Sold</a:t>
          </a:r>
        </a:p>
      </xdr:txBody>
    </xdr:sp>
    <xdr:clientData/>
  </xdr:twoCellAnchor>
  <xdr:twoCellAnchor>
    <xdr:from>
      <xdr:col>66</xdr:col>
      <xdr:colOff>437031</xdr:colOff>
      <xdr:row>0</xdr:row>
      <xdr:rowOff>22411</xdr:rowOff>
    </xdr:from>
    <xdr:to>
      <xdr:col>69</xdr:col>
      <xdr:colOff>638737</xdr:colOff>
      <xdr:row>4</xdr:row>
      <xdr:rowOff>168087</xdr:rowOff>
    </xdr:to>
    <xdr:sp macro="" textlink="">
      <xdr:nvSpPr>
        <xdr:cNvPr id="21" name="Rectangle: Rounded Corners 20">
          <a:extLst>
            <a:ext uri="{FF2B5EF4-FFF2-40B4-BE49-F238E27FC236}">
              <a16:creationId xmlns:a16="http://schemas.microsoft.com/office/drawing/2014/main" id="{7BD1B1EC-7B63-4327-9F00-0AB8099D2275}"/>
            </a:ext>
          </a:extLst>
        </xdr:cNvPr>
        <xdr:cNvSpPr/>
      </xdr:nvSpPr>
      <xdr:spPr>
        <a:xfrm>
          <a:off x="46650090" y="22411"/>
          <a:ext cx="2095500" cy="907676"/>
        </a:xfrm>
        <a:prstGeom prst="roundRect">
          <a:avLst/>
        </a:prstGeom>
        <a:solidFill>
          <a:schemeClr val="bg1">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1"/>
              </a:solidFill>
            </a:rPr>
            <a:t>Average Quantity Sold</a:t>
          </a:r>
        </a:p>
      </xdr:txBody>
    </xdr:sp>
    <xdr:clientData/>
  </xdr:twoCellAnchor>
  <xdr:twoCellAnchor>
    <xdr:from>
      <xdr:col>56</xdr:col>
      <xdr:colOff>537881</xdr:colOff>
      <xdr:row>0</xdr:row>
      <xdr:rowOff>44823</xdr:rowOff>
    </xdr:from>
    <xdr:to>
      <xdr:col>60</xdr:col>
      <xdr:colOff>212912</xdr:colOff>
      <xdr:row>4</xdr:row>
      <xdr:rowOff>190499</xdr:rowOff>
    </xdr:to>
    <xdr:sp macro="" textlink="">
      <xdr:nvSpPr>
        <xdr:cNvPr id="24" name="Rectangle: Rounded Corners 23">
          <a:extLst>
            <a:ext uri="{FF2B5EF4-FFF2-40B4-BE49-F238E27FC236}">
              <a16:creationId xmlns:a16="http://schemas.microsoft.com/office/drawing/2014/main" id="{902D7686-F2D3-4803-ADE0-F631656CF952}"/>
            </a:ext>
          </a:extLst>
        </xdr:cNvPr>
        <xdr:cNvSpPr/>
      </xdr:nvSpPr>
      <xdr:spPr>
        <a:xfrm>
          <a:off x="38279293" y="44823"/>
          <a:ext cx="2095501" cy="907676"/>
        </a:xfrm>
        <a:prstGeom prst="roundRect">
          <a:avLst/>
        </a:prstGeom>
        <a:solidFill>
          <a:schemeClr val="tx1">
            <a:alpha val="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1"/>
              </a:solidFill>
            </a:rPr>
            <a:t>Total</a:t>
          </a:r>
          <a:r>
            <a:rPr lang="en-IN" sz="1200" b="1" baseline="0">
              <a:solidFill>
                <a:schemeClr val="tx1"/>
              </a:solidFill>
            </a:rPr>
            <a:t> Sales</a:t>
          </a:r>
          <a:endParaRPr lang="en-IN" sz="1200" b="1">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xdr:row>
      <xdr:rowOff>0</xdr:rowOff>
    </xdr:from>
    <xdr:to>
      <xdr:col>12</xdr:col>
      <xdr:colOff>15240</xdr:colOff>
      <xdr:row>15</xdr:row>
      <xdr:rowOff>177000</xdr:rowOff>
    </xdr:to>
    <xdr:graphicFrame macro="">
      <xdr:nvGraphicFramePr>
        <xdr:cNvPr id="2" name="Chart 1">
          <a:extLst>
            <a:ext uri="{FF2B5EF4-FFF2-40B4-BE49-F238E27FC236}">
              <a16:creationId xmlns:a16="http://schemas.microsoft.com/office/drawing/2014/main" id="{D3A06B65-ED07-D4A9-B64D-FC7742675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238125</xdr:colOff>
      <xdr:row>60</xdr:row>
      <xdr:rowOff>9525</xdr:rowOff>
    </xdr:from>
    <xdr:to>
      <xdr:col>10</xdr:col>
      <xdr:colOff>1247775</xdr:colOff>
      <xdr:row>63</xdr:row>
      <xdr:rowOff>171450</xdr:rowOff>
    </xdr:to>
    <xdr:sp macro="[0]!uniquesales" textlink="">
      <xdr:nvSpPr>
        <xdr:cNvPr id="3" name="Rectangle 2">
          <a:extLst>
            <a:ext uri="{FF2B5EF4-FFF2-40B4-BE49-F238E27FC236}">
              <a16:creationId xmlns:a16="http://schemas.microsoft.com/office/drawing/2014/main" id="{25230482-1313-8E58-7D48-D4D83178FCDE}"/>
            </a:ext>
          </a:extLst>
        </xdr:cNvPr>
        <xdr:cNvSpPr/>
      </xdr:nvSpPr>
      <xdr:spPr>
        <a:xfrm>
          <a:off x="10677525" y="11439525"/>
          <a:ext cx="1009650" cy="7334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333375</xdr:colOff>
      <xdr:row>38</xdr:row>
      <xdr:rowOff>123825</xdr:rowOff>
    </xdr:from>
    <xdr:to>
      <xdr:col>28</xdr:col>
      <xdr:colOff>9525</xdr:colOff>
      <xdr:row>42</xdr:row>
      <xdr:rowOff>161925</xdr:rowOff>
    </xdr:to>
    <xdr:sp macro="[0]!report" textlink="">
      <xdr:nvSpPr>
        <xdr:cNvPr id="2" name="Rectangle 1">
          <a:extLst>
            <a:ext uri="{FF2B5EF4-FFF2-40B4-BE49-F238E27FC236}">
              <a16:creationId xmlns:a16="http://schemas.microsoft.com/office/drawing/2014/main" id="{9507A01B-478E-3EFC-DDC5-CC9A666591FA}"/>
            </a:ext>
          </a:extLst>
        </xdr:cNvPr>
        <xdr:cNvSpPr/>
      </xdr:nvSpPr>
      <xdr:spPr>
        <a:xfrm>
          <a:off x="17087850" y="8172450"/>
          <a:ext cx="1362075" cy="6096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chemeClr val="tx1"/>
              </a:solidFill>
            </a:rPr>
            <a:t>Report For Unique</a:t>
          </a:r>
        </a:p>
      </xdr:txBody>
    </xdr:sp>
    <xdr:clientData/>
  </xdr:twoCellAnchor>
  <xdr:twoCellAnchor>
    <xdr:from>
      <xdr:col>12</xdr:col>
      <xdr:colOff>171450</xdr:colOff>
      <xdr:row>68</xdr:row>
      <xdr:rowOff>180975</xdr:rowOff>
    </xdr:from>
    <xdr:to>
      <xdr:col>12</xdr:col>
      <xdr:colOff>476250</xdr:colOff>
      <xdr:row>71</xdr:row>
      <xdr:rowOff>47625</xdr:rowOff>
    </xdr:to>
    <xdr:sp macro="[0]!Macro10" textlink="">
      <xdr:nvSpPr>
        <xdr:cNvPr id="3" name="Rectangle 2">
          <a:extLst>
            <a:ext uri="{FF2B5EF4-FFF2-40B4-BE49-F238E27FC236}">
              <a16:creationId xmlns:a16="http://schemas.microsoft.com/office/drawing/2014/main" id="{84E41F0C-28AA-6D46-1EFE-A8E7D83790AE}"/>
            </a:ext>
          </a:extLst>
        </xdr:cNvPr>
        <xdr:cNvSpPr/>
      </xdr:nvSpPr>
      <xdr:spPr>
        <a:xfrm>
          <a:off x="8334375" y="13754100"/>
          <a:ext cx="304800" cy="438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504825</xdr:colOff>
      <xdr:row>2</xdr:row>
      <xdr:rowOff>9525</xdr:rowOff>
    </xdr:from>
    <xdr:to>
      <xdr:col>4</xdr:col>
      <xdr:colOff>533400</xdr:colOff>
      <xdr:row>5</xdr:row>
      <xdr:rowOff>142875</xdr:rowOff>
    </xdr:to>
    <xdr:sp macro="[0]!Macro10" textlink="">
      <xdr:nvSpPr>
        <xdr:cNvPr id="2" name="Rectangle 1">
          <a:extLst>
            <a:ext uri="{FF2B5EF4-FFF2-40B4-BE49-F238E27FC236}">
              <a16:creationId xmlns:a16="http://schemas.microsoft.com/office/drawing/2014/main" id="{36573CF4-0834-6227-61EE-5DE18324DBAA}"/>
            </a:ext>
          </a:extLst>
        </xdr:cNvPr>
        <xdr:cNvSpPr/>
      </xdr:nvSpPr>
      <xdr:spPr>
        <a:xfrm>
          <a:off x="2333625" y="390525"/>
          <a:ext cx="638175" cy="7048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10</xdr:col>
      <xdr:colOff>400050</xdr:colOff>
      <xdr:row>15</xdr:row>
      <xdr:rowOff>0</xdr:rowOff>
    </xdr:from>
    <xdr:ext cx="2095500" cy="233205"/>
    <xdr:sp macro="" textlink="">
      <xdr:nvSpPr>
        <xdr:cNvPr id="4" name="TextBox 3">
          <a:extLst>
            <a:ext uri="{FF2B5EF4-FFF2-40B4-BE49-F238E27FC236}">
              <a16:creationId xmlns:a16="http://schemas.microsoft.com/office/drawing/2014/main" id="{2F7ECCA8-5B70-E101-2C62-15A2F0EBBDAC}"/>
            </a:ext>
          </a:extLst>
        </xdr:cNvPr>
        <xdr:cNvSpPr txBox="1"/>
      </xdr:nvSpPr>
      <xdr:spPr>
        <a:xfrm>
          <a:off x="7324725" y="4162425"/>
          <a:ext cx="20955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900"/>
        </a:p>
      </xdr:txBody>
    </xdr:sp>
    <xdr:clientData/>
  </xdr:oneCellAnchor>
  <xdr:oneCellAnchor>
    <xdr:from>
      <xdr:col>4</xdr:col>
      <xdr:colOff>0</xdr:colOff>
      <xdr:row>39</xdr:row>
      <xdr:rowOff>180975</xdr:rowOff>
    </xdr:from>
    <xdr:ext cx="7591425" cy="233205"/>
    <xdr:sp macro="" textlink="">
      <xdr:nvSpPr>
        <xdr:cNvPr id="16" name="TextBox 15">
          <a:extLst>
            <a:ext uri="{FF2B5EF4-FFF2-40B4-BE49-F238E27FC236}">
              <a16:creationId xmlns:a16="http://schemas.microsoft.com/office/drawing/2014/main" id="{3F5C4DED-D4B4-13A5-CFF8-322CD80E114F}"/>
            </a:ext>
          </a:extLst>
        </xdr:cNvPr>
        <xdr:cNvSpPr txBox="1"/>
      </xdr:nvSpPr>
      <xdr:spPr>
        <a:xfrm>
          <a:off x="2638425" y="9058275"/>
          <a:ext cx="759142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900"/>
        </a:p>
      </xdr:txBody>
    </xdr:sp>
    <xdr:clientData/>
  </xdr:oneCellAnchor>
  <xdr:twoCellAnchor>
    <xdr:from>
      <xdr:col>4</xdr:col>
      <xdr:colOff>57150</xdr:colOff>
      <xdr:row>10</xdr:row>
      <xdr:rowOff>19049</xdr:rowOff>
    </xdr:from>
    <xdr:to>
      <xdr:col>4</xdr:col>
      <xdr:colOff>1400176</xdr:colOff>
      <xdr:row>10</xdr:row>
      <xdr:rowOff>447674</xdr:rowOff>
    </xdr:to>
    <xdr:pic>
      <xdr:nvPicPr>
        <xdr:cNvPr id="20" name="Picture 19">
          <a:extLst>
            <a:ext uri="{FF2B5EF4-FFF2-40B4-BE49-F238E27FC236}">
              <a16:creationId xmlns:a16="http://schemas.microsoft.com/office/drawing/2014/main" id="{74406626-28E8-4FB3-9D53-6F5F7EA171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2714625" y="2971799"/>
          <a:ext cx="1343026" cy="428625"/>
        </a:xfrm>
        <a:prstGeom prst="rect">
          <a:avLst/>
        </a:prstGeom>
        <a:effectLst>
          <a:outerShdw blurRad="50800" dist="38100" dir="2700000" algn="tl" rotWithShape="0">
            <a:prstClr val="black">
              <a:alpha val="40000"/>
            </a:prstClr>
          </a:outerShdw>
        </a:effectLst>
      </xdr:spPr>
    </xdr:pic>
    <xdr:clientData/>
  </xdr:twoCellAnchor>
  <xdr:oneCellAnchor>
    <xdr:from>
      <xdr:col>15</xdr:col>
      <xdr:colOff>419100</xdr:colOff>
      <xdr:row>11</xdr:row>
      <xdr:rowOff>466725</xdr:rowOff>
    </xdr:from>
    <xdr:ext cx="1076325" cy="685800"/>
    <xdr:sp macro="" textlink="">
      <xdr:nvSpPr>
        <xdr:cNvPr id="23" name="TextBox 22">
          <a:extLst>
            <a:ext uri="{FF2B5EF4-FFF2-40B4-BE49-F238E27FC236}">
              <a16:creationId xmlns:a16="http://schemas.microsoft.com/office/drawing/2014/main" id="{5552E560-257B-1786-4FF3-C056977461DC}"/>
            </a:ext>
          </a:extLst>
        </xdr:cNvPr>
        <xdr:cNvSpPr txBox="1"/>
      </xdr:nvSpPr>
      <xdr:spPr>
        <a:xfrm rot="677481">
          <a:off x="11725275" y="3914775"/>
          <a:ext cx="1076325" cy="68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IN" sz="900"/>
        </a:p>
      </xdr:txBody>
    </xdr:sp>
    <xdr:clientData/>
  </xdr:oneCellAnchor>
  <xdr:twoCellAnchor>
    <xdr:from>
      <xdr:col>4</xdr:col>
      <xdr:colOff>19050</xdr:colOff>
      <xdr:row>11</xdr:row>
      <xdr:rowOff>47626</xdr:rowOff>
    </xdr:from>
    <xdr:to>
      <xdr:col>4</xdr:col>
      <xdr:colOff>1390649</xdr:colOff>
      <xdr:row>11</xdr:row>
      <xdr:rowOff>638175</xdr:rowOff>
    </xdr:to>
    <xdr:pic>
      <xdr:nvPicPr>
        <xdr:cNvPr id="30" name="Picture 29">
          <a:extLst>
            <a:ext uri="{FF2B5EF4-FFF2-40B4-BE49-F238E27FC236}">
              <a16:creationId xmlns:a16="http://schemas.microsoft.com/office/drawing/2014/main" id="{4E7162E3-FEB5-4F61-B73C-A88C4F40D81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2676525" y="3457576"/>
          <a:ext cx="1371599" cy="590549"/>
        </a:xfrm>
        <a:prstGeom prst="rect">
          <a:avLst/>
        </a:prstGeom>
      </xdr:spPr>
    </xdr:pic>
    <xdr:clientData/>
  </xdr:twoCellAnchor>
  <xdr:twoCellAnchor>
    <xdr:from>
      <xdr:col>4</xdr:col>
      <xdr:colOff>57150</xdr:colOff>
      <xdr:row>12</xdr:row>
      <xdr:rowOff>47626</xdr:rowOff>
    </xdr:from>
    <xdr:to>
      <xdr:col>4</xdr:col>
      <xdr:colOff>1381125</xdr:colOff>
      <xdr:row>12</xdr:row>
      <xdr:rowOff>552450</xdr:rowOff>
    </xdr:to>
    <xdr:pic>
      <xdr:nvPicPr>
        <xdr:cNvPr id="33" name="Picture 32">
          <a:extLst>
            <a:ext uri="{FF2B5EF4-FFF2-40B4-BE49-F238E27FC236}">
              <a16:creationId xmlns:a16="http://schemas.microsoft.com/office/drawing/2014/main" id="{6442D46B-8FE7-4AB8-B563-EF6A7576F84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2714625" y="4124326"/>
          <a:ext cx="1323975" cy="504824"/>
        </a:xfrm>
        <a:prstGeom prst="rect">
          <a:avLst/>
        </a:prstGeom>
        <a:effectLst>
          <a:outerShdw blurRad="50800" dist="50800" dir="5400000" algn="ctr" rotWithShape="0">
            <a:sysClr val="windowText" lastClr="000000"/>
          </a:outerShdw>
        </a:effectLst>
      </xdr:spPr>
    </xdr:pic>
    <xdr:clientData/>
  </xdr:twoCellAnchor>
  <xdr:twoCellAnchor>
    <xdr:from>
      <xdr:col>4</xdr:col>
      <xdr:colOff>9525</xdr:colOff>
      <xdr:row>9</xdr:row>
      <xdr:rowOff>38100</xdr:rowOff>
    </xdr:from>
    <xdr:to>
      <xdr:col>4</xdr:col>
      <xdr:colOff>1418294</xdr:colOff>
      <xdr:row>9</xdr:row>
      <xdr:rowOff>609600</xdr:rowOff>
    </xdr:to>
    <xdr:pic>
      <xdr:nvPicPr>
        <xdr:cNvPr id="40" name="Picture 39">
          <a:extLst>
            <a:ext uri="{FF2B5EF4-FFF2-40B4-BE49-F238E27FC236}">
              <a16:creationId xmlns:a16="http://schemas.microsoft.com/office/drawing/2014/main" id="{9379C5A4-8918-43EE-92A7-9B69FFF1B923}"/>
            </a:ext>
          </a:extLst>
        </xdr:cNvPr>
        <xdr:cNvPicPr>
          <a:picLocks noChangeAspect="1"/>
        </xdr:cNvPicPr>
      </xdr:nvPicPr>
      <xdr:blipFill>
        <a:blip xmlns:r="http://schemas.openxmlformats.org/officeDocument/2006/relationships" r:embed="rId7" cstate="print">
          <a:alphaModFix/>
          <a:extLst>
            <a:ext uri="{28A0092B-C50C-407E-A947-70E740481C1C}">
              <a14:useLocalDpi xmlns:a14="http://schemas.microsoft.com/office/drawing/2010/main" val="0"/>
            </a:ext>
          </a:extLst>
        </a:blip>
        <a:stretch>
          <a:fillRect/>
        </a:stretch>
      </xdr:blipFill>
      <xdr:spPr>
        <a:xfrm>
          <a:off x="2667000" y="2381250"/>
          <a:ext cx="1408769" cy="571500"/>
        </a:xfrm>
        <a:prstGeom prst="rect">
          <a:avLst/>
        </a:prstGeom>
        <a:solidFill>
          <a:schemeClr val="accent1"/>
        </a:solidFill>
      </xdr:spPr>
    </xdr:pic>
    <xdr:clientData/>
  </xdr:twoCellAnchor>
  <xdr:twoCellAnchor>
    <xdr:from>
      <xdr:col>15</xdr:col>
      <xdr:colOff>590550</xdr:colOff>
      <xdr:row>8</xdr:row>
      <xdr:rowOff>257175</xdr:rowOff>
    </xdr:from>
    <xdr:to>
      <xdr:col>21</xdr:col>
      <xdr:colOff>590550</xdr:colOff>
      <xdr:row>11</xdr:row>
      <xdr:rowOff>504825</xdr:rowOff>
    </xdr:to>
    <xdr:graphicFrame macro="">
      <xdr:nvGraphicFramePr>
        <xdr:cNvPr id="2" name="Chart 1">
          <a:extLst>
            <a:ext uri="{FF2B5EF4-FFF2-40B4-BE49-F238E27FC236}">
              <a16:creationId xmlns:a16="http://schemas.microsoft.com/office/drawing/2014/main" id="{5AD2ECFE-1460-F74E-1B4E-8EE313EAA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600075</xdr:colOff>
      <xdr:row>11</xdr:row>
      <xdr:rowOff>257175</xdr:rowOff>
    </xdr:from>
    <xdr:to>
      <xdr:col>21</xdr:col>
      <xdr:colOff>600075</xdr:colOff>
      <xdr:row>17</xdr:row>
      <xdr:rowOff>114300</xdr:rowOff>
    </xdr:to>
    <xdr:graphicFrame macro="">
      <xdr:nvGraphicFramePr>
        <xdr:cNvPr id="3" name="Chart 2">
          <a:extLst>
            <a:ext uri="{FF2B5EF4-FFF2-40B4-BE49-F238E27FC236}">
              <a16:creationId xmlns:a16="http://schemas.microsoft.com/office/drawing/2014/main" id="{D6B5370F-A4CB-5631-C0E9-4EABF05592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552450</xdr:colOff>
      <xdr:row>16</xdr:row>
      <xdr:rowOff>114300</xdr:rowOff>
    </xdr:from>
    <xdr:to>
      <xdr:col>21</xdr:col>
      <xdr:colOff>552450</xdr:colOff>
      <xdr:row>26</xdr:row>
      <xdr:rowOff>152400</xdr:rowOff>
    </xdr:to>
    <xdr:graphicFrame macro="">
      <xdr:nvGraphicFramePr>
        <xdr:cNvPr id="5" name="Chart 4">
          <a:extLst>
            <a:ext uri="{FF2B5EF4-FFF2-40B4-BE49-F238E27FC236}">
              <a16:creationId xmlns:a16="http://schemas.microsoft.com/office/drawing/2014/main" id="{89C24B30-1A64-8936-6CA6-2F5E02A02F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238125</xdr:colOff>
      <xdr:row>55</xdr:row>
      <xdr:rowOff>76200</xdr:rowOff>
    </xdr:from>
    <xdr:to>
      <xdr:col>4</xdr:col>
      <xdr:colOff>438150</xdr:colOff>
      <xdr:row>58</xdr:row>
      <xdr:rowOff>85725</xdr:rowOff>
    </xdr:to>
    <xdr:sp macro="[0]!Macro8" textlink="">
      <xdr:nvSpPr>
        <xdr:cNvPr id="2" name="Oval 1">
          <a:extLst>
            <a:ext uri="{FF2B5EF4-FFF2-40B4-BE49-F238E27FC236}">
              <a16:creationId xmlns:a16="http://schemas.microsoft.com/office/drawing/2014/main" id="{69B203A6-F7C2-28D4-7AC7-20F6F16D0628}"/>
            </a:ext>
          </a:extLst>
        </xdr:cNvPr>
        <xdr:cNvSpPr/>
      </xdr:nvSpPr>
      <xdr:spPr>
        <a:xfrm>
          <a:off x="2066925" y="10553700"/>
          <a:ext cx="809625" cy="581025"/>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81.510828587961" createdVersion="8" refreshedVersion="8" minRefreshableVersion="3" recordCount="100" xr:uid="{8DCF273B-F531-438A-88D0-FE557582F3DF}">
  <cacheSource type="worksheet">
    <worksheetSource name="Table1"/>
  </cacheSource>
  <cacheFields count="9">
    <cacheField name="Date" numFmtId="177">
      <sharedItems/>
    </cacheField>
    <cacheField name="Product" numFmtId="0">
      <sharedItems count="8">
        <s v="Sneakers"/>
        <s v="Smartphone"/>
        <s v="Shirt"/>
        <s v="Microwave"/>
        <s v="Trousers"/>
        <s v="Blender"/>
        <s v="Boots"/>
        <s v="Laptop"/>
      </sharedItems>
    </cacheField>
    <cacheField name="Category" numFmtId="0">
      <sharedItems count="4">
        <s v="Footwear"/>
        <s v="Electronics"/>
        <s v="Clothing"/>
        <s v="Appliances"/>
      </sharedItems>
    </cacheField>
    <cacheField name="Region" numFmtId="0">
      <sharedItems count="4">
        <s v="East"/>
        <s v="South"/>
        <s v="West"/>
        <s v="North"/>
      </sharedItems>
    </cacheField>
    <cacheField name="Sales Amount" numFmtId="0">
      <sharedItems containsSemiMixedTypes="0" containsString="0" containsNumber="1" containsInteger="1" minValue="229" maxValue="16321"/>
    </cacheField>
    <cacheField name="Quantity Sold" numFmtId="0">
      <sharedItems containsSemiMixedTypes="0" containsString="0" containsNumber="1" containsInteger="1" minValue="1" maxValue="20"/>
    </cacheField>
    <cacheField name="bin" numFmtId="0">
      <sharedItems count="3">
        <s v="450-500"/>
        <s v="400-450"/>
        <s v="Above 500"/>
      </sharedItems>
    </cacheField>
    <cacheField name="Column1" numFmtId="0">
      <sharedItems/>
    </cacheField>
    <cacheField name="age" numFmtId="0">
      <sharedItems containsSemiMixedTypes="0" containsString="0" containsNumber="1" containsInteger="1" minValue="403" maxValue="5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0949072" createdVersion="8" refreshedVersion="8" minRefreshableVersion="3" recordCount="0" supportSubquery="1" supportAdvancedDrill="1" xr:uid="{B9144B16-FA6D-4A8B-9303-A504A30D392A}">
  <cacheSource type="external" connectionId="12"/>
  <cacheFields count="4">
    <cacheField name="[Measures].[Sum of Sales Amount]" caption="Sum of Sales Amount" numFmtId="0" hierarchy="33" level="32767"/>
    <cacheField name="[Table1].[Date].[Date]" caption="Date" numFmtId="0" level="1">
      <sharedItems count="67">
        <s v="2025-01-01"/>
        <s v="2025-01-02"/>
        <s v="2025-01-03"/>
        <s v="2025-01-06"/>
        <s v="2025-01-08"/>
        <s v="2025-01-09"/>
        <s v="2025-01-10"/>
        <s v="2025-01-11"/>
        <s v="2025-01-12"/>
        <s v="2025-01-13"/>
        <s v="2025-01-19"/>
        <s v="2025-01-20"/>
        <s v="2025-01-22"/>
        <s v="2025-01-23"/>
        <s v="2025-01-24"/>
        <s v="2025-01-29"/>
        <s v="2025-02-01"/>
        <s v="2025-02-02"/>
        <s v="2025-02-04"/>
        <s v="2025-02-05"/>
        <s v="2025-02-06"/>
        <s v="2025-02-07"/>
        <s v="2025-02-09"/>
        <s v="2025-02-11"/>
        <s v="2025-02-13"/>
        <s v="2025-02-14"/>
        <s v="2025-02-15"/>
        <s v="2025-02-16"/>
        <s v="2025-02-17"/>
        <s v="2025-02-18"/>
        <s v="2025-02-19"/>
        <s v="2025-02-22"/>
        <s v="2025-02-23"/>
        <s v="2025-02-24"/>
        <s v="2025-02-25"/>
        <s v="2025-02-26"/>
        <s v="2025-02-28"/>
        <s v="2025-03-03"/>
        <s v="2025-03-04"/>
        <s v="2025-03-05"/>
        <s v="2025-03-06"/>
        <s v="2025-03-08"/>
        <s v="2025-03-09"/>
        <s v="2025-03-11"/>
        <s v="2025-03-12"/>
        <s v="2025-03-15"/>
        <s v="2025-03-16"/>
        <s v="2025-03-18"/>
        <s v="2025-03-19"/>
        <s v="2025-03-23"/>
        <s v="2025-03-25"/>
        <s v="2025-03-28"/>
        <s v="2025-03-30"/>
        <s v="2025-03-31"/>
        <s v="2025-04-01"/>
        <s v="2025-04-02"/>
        <s v="2025-04-07"/>
        <s v="2025-04-09"/>
        <s v="2025-04-14"/>
        <s v="2025-04-15"/>
        <s v="2025-04-17"/>
        <s v="2025-04-18"/>
        <s v="2025-04-19"/>
        <s v="2025-04-20"/>
        <s v="2025-04-28"/>
        <s v="2025-04-30"/>
        <s v="2025-05-01"/>
      </sharedItems>
    </cacheField>
    <cacheField name="[Table1].[Category].[Category]" caption="Category" numFmtId="0" hierarchy="2" level="1">
      <sharedItems containsSemiMixedTypes="0" containsNonDate="0" containsString="0"/>
    </cacheField>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2" memberValueDatatype="130" unbalanced="0">
      <fieldsUsage count="2">
        <fieldUsage x="-1"/>
        <fieldUsage x="1"/>
      </fieldsUsage>
    </cacheHierarchy>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0254633" createdVersion="8" refreshedVersion="8" minRefreshableVersion="3" recordCount="0" supportSubquery="1" supportAdvancedDrill="1" xr:uid="{30F6391B-C41B-4CEC-A182-49DBA304EC9F}">
  <cacheSource type="external" connectionId="12"/>
  <cacheFields count="3">
    <cacheField name="[Measures].[Sum of Sales Amount]" caption="Sum of Sales Amount" numFmtId="0" hierarchy="33" level="32767"/>
    <cacheField name="[Table1].[Region].[Region]" caption="Region" numFmtId="0" hierarchy="3" level="1">
      <sharedItems count="4">
        <s v="East"/>
        <s v="North"/>
        <s v="South"/>
        <s v="West"/>
      </sharedItems>
    </cacheField>
    <cacheField name="[Table1].[Category].[Category]" caption="Category" numFmtId="0" hierarchy="2" level="1">
      <sharedItems count="4">
        <s v="Appliances"/>
        <s v="Clothing"/>
        <s v="Electronics"/>
        <s v="Footwear"/>
      </sharedItems>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6504629" createdVersion="8" refreshedVersion="8" minRefreshableVersion="3" recordCount="0" supportSubquery="1" supportAdvancedDrill="1" xr:uid="{D0FB1FD7-4D6B-4BC2-9F18-A079DF1C844C}">
  <cacheSource type="external" connectionId="12"/>
  <cacheFields count="3">
    <cacheField name="[Measures].[Sum of Sales Amount]" caption="Sum of Sales Amount" numFmtId="0" hierarchy="33" level="32767"/>
    <cacheField name="[Table1].[Category].[Category]" caption="Category" numFmtId="0" hierarchy="2" level="1">
      <sharedItems count="4">
        <s v="Appliances"/>
        <s v="Clothing"/>
        <s v="Electronics"/>
        <s v="Footwear"/>
      </sharedItems>
    </cacheField>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8472223" createdVersion="8" refreshedVersion="8" minRefreshableVersion="3" recordCount="0" supportSubquery="1" supportAdvancedDrill="1" xr:uid="{55AB6F92-88CA-4CF3-A583-F0953CDC59D7}">
  <cacheSource type="external" connectionId="12"/>
  <cacheFields count="1">
    <cacheField name="[Measures].[Average Quantity Sold]" caption="Average Quantity Sold" numFmtId="0" hierarchy="24" level="32767"/>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oneField="1">
      <fieldsUsage count="1">
        <fieldUsage x="0"/>
      </fieldsUsage>
    </cacheHierarchy>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18981478" createdVersion="8" refreshedVersion="8" minRefreshableVersion="3" recordCount="0" supportSubquery="1" supportAdvancedDrill="1" xr:uid="{E31F42F3-77A5-49B7-BAA5-C6879A60060D}">
  <cacheSource type="external" connectionId="12"/>
  <cacheFields count="1">
    <cacheField name="[Measures].[Total Quantity Sold]" caption="Total Quantity Sold" numFmtId="0" hierarchy="23" level="32767"/>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oneField="1">
      <fieldsUsage count="1">
        <fieldUsage x="0"/>
      </fieldsUsage>
    </cacheHierarchy>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1643518" createdVersion="8" refreshedVersion="8" minRefreshableVersion="3" recordCount="0" supportSubquery="1" supportAdvancedDrill="1" xr:uid="{AFB9A838-1E9F-496F-A723-1723F8B1AA8F}">
  <cacheSource type="external" connectionId="12"/>
  <cacheFields count="3">
    <cacheField name="[Table1].[Region].[Region]" caption="Region" numFmtId="0" hierarchy="3" level="1">
      <sharedItems count="4">
        <s v="East"/>
        <s v="North"/>
        <s v="South"/>
        <s v="West"/>
      </sharedItems>
    </cacheField>
    <cacheField name="[Table1].[Category].[Category]" caption="Category" numFmtId="0" hierarchy="2" level="1">
      <sharedItems count="4">
        <s v="Appliances"/>
        <s v="Clothing"/>
        <s v="Electronics"/>
        <s v="Footwear"/>
      </sharedItems>
    </cacheField>
    <cacheField name="[Measures].[Sum of Quantity Sold]" caption="Sum of Quantity Sold" numFmtId="0" hierarchy="34" level="32767"/>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5578705" createdVersion="8" refreshedVersion="8" minRefreshableVersion="3" recordCount="0" supportSubquery="1" supportAdvancedDrill="1" xr:uid="{6CB461DF-6B4F-4471-BB9A-9DFF11C6123B}">
  <cacheSource type="external" connectionId="12"/>
  <cacheFields count="3">
    <cacheField name="[Measures].[average sales]" caption="average sales" numFmtId="0" hierarchy="21" level="32767"/>
    <cacheField name="[Measures].[sum of sales]" caption="sum of sales" numFmtId="0" hierarchy="22" level="32767"/>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oneField="1">
      <fieldsUsage count="1">
        <fieldUsage x="0"/>
      </fieldsUsage>
    </cacheHierarchy>
    <cacheHierarchy uniqueName="[Measures].[sum of sales]" caption="sum of sales" measure="1" displayFolder="" measureGroup="Table1" count="0" oneField="1">
      <fieldsUsage count="1">
        <fieldUsage x="1"/>
      </fieldsUsage>
    </cacheHierarchy>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683167939816" createdVersion="8" refreshedVersion="8" minRefreshableVersion="3" recordCount="0" supportSubquery="1" supportAdvancedDrill="1" xr:uid="{23825116-13D9-477C-89E1-30AEAB39EC13}">
  <cacheSource type="external" connectionId="12"/>
  <cacheFields count="2">
    <cacheField name="[Table22].[Category].[Category]" caption="Category" numFmtId="0" hierarchy="9" level="1">
      <sharedItems count="8">
        <s v="Appliances"/>
        <s v="Cell"/>
        <s v="Clothing"/>
        <s v="Electronics"/>
        <s v="Footwear"/>
        <s v="Laptop"/>
        <s v="Mobile"/>
        <s v="z"/>
      </sharedItems>
    </cacheField>
    <cacheField name="[Measures].[Sum of Sales 2]" caption="Sum of Sales 2" numFmtId="0" hierarchy="35" level="32767"/>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2" memberValueDatatype="130" unbalanced="0">
      <fieldsUsage count="2">
        <fieldUsage x="-1"/>
        <fieldUsage x="0"/>
      </fieldsUsage>
    </cacheHierarchy>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oneField="1" hidden="1">
      <fieldsUsage count="1">
        <fieldUsage x="1"/>
      </fieldsUsage>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19560186" createdVersion="3" refreshedVersion="8" minRefreshableVersion="3" recordCount="0" supportSubquery="1" supportAdvancedDrill="1" xr:uid="{7BB59976-1082-407D-BED2-2CB63C1CAD9A}">
  <cacheSource type="external" connectionId="12">
    <extLst>
      <ext xmlns:x14="http://schemas.microsoft.com/office/spreadsheetml/2009/9/main" uri="{F057638F-6D5F-4e77-A914-E7F072B9BCA8}">
        <x14:sourceConnection name="ThisWorkbookDataModel"/>
      </ext>
    </extLst>
  </cacheSource>
  <cacheFields count="0"/>
  <cacheHierarchies count="35">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slicerData="1" pivotCacheId="688679131"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4884259" createdVersion="8" refreshedVersion="8" minRefreshableVersion="3" recordCount="0" supportSubquery="1" supportAdvancedDrill="1" xr:uid="{29923CD9-79A8-43F0-B97C-19822582968B}">
  <cacheSource type="external" connectionId="12">
    <extLst>
      <ext xmlns:x14="http://schemas.microsoft.com/office/spreadsheetml/2009/9/main" uri="{F057638F-6D5F-4e77-A914-E7F072B9BCA8}">
        <x14:sourceConnection name="ThisWorkbookDataModel"/>
      </ext>
    </extLst>
  </cacheSource>
  <cacheFields count="3">
    <cacheField name="[Measures].[Sum of Sales Amount]" caption="Sum of Sales Amount" numFmtId="0" hierarchy="33" level="32767"/>
    <cacheField name="[Table1].[Product].[Product]" caption="Product" numFmtId="0" hierarchy="1" level="1">
      <sharedItems count="8">
        <s v="Blender"/>
        <s v="Boots"/>
        <s v="Laptop"/>
        <s v="Microwave"/>
        <s v="Shirt"/>
        <s v="Smartphone"/>
        <s v="Sneakers"/>
        <s v="Trousers"/>
      </sharedItems>
    </cacheField>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2" memberValueDatatype="130" unbalanced="0">
      <fieldsUsage count="2">
        <fieldUsage x="-1"/>
        <fieldUsage x="1"/>
      </fieldsUsage>
    </cacheHierarchy>
    <cacheHierarchy uniqueName="[Table1].[Category]" caption="Category" attribute="1" defaultMemberUniqueName="[Table1].[Category].[All]" allUniqueName="[Table1].[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pivotCacheId="2410818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2569442" createdVersion="8" refreshedVersion="8" minRefreshableVersion="3" recordCount="0" supportSubquery="1" supportAdvancedDrill="1" xr:uid="{4705C858-2AF1-4786-8A58-164CD1070304}">
  <cacheSource type="external" connectionId="12">
    <extLst>
      <ext xmlns:x14="http://schemas.microsoft.com/office/spreadsheetml/2009/9/main" uri="{F057638F-6D5F-4e77-A914-E7F072B9BCA8}">
        <x14:sourceConnection name="ThisWorkbookDataModel"/>
      </ext>
    </extLst>
  </cacheSource>
  <cacheFields count="4">
    <cacheField name="[Measures].[Sum of Sales Amount]" caption="Sum of Sales Amount" numFmtId="0" hierarchy="33" level="32767"/>
    <cacheField name="[Table1].[Date].[Date]" caption="Date" numFmtId="0" level="1">
      <sharedItems count="67">
        <s v="2025-01-01"/>
        <s v="2025-01-02"/>
        <s v="2025-01-03"/>
        <s v="2025-01-06"/>
        <s v="2025-01-08"/>
        <s v="2025-01-09"/>
        <s v="2025-01-10"/>
        <s v="2025-01-11"/>
        <s v="2025-01-12"/>
        <s v="2025-01-13"/>
        <s v="2025-01-19"/>
        <s v="2025-01-20"/>
        <s v="2025-01-22"/>
        <s v="2025-01-23"/>
        <s v="2025-01-24"/>
        <s v="2025-01-29"/>
        <s v="2025-02-01"/>
        <s v="2025-02-02"/>
        <s v="2025-02-04"/>
        <s v="2025-02-05"/>
        <s v="2025-02-06"/>
        <s v="2025-02-07"/>
        <s v="2025-02-09"/>
        <s v="2025-02-11"/>
        <s v="2025-02-13"/>
        <s v="2025-02-14"/>
        <s v="2025-02-15"/>
        <s v="2025-02-16"/>
        <s v="2025-02-17"/>
        <s v="2025-02-18"/>
        <s v="2025-02-19"/>
        <s v="2025-02-22"/>
        <s v="2025-02-23"/>
        <s v="2025-02-24"/>
        <s v="2025-02-25"/>
        <s v="2025-02-26"/>
        <s v="2025-02-28"/>
        <s v="2025-03-03"/>
        <s v="2025-03-04"/>
        <s v="2025-03-05"/>
        <s v="2025-03-06"/>
        <s v="2025-03-08"/>
        <s v="2025-03-09"/>
        <s v="2025-03-11"/>
        <s v="2025-03-12"/>
        <s v="2025-03-15"/>
        <s v="2025-03-16"/>
        <s v="2025-03-18"/>
        <s v="2025-03-19"/>
        <s v="2025-03-23"/>
        <s v="2025-03-25"/>
        <s v="2025-03-28"/>
        <s v="2025-03-30"/>
        <s v="2025-03-31"/>
        <s v="2025-04-01"/>
        <s v="2025-04-02"/>
        <s v="2025-04-07"/>
        <s v="2025-04-09"/>
        <s v="2025-04-14"/>
        <s v="2025-04-15"/>
        <s v="2025-04-17"/>
        <s v="2025-04-18"/>
        <s v="2025-04-19"/>
        <s v="2025-04-20"/>
        <s v="2025-04-28"/>
        <s v="2025-04-30"/>
        <s v="2025-05-01"/>
      </sharedItems>
    </cacheField>
    <cacheField name="[Table1].[Category].[Category]" caption="Category" numFmtId="0" hierarchy="2" level="1">
      <sharedItems containsSemiMixedTypes="0" containsNonDate="0" containsString="0"/>
    </cacheField>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2" memberValueDatatype="130" unbalanced="0">
      <fieldsUsage count="2">
        <fieldUsage x="-1"/>
        <fieldUsage x="1"/>
      </fieldsUsage>
    </cacheHierarchy>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pivotCacheId="17084047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3958335" createdVersion="8" refreshedVersion="8" minRefreshableVersion="3" recordCount="0" supportSubquery="1" supportAdvancedDrill="1" xr:uid="{B5822A61-E5BD-4D0F-9C74-F5D694CB964E}">
  <cacheSource type="external" connectionId="12">
    <extLst>
      <ext xmlns:x14="http://schemas.microsoft.com/office/spreadsheetml/2009/9/main" uri="{F057638F-6D5F-4e77-A914-E7F072B9BCA8}">
        <x14:sourceConnection name="ThisWorkbookDataModel"/>
      </ext>
    </extLst>
  </cacheSource>
  <cacheFields count="3">
    <cacheField name="[Table1].[Category].[Category]" caption="Category" numFmtId="0" hierarchy="2" level="1">
      <sharedItems count="4">
        <s v="Appliances"/>
        <s v="Clothing"/>
        <s v="Electronics"/>
        <s v="Footwear"/>
      </sharedItems>
    </cacheField>
    <cacheField name="[Measures].[Sum of Sales Amount]" caption="Sum of Sales Amount" numFmtId="0" hierarchy="33" level="32767"/>
    <cacheField name="[Table1].[Region].[Region]" caption="Region" numFmtId="0" hierarchy="3"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pivotCacheId="51216205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1.510823263889" createdVersion="8" refreshedVersion="8" minRefreshableVersion="3" recordCount="0" supportSubquery="1" supportAdvancedDrill="1" xr:uid="{17088028-6DD9-4F36-9683-20A6EEA4E18F}">
  <cacheSource type="external" connectionId="12">
    <extLst>
      <ext xmlns:x14="http://schemas.microsoft.com/office/spreadsheetml/2009/9/main" uri="{F057638F-6D5F-4e77-A914-E7F072B9BCA8}">
        <x14:sourceConnection name="ThisWorkbookDataModel"/>
      </ext>
    </extLst>
  </cacheSource>
  <cacheFields count="3">
    <cacheField name="[Measures].[Sum of Sales Amount]" caption="Sum of Sales Amount" numFmtId="0" hierarchy="33" level="32767"/>
    <cacheField name="[Table1].[Region].[Region]" caption="Region" numFmtId="0" hierarchy="3" level="1">
      <sharedItems count="4">
        <s v="East"/>
        <s v="North"/>
        <s v="South"/>
        <s v="West"/>
      </sharedItems>
    </cacheField>
    <cacheField name="[Table1].[Category].[Category]" caption="Category" numFmtId="0" hierarchy="2" level="1">
      <sharedItems containsSemiMixedTypes="0" containsNonDate="0" containsString="0"/>
    </cacheField>
  </cacheFields>
  <cacheHierarchies count="36">
    <cacheHierarchy uniqueName="[Table1].[Date]" caption="Date" attribute="1" defaultMemberUniqueName="[Table1].[Date].[All]" allUniqueName="[Table1].[Date].[All]" dimensionUniqueName="[Table1]" displayFolder="" count="0" memberValueDatatype="130" unbalanced="0"/>
    <cacheHierarchy uniqueName="[Table1].[Product]" caption="Product" attribute="1" defaultMemberUniqueName="[Table1].[Product].[All]" allUniqueName="[Table1].[Product].[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Sales Amount]" caption="Sales Amount" attribute="1" defaultMemberUniqueName="[Table1].[Sales Amount].[All]" allUniqueName="[Table1].[Sales Amount].[All]" dimensionUniqueName="[Table1]" displayFolder="" count="0" memberValueDatatype="2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bin]" caption="bin" attribute="1" defaultMemberUniqueName="[Table1].[bin].[All]" allUniqueName="[Table1].[bin].[All]" dimensionUniqueName="[Table1]" displayFolder="" count="0" memberValueDatatype="130" unbalanced="0"/>
    <cacheHierarchy uniqueName="[Table1].[Column1]" caption="Column1" attribute="1" defaultMemberUniqueName="[Table1].[Column1].[All]" allUniqueName="[Table1].[Column1].[All]" dimensionUniqueName="[Table1]" displayFolder="" count="0" memberValueDatatype="130" unbalanced="0"/>
    <cacheHierarchy uniqueName="[Table1].[age]" caption="age" attribute="1" defaultMemberUniqueName="[Table1].[age].[All]" allUniqueName="[Table1].[age].[All]" dimensionUniqueName="[Table1]" displayFolder="" count="0" memberValueDatatype="20" unbalanced="0"/>
    <cacheHierarchy uniqueName="[Table22].[Category]" caption="Category" attribute="1" defaultMemberUniqueName="[Table22].[Category].[All]" allUniqueName="[Table22].[Category].[All]" dimensionUniqueName="[Table22]" displayFolder="" count="0" memberValueDatatype="130" unbalanced="0"/>
    <cacheHierarchy uniqueName="[Table22].[Sales]" caption="Sales" attribute="1" defaultMemberUniqueName="[Table22].[Sales].[All]" allUniqueName="[Table22].[Sales].[All]" dimensionUniqueName="[Table22]" displayFolder="" count="0" memberValueDatatype="20" unbalanced="0"/>
    <cacheHierarchy uniqueName="[Table22 1].[Category]" caption="Category" attribute="1" defaultMemberUniqueName="[Table22 1].[Category].[All]" allUniqueName="[Table22 1].[Category].[All]" dimensionUniqueName="[Table22 1]" displayFolder="" count="0" memberValueDatatype="130" unbalanced="0"/>
    <cacheHierarchy uniqueName="[Table22 1].[Sales]" caption="Sales" attribute="1" defaultMemberUniqueName="[Table22 1].[Sales].[All]" allUniqueName="[Table22 1].[Sales].[All]" dimensionUniqueName="[Table22 1]" displayFolder="" count="0" memberValueDatatype="20" unbalanced="0"/>
    <cacheHierarchy uniqueName="[Table22 2].[Category]" caption="Category" attribute="1" defaultMemberUniqueName="[Table22 2].[Category].[All]" allUniqueName="[Table22 2].[Category].[All]" dimensionUniqueName="[Table22 2]" displayFolder="" count="0" memberValueDatatype="130" unbalanced="0"/>
    <cacheHierarchy uniqueName="[Table22 2].[Sales]" caption="Sales" attribute="1" defaultMemberUniqueName="[Table22 2].[Sales].[All]" allUniqueName="[Table22 2].[Sales].[All]" dimensionUniqueName="[Table22 2]" displayFolder="" count="0" memberValueDatatype="20" unbalanced="0"/>
    <cacheHierarchy uniqueName="[Table22 3].[Category]" caption="Category" attribute="1" defaultMemberUniqueName="[Table22 3].[Category].[All]" allUniqueName="[Table22 3].[Category].[All]" dimensionUniqueName="[Table22 3]" displayFolder="" count="0" memberValueDatatype="130" unbalanced="0"/>
    <cacheHierarchy uniqueName="[Table22 3].[Sales]" caption="Sales" attribute="1" defaultMemberUniqueName="[Table22 3].[Sales].[All]" allUniqueName="[Table22 3].[Sales].[All]" dimensionUniqueName="[Table22 3]" displayFolder="" count="0" memberValueDatatype="20" unbalanced="0"/>
    <cacheHierarchy uniqueName="[Table22 4].[Category]" caption="Category" attribute="1" defaultMemberUniqueName="[Table22 4].[Category].[All]" allUniqueName="[Table22 4].[Category].[All]" dimensionUniqueName="[Table22 4]" displayFolder="" count="0" memberValueDatatype="130" unbalanced="0"/>
    <cacheHierarchy uniqueName="[Table22 4].[Sales]" caption="Sales" attribute="1" defaultMemberUniqueName="[Table22 4].[Sales].[All]" allUniqueName="[Table22 4].[Sales].[All]" dimensionUniqueName="[Table22 4]" displayFolder="" count="0" memberValueDatatype="20" unbalanced="0"/>
    <cacheHierarchy uniqueName="[Table22 5].[Category]" caption="Category" attribute="1" defaultMemberUniqueName="[Table22 5].[Category].[All]" allUniqueName="[Table22 5].[Category].[All]" dimensionUniqueName="[Table22 5]" displayFolder="" count="0" memberValueDatatype="130" unbalanced="0"/>
    <cacheHierarchy uniqueName="[Table22 5].[Sales]" caption="Sales" attribute="1" defaultMemberUniqueName="[Table22 5].[Sales].[All]" allUniqueName="[Table22 5].[Sales].[All]" dimensionUniqueName="[Table22 5]" displayFolder="" count="0" memberValueDatatype="20" unbalanced="0"/>
    <cacheHierarchy uniqueName="[Measures].[average sales]" caption="average sales" measure="1" displayFolder="" measureGroup="Table1" count="0"/>
    <cacheHierarchy uniqueName="[Measures].[sum of sales]" caption="sum of sales" measure="1" displayFolder="" measureGroup="Table1" count="0"/>
    <cacheHierarchy uniqueName="[Measures].[Total Quantity Sold]" caption="Total Quantity Sold" measure="1" displayFolder="" measureGroup="Table1" count="0"/>
    <cacheHierarchy uniqueName="[Measures].[Average Quantity Sold]" caption="Average Quantity Sold" measure="1" displayFolder="" measureGroup="Table1" count="0"/>
    <cacheHierarchy uniqueName="[Measures].[__XL_Count Table1]" caption="__XL_Count Table1" measure="1" displayFolder="" measureGroup="Table1" count="0" hidden="1"/>
    <cacheHierarchy uniqueName="[Measures].[__XL_Count Table22 1]" caption="__XL_Count Table22 1" measure="1" displayFolder="" measureGroup="Table22 1" count="0" hidden="1"/>
    <cacheHierarchy uniqueName="[Measures].[__XL_Count Table22 2]" caption="__XL_Count Table22 2" measure="1" displayFolder="" measureGroup="Table22 2" count="0" hidden="1"/>
    <cacheHierarchy uniqueName="[Measures].[__XL_Count Table22 3]" caption="__XL_Count Table22 3" measure="1" displayFolder="" measureGroup="Table22 3" count="0" hidden="1"/>
    <cacheHierarchy uniqueName="[Measures].[__XL_Count Table22 4]" caption="__XL_Count Table22 4" measure="1" displayFolder="" measureGroup="Table22 4" count="0" hidden="1"/>
    <cacheHierarchy uniqueName="[Measures].[__XL_Count Table22 5]" caption="__XL_Count Table22 5" measure="1" displayFolder="" measureGroup="Table22 5" count="0" hidden="1"/>
    <cacheHierarchy uniqueName="[Measures].[__XL_Count Table22]" caption="__XL_Count Table22" measure="1" displayFolder="" measureGroup="Table22"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5"/>
        </ext>
      </extLst>
    </cacheHierarchy>
    <cacheHierarchy uniqueName="[Measures].[Sum of Sales 2]" caption="Sum of Sales 2" measure="1" displayFolder="" measureGroup="Table22" count="0" hidden="1">
      <extLst>
        <ext xmlns:x15="http://schemas.microsoft.com/office/spreadsheetml/2010/11/main" uri="{B97F6D7D-B522-45F9-BDA1-12C45D357490}">
          <x15:cacheHierarchy aggregatedColumn="10"/>
        </ext>
      </extLst>
    </cacheHierarchy>
  </cacheHierarchies>
  <kpis count="0"/>
  <dimensions count="8">
    <dimension measure="1" name="Measures" uniqueName="[Measures]" caption="Measures"/>
    <dimension name="Table1" uniqueName="[Table1]" caption="Table1"/>
    <dimension name="Table22" uniqueName="[Table22]" caption="Table22"/>
    <dimension name="Table22 1" uniqueName="[Table22 1]" caption="Table22 1"/>
    <dimension name="Table22 2" uniqueName="[Table22 2]" caption="Table22 2"/>
    <dimension name="Table22 3" uniqueName="[Table22 3]" caption="Table22 3"/>
    <dimension name="Table22 4" uniqueName="[Table22 4]" caption="Table22 4"/>
    <dimension name="Table22 5" uniqueName="[Table22 5]" caption="Table22 5"/>
  </dimensions>
  <measureGroups count="7">
    <measureGroup name="Table1" caption="Table1"/>
    <measureGroup name="Table22" caption="Table22"/>
    <measureGroup name="Table22 1" caption="Table22 1"/>
    <measureGroup name="Table22 2" caption="Table22 2"/>
    <measureGroup name="Table22 3" caption="Table22 3"/>
    <measureGroup name="Table22 4" caption="Table22 4"/>
    <measureGroup name="Table22 5" caption="Table22 5"/>
  </measureGroups>
  <maps count="7">
    <map measureGroup="0" dimension="1"/>
    <map measureGroup="1" dimension="2"/>
    <map measureGroup="2" dimension="3"/>
    <map measureGroup="3" dimension="4"/>
    <map measureGroup="4" dimension="5"/>
    <map measureGroup="5" dimension="6"/>
    <map measureGroup="6" dimension="7"/>
  </maps>
  <extLst>
    <ext xmlns:x14="http://schemas.microsoft.com/office/spreadsheetml/2009/9/main" uri="{725AE2AE-9491-48be-B2B4-4EB974FC3084}">
      <x14:pivotCacheDefinition pivotCacheId="209023635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2025-02-09"/>
    <x v="0"/>
    <x v="0"/>
    <x v="0"/>
    <n v="4050"/>
    <n v="18"/>
    <x v="0"/>
    <s v="February"/>
    <n v="484"/>
  </r>
  <r>
    <s v="2025-03-18"/>
    <x v="1"/>
    <x v="1"/>
    <x v="1"/>
    <n v="7875"/>
    <n v="15"/>
    <x v="1"/>
    <s v="March"/>
    <n v="447"/>
  </r>
  <r>
    <s v="2025-01-19"/>
    <x v="2"/>
    <x v="2"/>
    <x v="0"/>
    <n v="5832"/>
    <n v="6"/>
    <x v="2"/>
    <s v="January"/>
    <n v="505"/>
  </r>
  <r>
    <s v="2025-02-06"/>
    <x v="3"/>
    <x v="3"/>
    <x v="0"/>
    <n v="676"/>
    <n v="4"/>
    <x v="0"/>
    <s v="February"/>
    <n v="487"/>
  </r>
  <r>
    <s v="2025-02-05"/>
    <x v="1"/>
    <x v="1"/>
    <x v="2"/>
    <n v="6560"/>
    <n v="10"/>
    <x v="0"/>
    <s v="February"/>
    <n v="488"/>
  </r>
  <r>
    <s v="2025-04-28"/>
    <x v="3"/>
    <x v="3"/>
    <x v="2"/>
    <n v="1905"/>
    <n v="5"/>
    <x v="1"/>
    <s v="April"/>
    <n v="406"/>
  </r>
  <r>
    <s v="2025-03-04"/>
    <x v="4"/>
    <x v="2"/>
    <x v="1"/>
    <n v="6948"/>
    <n v="18"/>
    <x v="0"/>
    <s v="March"/>
    <n v="461"/>
  </r>
  <r>
    <s v="2025-04-17"/>
    <x v="4"/>
    <x v="2"/>
    <x v="0"/>
    <n v="1944"/>
    <n v="18"/>
    <x v="1"/>
    <s v="April"/>
    <n v="417"/>
  </r>
  <r>
    <s v="2025-03-19"/>
    <x v="5"/>
    <x v="3"/>
    <x v="0"/>
    <n v="7776"/>
    <n v="8"/>
    <x v="1"/>
    <s v="March"/>
    <n v="446"/>
  </r>
  <r>
    <s v="2025-05-01"/>
    <x v="1"/>
    <x v="1"/>
    <x v="1"/>
    <n v="2790"/>
    <n v="18"/>
    <x v="1"/>
    <s v="May"/>
    <n v="403"/>
  </r>
  <r>
    <s v="2025-02-05"/>
    <x v="2"/>
    <x v="2"/>
    <x v="1"/>
    <n v="7995"/>
    <n v="13"/>
    <x v="0"/>
    <s v="February"/>
    <n v="488"/>
  </r>
  <r>
    <s v="2025-01-20"/>
    <x v="2"/>
    <x v="2"/>
    <x v="0"/>
    <n v="9984"/>
    <n v="13"/>
    <x v="2"/>
    <s v="January"/>
    <n v="504"/>
  </r>
  <r>
    <s v="2025-03-23"/>
    <x v="2"/>
    <x v="2"/>
    <x v="2"/>
    <n v="7683"/>
    <n v="13"/>
    <x v="1"/>
    <s v="March"/>
    <n v="442"/>
  </r>
  <r>
    <s v="2025-02-11"/>
    <x v="3"/>
    <x v="3"/>
    <x v="3"/>
    <n v="6885"/>
    <n v="9"/>
    <x v="0"/>
    <s v="February"/>
    <n v="482"/>
  </r>
  <r>
    <s v="2025-04-20"/>
    <x v="6"/>
    <x v="0"/>
    <x v="2"/>
    <n v="229"/>
    <n v="1"/>
    <x v="1"/>
    <s v="April"/>
    <n v="414"/>
  </r>
  <r>
    <s v="2025-03-19"/>
    <x v="7"/>
    <x v="1"/>
    <x v="2"/>
    <n v="6104"/>
    <n v="7"/>
    <x v="1"/>
    <s v="March"/>
    <n v="446"/>
  </r>
  <r>
    <s v="2025-03-06"/>
    <x v="5"/>
    <x v="3"/>
    <x v="0"/>
    <n v="558"/>
    <n v="1"/>
    <x v="0"/>
    <s v="March"/>
    <n v="459"/>
  </r>
  <r>
    <s v="2025-03-25"/>
    <x v="3"/>
    <x v="3"/>
    <x v="0"/>
    <n v="6413"/>
    <n v="11"/>
    <x v="1"/>
    <s v="March"/>
    <n v="440"/>
  </r>
  <r>
    <s v="2025-03-16"/>
    <x v="1"/>
    <x v="1"/>
    <x v="3"/>
    <n v="1017"/>
    <n v="9"/>
    <x v="1"/>
    <s v="March"/>
    <n v="449"/>
  </r>
  <r>
    <s v="2025-03-05"/>
    <x v="7"/>
    <x v="1"/>
    <x v="1"/>
    <n v="9310"/>
    <n v="10"/>
    <x v="0"/>
    <s v="March"/>
    <n v="460"/>
  </r>
  <r>
    <s v="2025-02-15"/>
    <x v="2"/>
    <x v="2"/>
    <x v="2"/>
    <n v="2560"/>
    <n v="4"/>
    <x v="0"/>
    <s v="February"/>
    <n v="478"/>
  </r>
  <r>
    <s v="2025-01-24"/>
    <x v="3"/>
    <x v="3"/>
    <x v="1"/>
    <n v="6855"/>
    <n v="15"/>
    <x v="0"/>
    <s v="January"/>
    <n v="500"/>
  </r>
  <r>
    <s v="2025-01-06"/>
    <x v="5"/>
    <x v="3"/>
    <x v="1"/>
    <n v="7398"/>
    <n v="9"/>
    <x v="2"/>
    <s v="January"/>
    <n v="518"/>
  </r>
  <r>
    <s v="2025-01-03"/>
    <x v="1"/>
    <x v="1"/>
    <x v="0"/>
    <n v="2094"/>
    <n v="6"/>
    <x v="2"/>
    <s v="January"/>
    <n v="521"/>
  </r>
  <r>
    <s v="2025-02-13"/>
    <x v="1"/>
    <x v="1"/>
    <x v="3"/>
    <n v="3996"/>
    <n v="4"/>
    <x v="0"/>
    <s v="February"/>
    <n v="480"/>
  </r>
  <r>
    <s v="2025-01-22"/>
    <x v="5"/>
    <x v="3"/>
    <x v="2"/>
    <n v="4884"/>
    <n v="6"/>
    <x v="2"/>
    <s v="January"/>
    <n v="502"/>
  </r>
  <r>
    <s v="2025-02-05"/>
    <x v="4"/>
    <x v="2"/>
    <x v="3"/>
    <n v="1767"/>
    <n v="3"/>
    <x v="0"/>
    <s v="February"/>
    <n v="488"/>
  </r>
  <r>
    <s v="2025-03-28"/>
    <x v="5"/>
    <x v="3"/>
    <x v="0"/>
    <n v="7840"/>
    <n v="14"/>
    <x v="1"/>
    <s v="March"/>
    <n v="437"/>
  </r>
  <r>
    <s v="2025-01-13"/>
    <x v="5"/>
    <x v="3"/>
    <x v="1"/>
    <n v="4806"/>
    <n v="6"/>
    <x v="2"/>
    <s v="January"/>
    <n v="511"/>
  </r>
  <r>
    <s v="2025-02-28"/>
    <x v="5"/>
    <x v="3"/>
    <x v="3"/>
    <n v="2598"/>
    <n v="3"/>
    <x v="0"/>
    <s v="February"/>
    <n v="465"/>
  </r>
  <r>
    <s v="2025-04-15"/>
    <x v="0"/>
    <x v="0"/>
    <x v="3"/>
    <n v="12920"/>
    <n v="17"/>
    <x v="1"/>
    <s v="April"/>
    <n v="419"/>
  </r>
  <r>
    <s v="2025-02-04"/>
    <x v="4"/>
    <x v="2"/>
    <x v="0"/>
    <n v="2134"/>
    <n v="11"/>
    <x v="0"/>
    <s v="February"/>
    <n v="489"/>
  </r>
  <r>
    <s v="2025-03-31"/>
    <x v="6"/>
    <x v="0"/>
    <x v="1"/>
    <n v="311"/>
    <n v="1"/>
    <x v="1"/>
    <s v="March"/>
    <n v="434"/>
  </r>
  <r>
    <s v="2025-02-26"/>
    <x v="0"/>
    <x v="0"/>
    <x v="0"/>
    <n v="2388"/>
    <n v="3"/>
    <x v="0"/>
    <s v="February"/>
    <n v="467"/>
  </r>
  <r>
    <s v="2025-04-01"/>
    <x v="3"/>
    <x v="3"/>
    <x v="0"/>
    <n v="2853"/>
    <n v="9"/>
    <x v="1"/>
    <s v="April"/>
    <n v="433"/>
  </r>
  <r>
    <s v="2025-01-20"/>
    <x v="7"/>
    <x v="1"/>
    <x v="3"/>
    <n v="4382"/>
    <n v="7"/>
    <x v="2"/>
    <s v="January"/>
    <n v="504"/>
  </r>
  <r>
    <s v="2025-04-02"/>
    <x v="0"/>
    <x v="0"/>
    <x v="0"/>
    <n v="2690"/>
    <n v="5"/>
    <x v="1"/>
    <s v="April"/>
    <n v="432"/>
  </r>
  <r>
    <s v="2025-02-09"/>
    <x v="4"/>
    <x v="2"/>
    <x v="2"/>
    <n v="399"/>
    <n v="3"/>
    <x v="0"/>
    <s v="February"/>
    <n v="484"/>
  </r>
  <r>
    <s v="2025-01-13"/>
    <x v="1"/>
    <x v="1"/>
    <x v="0"/>
    <n v="4459"/>
    <n v="7"/>
    <x v="2"/>
    <s v="January"/>
    <n v="511"/>
  </r>
  <r>
    <s v="2025-02-16"/>
    <x v="1"/>
    <x v="1"/>
    <x v="0"/>
    <n v="2274"/>
    <n v="3"/>
    <x v="0"/>
    <s v="February"/>
    <n v="477"/>
  </r>
  <r>
    <s v="2025-03-09"/>
    <x v="4"/>
    <x v="2"/>
    <x v="2"/>
    <n v="11552"/>
    <n v="19"/>
    <x v="0"/>
    <s v="March"/>
    <n v="456"/>
  </r>
  <r>
    <s v="2025-04-02"/>
    <x v="0"/>
    <x v="0"/>
    <x v="2"/>
    <n v="4540"/>
    <n v="5"/>
    <x v="1"/>
    <s v="April"/>
    <n v="432"/>
  </r>
  <r>
    <s v="2025-02-07"/>
    <x v="4"/>
    <x v="2"/>
    <x v="0"/>
    <n v="4216"/>
    <n v="8"/>
    <x v="0"/>
    <s v="February"/>
    <n v="486"/>
  </r>
  <r>
    <s v="2025-02-17"/>
    <x v="2"/>
    <x v="2"/>
    <x v="0"/>
    <n v="4140"/>
    <n v="18"/>
    <x v="0"/>
    <s v="February"/>
    <n v="476"/>
  </r>
  <r>
    <s v="2025-03-12"/>
    <x v="1"/>
    <x v="1"/>
    <x v="3"/>
    <n v="8610"/>
    <n v="10"/>
    <x v="0"/>
    <s v="March"/>
    <n v="453"/>
  </r>
  <r>
    <s v="2025-03-03"/>
    <x v="1"/>
    <x v="1"/>
    <x v="3"/>
    <n v="7200"/>
    <n v="8"/>
    <x v="0"/>
    <s v="March"/>
    <n v="462"/>
  </r>
  <r>
    <s v="2025-03-30"/>
    <x v="6"/>
    <x v="0"/>
    <x v="0"/>
    <n v="10849"/>
    <n v="19"/>
    <x v="1"/>
    <s v="March"/>
    <n v="435"/>
  </r>
  <r>
    <s v="2025-01-03"/>
    <x v="5"/>
    <x v="3"/>
    <x v="0"/>
    <n v="14256"/>
    <n v="16"/>
    <x v="2"/>
    <s v="January"/>
    <n v="521"/>
  </r>
  <r>
    <s v="2025-02-13"/>
    <x v="1"/>
    <x v="1"/>
    <x v="3"/>
    <n v="1464"/>
    <n v="2"/>
    <x v="0"/>
    <s v="February"/>
    <n v="480"/>
  </r>
  <r>
    <s v="2025-03-16"/>
    <x v="5"/>
    <x v="3"/>
    <x v="3"/>
    <n v="9622"/>
    <n v="17"/>
    <x v="1"/>
    <s v="March"/>
    <n v="449"/>
  </r>
  <r>
    <s v="2025-02-19"/>
    <x v="2"/>
    <x v="2"/>
    <x v="2"/>
    <n v="13420"/>
    <n v="20"/>
    <x v="0"/>
    <s v="February"/>
    <n v="474"/>
  </r>
  <r>
    <s v="2025-02-17"/>
    <x v="2"/>
    <x v="2"/>
    <x v="2"/>
    <n v="3004"/>
    <n v="4"/>
    <x v="0"/>
    <s v="February"/>
    <n v="476"/>
  </r>
  <r>
    <s v="2025-04-07"/>
    <x v="3"/>
    <x v="3"/>
    <x v="3"/>
    <n v="11865"/>
    <n v="15"/>
    <x v="1"/>
    <s v="April"/>
    <n v="427"/>
  </r>
  <r>
    <s v="2025-03-03"/>
    <x v="7"/>
    <x v="1"/>
    <x v="2"/>
    <n v="7395"/>
    <n v="17"/>
    <x v="0"/>
    <s v="March"/>
    <n v="462"/>
  </r>
  <r>
    <s v="2025-02-16"/>
    <x v="0"/>
    <x v="0"/>
    <x v="0"/>
    <n v="12701"/>
    <n v="13"/>
    <x v="0"/>
    <s v="February"/>
    <n v="477"/>
  </r>
  <r>
    <s v="2025-04-19"/>
    <x v="2"/>
    <x v="2"/>
    <x v="0"/>
    <n v="8697"/>
    <n v="13"/>
    <x v="1"/>
    <s v="April"/>
    <n v="415"/>
  </r>
  <r>
    <s v="2025-02-05"/>
    <x v="3"/>
    <x v="3"/>
    <x v="3"/>
    <n v="2728"/>
    <n v="11"/>
    <x v="0"/>
    <s v="February"/>
    <n v="488"/>
  </r>
  <r>
    <s v="2025-01-01"/>
    <x v="5"/>
    <x v="3"/>
    <x v="1"/>
    <n v="7395"/>
    <n v="17"/>
    <x v="2"/>
    <s v="January"/>
    <n v="523"/>
  </r>
  <r>
    <s v="2025-03-28"/>
    <x v="7"/>
    <x v="1"/>
    <x v="0"/>
    <n v="632"/>
    <n v="1"/>
    <x v="1"/>
    <s v="March"/>
    <n v="437"/>
  </r>
  <r>
    <s v="2025-03-16"/>
    <x v="4"/>
    <x v="2"/>
    <x v="3"/>
    <n v="1044"/>
    <n v="3"/>
    <x v="1"/>
    <s v="March"/>
    <n v="449"/>
  </r>
  <r>
    <s v="2025-02-25"/>
    <x v="2"/>
    <x v="2"/>
    <x v="0"/>
    <n v="4779"/>
    <n v="9"/>
    <x v="0"/>
    <s v="February"/>
    <n v="468"/>
  </r>
  <r>
    <s v="2025-01-12"/>
    <x v="0"/>
    <x v="0"/>
    <x v="0"/>
    <n v="636"/>
    <n v="2"/>
    <x v="2"/>
    <s v="January"/>
    <n v="512"/>
  </r>
  <r>
    <s v="2025-02-14"/>
    <x v="7"/>
    <x v="1"/>
    <x v="1"/>
    <n v="7800"/>
    <n v="10"/>
    <x v="0"/>
    <s v="February"/>
    <n v="479"/>
  </r>
  <r>
    <s v="2025-01-29"/>
    <x v="0"/>
    <x v="0"/>
    <x v="3"/>
    <n v="545"/>
    <n v="5"/>
    <x v="0"/>
    <s v="January"/>
    <n v="495"/>
  </r>
  <r>
    <s v="2025-02-18"/>
    <x v="2"/>
    <x v="2"/>
    <x v="0"/>
    <n v="6040"/>
    <n v="20"/>
    <x v="0"/>
    <s v="February"/>
    <n v="475"/>
  </r>
  <r>
    <s v="2025-03-08"/>
    <x v="1"/>
    <x v="1"/>
    <x v="3"/>
    <n v="8136"/>
    <n v="9"/>
    <x v="0"/>
    <s v="March"/>
    <n v="457"/>
  </r>
  <r>
    <s v="2025-01-02"/>
    <x v="7"/>
    <x v="1"/>
    <x v="3"/>
    <n v="3928"/>
    <n v="4"/>
    <x v="2"/>
    <s v="January"/>
    <n v="522"/>
  </r>
  <r>
    <s v="2025-01-23"/>
    <x v="7"/>
    <x v="1"/>
    <x v="2"/>
    <n v="2968"/>
    <n v="14"/>
    <x v="2"/>
    <s v="January"/>
    <n v="501"/>
  </r>
  <r>
    <s v="2025-02-01"/>
    <x v="1"/>
    <x v="1"/>
    <x v="2"/>
    <n v="3955"/>
    <n v="5"/>
    <x v="0"/>
    <s v="February"/>
    <n v="492"/>
  </r>
  <r>
    <s v="2025-02-14"/>
    <x v="2"/>
    <x v="2"/>
    <x v="0"/>
    <n v="4048"/>
    <n v="8"/>
    <x v="0"/>
    <s v="February"/>
    <n v="479"/>
  </r>
  <r>
    <s v="2025-03-11"/>
    <x v="5"/>
    <x v="3"/>
    <x v="2"/>
    <n v="6464"/>
    <n v="8"/>
    <x v="0"/>
    <s v="March"/>
    <n v="454"/>
  </r>
  <r>
    <s v="2025-02-22"/>
    <x v="0"/>
    <x v="0"/>
    <x v="3"/>
    <n v="3042"/>
    <n v="13"/>
    <x v="0"/>
    <s v="February"/>
    <n v="471"/>
  </r>
  <r>
    <s v="2025-04-14"/>
    <x v="7"/>
    <x v="1"/>
    <x v="3"/>
    <n v="9480"/>
    <n v="15"/>
    <x v="1"/>
    <s v="April"/>
    <n v="420"/>
  </r>
  <r>
    <s v="2025-01-09"/>
    <x v="2"/>
    <x v="2"/>
    <x v="3"/>
    <n v="16321"/>
    <n v="19"/>
    <x v="2"/>
    <s v="January"/>
    <n v="515"/>
  </r>
  <r>
    <s v="2025-04-09"/>
    <x v="1"/>
    <x v="1"/>
    <x v="2"/>
    <n v="8436"/>
    <n v="19"/>
    <x v="1"/>
    <s v="April"/>
    <n v="425"/>
  </r>
  <r>
    <s v="2025-03-31"/>
    <x v="1"/>
    <x v="1"/>
    <x v="0"/>
    <n v="2832"/>
    <n v="8"/>
    <x v="1"/>
    <s v="March"/>
    <n v="434"/>
  </r>
  <r>
    <s v="2025-02-05"/>
    <x v="6"/>
    <x v="0"/>
    <x v="1"/>
    <n v="8604"/>
    <n v="18"/>
    <x v="0"/>
    <s v="February"/>
    <n v="488"/>
  </r>
  <r>
    <s v="2025-01-08"/>
    <x v="0"/>
    <x v="0"/>
    <x v="1"/>
    <n v="2805"/>
    <n v="5"/>
    <x v="2"/>
    <s v="January"/>
    <n v="516"/>
  </r>
  <r>
    <s v="2025-02-02"/>
    <x v="6"/>
    <x v="0"/>
    <x v="2"/>
    <n v="5544"/>
    <n v="7"/>
    <x v="0"/>
    <s v="February"/>
    <n v="491"/>
  </r>
  <r>
    <s v="2025-01-10"/>
    <x v="4"/>
    <x v="2"/>
    <x v="3"/>
    <n v="1694"/>
    <n v="11"/>
    <x v="2"/>
    <s v="January"/>
    <n v="514"/>
  </r>
  <r>
    <s v="2025-01-08"/>
    <x v="2"/>
    <x v="2"/>
    <x v="1"/>
    <n v="5760"/>
    <n v="9"/>
    <x v="2"/>
    <s v="January"/>
    <n v="516"/>
  </r>
  <r>
    <s v="2025-02-24"/>
    <x v="5"/>
    <x v="3"/>
    <x v="0"/>
    <n v="8550"/>
    <n v="10"/>
    <x v="0"/>
    <s v="February"/>
    <n v="469"/>
  </r>
  <r>
    <s v="2025-01-11"/>
    <x v="6"/>
    <x v="0"/>
    <x v="1"/>
    <n v="1220"/>
    <n v="5"/>
    <x v="2"/>
    <s v="January"/>
    <n v="513"/>
  </r>
  <r>
    <s v="2025-04-30"/>
    <x v="4"/>
    <x v="2"/>
    <x v="3"/>
    <n v="2490"/>
    <n v="15"/>
    <x v="1"/>
    <s v="April"/>
    <n v="404"/>
  </r>
  <r>
    <s v="2025-03-15"/>
    <x v="0"/>
    <x v="0"/>
    <x v="3"/>
    <n v="3225"/>
    <n v="15"/>
    <x v="1"/>
    <s v="March"/>
    <n v="450"/>
  </r>
  <r>
    <s v="2025-03-09"/>
    <x v="6"/>
    <x v="0"/>
    <x v="3"/>
    <n v="7930"/>
    <n v="13"/>
    <x v="0"/>
    <s v="March"/>
    <n v="456"/>
  </r>
  <r>
    <s v="2025-04-09"/>
    <x v="5"/>
    <x v="3"/>
    <x v="0"/>
    <n v="12920"/>
    <n v="19"/>
    <x v="1"/>
    <s v="April"/>
    <n v="425"/>
  </r>
  <r>
    <s v="2025-03-09"/>
    <x v="4"/>
    <x v="2"/>
    <x v="0"/>
    <n v="4685"/>
    <n v="5"/>
    <x v="0"/>
    <s v="March"/>
    <n v="456"/>
  </r>
  <r>
    <s v="2025-02-06"/>
    <x v="1"/>
    <x v="1"/>
    <x v="3"/>
    <n v="808"/>
    <n v="8"/>
    <x v="0"/>
    <s v="February"/>
    <n v="487"/>
  </r>
  <r>
    <s v="2025-04-02"/>
    <x v="3"/>
    <x v="3"/>
    <x v="0"/>
    <n v="1592"/>
    <n v="4"/>
    <x v="1"/>
    <s v="April"/>
    <n v="432"/>
  </r>
  <r>
    <s v="2025-05-01"/>
    <x v="2"/>
    <x v="2"/>
    <x v="1"/>
    <n v="14860"/>
    <n v="20"/>
    <x v="1"/>
    <s v="May"/>
    <n v="403"/>
  </r>
  <r>
    <s v="2025-01-01"/>
    <x v="5"/>
    <x v="3"/>
    <x v="1"/>
    <n v="8040"/>
    <n v="10"/>
    <x v="2"/>
    <s v="January"/>
    <n v="523"/>
  </r>
  <r>
    <s v="2025-04-15"/>
    <x v="5"/>
    <x v="3"/>
    <x v="2"/>
    <n v="3880"/>
    <n v="20"/>
    <x v="1"/>
    <s v="April"/>
    <n v="419"/>
  </r>
  <r>
    <s v="2025-04-18"/>
    <x v="2"/>
    <x v="2"/>
    <x v="2"/>
    <n v="2522"/>
    <n v="13"/>
    <x v="1"/>
    <s v="April"/>
    <n v="416"/>
  </r>
  <r>
    <s v="2025-02-13"/>
    <x v="3"/>
    <x v="3"/>
    <x v="0"/>
    <n v="852"/>
    <n v="2"/>
    <x v="0"/>
    <s v="February"/>
    <n v="480"/>
  </r>
  <r>
    <s v="2025-03-11"/>
    <x v="0"/>
    <x v="0"/>
    <x v="0"/>
    <n v="1185"/>
    <n v="5"/>
    <x v="0"/>
    <s v="March"/>
    <n v="454"/>
  </r>
  <r>
    <s v="2025-03-25"/>
    <x v="0"/>
    <x v="0"/>
    <x v="0"/>
    <n v="1836"/>
    <n v="12"/>
    <x v="1"/>
    <s v="March"/>
    <n v="440"/>
  </r>
  <r>
    <s v="2025-01-22"/>
    <x v="7"/>
    <x v="1"/>
    <x v="2"/>
    <n v="3835"/>
    <n v="5"/>
    <x v="2"/>
    <s v="January"/>
    <n v="502"/>
  </r>
  <r>
    <s v="2025-02-23"/>
    <x v="2"/>
    <x v="2"/>
    <x v="0"/>
    <n v="2460"/>
    <n v="12"/>
    <x v="0"/>
    <s v="February"/>
    <n v="470"/>
  </r>
  <r>
    <s v="2025-02-05"/>
    <x v="5"/>
    <x v="3"/>
    <x v="3"/>
    <n v="3941"/>
    <n v="7"/>
    <x v="0"/>
    <s v="February"/>
    <n v="4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8E168-E9D6-485B-A8E2-CD5E85A01C23}" name="PivotChartTable7" cacheId="16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1:B10" firstHeaderRow="1" firstDataRow="1" firstDataCol="1"/>
  <pivotFields count="3">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Sum of Sales Amount" fld="0"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9" columnCount="1" cacheId="24108180">
        <x15:pivotRow count="1">
          <x15:c>
            <x15:v>110928</x15:v>
          </x15:c>
        </x15:pivotRow>
        <x15:pivotRow count="1">
          <x15:c>
            <x15:v>34687</x15:v>
          </x15:c>
        </x15:pivotRow>
        <x15:pivotRow count="1">
          <x15:c>
            <x15:v>55834</x15:v>
          </x15:c>
        </x15:pivotRow>
        <x15:pivotRow count="1">
          <x15:c>
            <x15:v>42624</x15:v>
          </x15:c>
        </x15:pivotRow>
        <x15:pivotRow count="1">
          <x15:c>
            <x15:v>120105</x15:v>
          </x15:c>
        </x15:pivotRow>
        <x15:pivotRow count="1">
          <x15:c>
            <x15:v>72506</x15:v>
          </x15:c>
        </x15:pivotRow>
        <x15:pivotRow count="1">
          <x15:c>
            <x15:v>52563</x15:v>
          </x15:c>
        </x15:pivotRow>
        <x15:pivotRow count="1">
          <x15:c>
            <x15:v>38873</x15:v>
          </x15:c>
        </x15:pivotRow>
        <x15:pivotRow count="1">
          <x15:c>
            <x15:v>528120</x15:v>
          </x15:c>
        </x15:pivotRow>
      </x15:pivotTableData>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B8E168-E9D6-485B-A8E2-CD5E85A01C23}" name="PivotChartTable4" cacheId="16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1:B69" firstHeaderRow="1" firstDataRow="1" firstDataCol="1"/>
  <pivotFields count="4">
    <pivotField dataField="1" subtotalTop="0" showAll="0" defaultSubtotal="0"/>
    <pivotField axis="axisRow" allDrilled="1" subtotalTop="0" showAll="0" dataSourceSort="1" defaultSubtotal="0" defaultAttributeDrillState="1">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Items count="1">
    <i/>
  </colItems>
  <dataFields count="1">
    <dataField name="Sum of Sales Amount" fld="0"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8" columnCount="1" cacheId="1708404723">
        <x15:pivotRow count="1">
          <x15:c>
            <x15:v>15435</x15:v>
          </x15:c>
        </x15:pivotRow>
        <x15:pivotRow count="1">
          <x15:c>
            <x15:v>3928</x15:v>
          </x15:c>
        </x15:pivotRow>
        <x15:pivotRow count="1">
          <x15:c>
            <x15:v>16350</x15:v>
          </x15:c>
        </x15:pivotRow>
        <x15:pivotRow count="1">
          <x15:c>
            <x15:v>7398</x15:v>
          </x15:c>
        </x15:pivotRow>
        <x15:pivotRow count="1">
          <x15:c>
            <x15:v>8565</x15:v>
          </x15:c>
        </x15:pivotRow>
        <x15:pivotRow count="1">
          <x15:c>
            <x15:v>16321</x15:v>
          </x15:c>
        </x15:pivotRow>
        <x15:pivotRow count="1">
          <x15:c>
            <x15:v>1694</x15:v>
          </x15:c>
        </x15:pivotRow>
        <x15:pivotRow count="1">
          <x15:c>
            <x15:v>1220</x15:v>
          </x15:c>
        </x15:pivotRow>
        <x15:pivotRow count="1">
          <x15:c>
            <x15:v>636</x15:v>
          </x15:c>
        </x15:pivotRow>
        <x15:pivotRow count="1">
          <x15:c>
            <x15:v>9265</x15:v>
          </x15:c>
        </x15:pivotRow>
        <x15:pivotRow count="1">
          <x15:c>
            <x15:v>5832</x15:v>
          </x15:c>
        </x15:pivotRow>
        <x15:pivotRow count="1">
          <x15:c>
            <x15:v>14366</x15:v>
          </x15:c>
        </x15:pivotRow>
        <x15:pivotRow count="1">
          <x15:c>
            <x15:v>8719</x15:v>
          </x15:c>
        </x15:pivotRow>
        <x15:pivotRow count="1">
          <x15:c>
            <x15:v>2968</x15:v>
          </x15:c>
        </x15:pivotRow>
        <x15:pivotRow count="1">
          <x15:c>
            <x15:v>6855</x15:v>
          </x15:c>
        </x15:pivotRow>
        <x15:pivotRow count="1">
          <x15:c>
            <x15:v>545</x15:v>
          </x15:c>
        </x15:pivotRow>
        <x15:pivotRow count="1">
          <x15:c>
            <x15:v>3955</x15:v>
          </x15:c>
        </x15:pivotRow>
        <x15:pivotRow count="1">
          <x15:c>
            <x15:v>5544</x15:v>
          </x15:c>
        </x15:pivotRow>
        <x15:pivotRow count="1">
          <x15:c>
            <x15:v>2134</x15:v>
          </x15:c>
        </x15:pivotRow>
        <x15:pivotRow count="1">
          <x15:c>
            <x15:v>31595</x15:v>
          </x15:c>
        </x15:pivotRow>
        <x15:pivotRow count="1">
          <x15:c>
            <x15:v>1484</x15:v>
          </x15:c>
        </x15:pivotRow>
        <x15:pivotRow count="1">
          <x15:c>
            <x15:v>4216</x15:v>
          </x15:c>
        </x15:pivotRow>
        <x15:pivotRow count="1">
          <x15:c>
            <x15:v>4449</x15:v>
          </x15:c>
        </x15:pivotRow>
        <x15:pivotRow count="1">
          <x15:c>
            <x15:v>6885</x15:v>
          </x15:c>
        </x15:pivotRow>
        <x15:pivotRow count="1">
          <x15:c>
            <x15:v>6312</x15:v>
          </x15:c>
        </x15:pivotRow>
        <x15:pivotRow count="1">
          <x15:c>
            <x15:v>11848</x15:v>
          </x15:c>
        </x15:pivotRow>
        <x15:pivotRow count="1">
          <x15:c>
            <x15:v>2560</x15:v>
          </x15:c>
        </x15:pivotRow>
        <x15:pivotRow count="1">
          <x15:c>
            <x15:v>14975</x15:v>
          </x15:c>
        </x15:pivotRow>
        <x15:pivotRow count="1">
          <x15:c>
            <x15:v>7144</x15:v>
          </x15:c>
        </x15:pivotRow>
        <x15:pivotRow count="1">
          <x15:c>
            <x15:v>6040</x15:v>
          </x15:c>
        </x15:pivotRow>
        <x15:pivotRow count="1">
          <x15:c>
            <x15:v>13420</x15:v>
          </x15:c>
        </x15:pivotRow>
        <x15:pivotRow count="1">
          <x15:c>
            <x15:v>3042</x15:v>
          </x15:c>
        </x15:pivotRow>
        <x15:pivotRow count="1">
          <x15:c>
            <x15:v>2460</x15:v>
          </x15:c>
        </x15:pivotRow>
        <x15:pivotRow count="1">
          <x15:c>
            <x15:v>8550</x15:v>
          </x15:c>
        </x15:pivotRow>
        <x15:pivotRow count="1">
          <x15:c>
            <x15:v>4779</x15:v>
          </x15:c>
        </x15:pivotRow>
        <x15:pivotRow count="1">
          <x15:c>
            <x15:v>2388</x15:v>
          </x15:c>
        </x15:pivotRow>
        <x15:pivotRow count="1">
          <x15:c>
            <x15:v>2598</x15:v>
          </x15:c>
        </x15:pivotRow>
        <x15:pivotRow count="1">
          <x15:c>
            <x15:v>14595</x15:v>
          </x15:c>
        </x15:pivotRow>
        <x15:pivotRow count="1">
          <x15:c>
            <x15:v>6948</x15:v>
          </x15:c>
        </x15:pivotRow>
        <x15:pivotRow count="1">
          <x15:c>
            <x15:v>9310</x15:v>
          </x15:c>
        </x15:pivotRow>
        <x15:pivotRow count="1">
          <x15:c>
            <x15:v>558</x15:v>
          </x15:c>
        </x15:pivotRow>
        <x15:pivotRow count="1">
          <x15:c>
            <x15:v>8136</x15:v>
          </x15:c>
        </x15:pivotRow>
        <x15:pivotRow count="1">
          <x15:c>
            <x15:v>24167</x15:v>
          </x15:c>
        </x15:pivotRow>
        <x15:pivotRow count="1">
          <x15:c>
            <x15:v>7649</x15:v>
          </x15:c>
        </x15:pivotRow>
        <x15:pivotRow count="1">
          <x15:c>
            <x15:v>8610</x15:v>
          </x15:c>
        </x15:pivotRow>
        <x15:pivotRow count="1">
          <x15:c>
            <x15:v>3225</x15:v>
          </x15:c>
        </x15:pivotRow>
        <x15:pivotRow count="1">
          <x15:c>
            <x15:v>11683</x15:v>
          </x15:c>
        </x15:pivotRow>
        <x15:pivotRow count="1">
          <x15:c>
            <x15:v>7875</x15:v>
          </x15:c>
        </x15:pivotRow>
        <x15:pivotRow count="1">
          <x15:c>
            <x15:v>13880</x15:v>
          </x15:c>
        </x15:pivotRow>
        <x15:pivotRow count="1">
          <x15:c>
            <x15:v>7683</x15:v>
          </x15:c>
        </x15:pivotRow>
        <x15:pivotRow count="1">
          <x15:c>
            <x15:v>8249</x15:v>
          </x15:c>
        </x15:pivotRow>
        <x15:pivotRow count="1">
          <x15:c>
            <x15:v>8472</x15:v>
          </x15:c>
        </x15:pivotRow>
        <x15:pivotRow count="1">
          <x15:c>
            <x15:v>10849</x15:v>
          </x15:c>
        </x15:pivotRow>
        <x15:pivotRow count="1">
          <x15:c>
            <x15:v>3143</x15:v>
          </x15:c>
        </x15:pivotRow>
        <x15:pivotRow count="1">
          <x15:c>
            <x15:v>2853</x15:v>
          </x15:c>
        </x15:pivotRow>
        <x15:pivotRow count="1">
          <x15:c>
            <x15:v>8822</x15:v>
          </x15:c>
        </x15:pivotRow>
        <x15:pivotRow count="1">
          <x15:c>
            <x15:v>11865</x15:v>
          </x15:c>
        </x15:pivotRow>
        <x15:pivotRow count="1">
          <x15:c>
            <x15:v>21356</x15:v>
          </x15:c>
        </x15:pivotRow>
        <x15:pivotRow count="1">
          <x15:c>
            <x15:v>9480</x15:v>
          </x15:c>
        </x15:pivotRow>
        <x15:pivotRow count="1">
          <x15:c>
            <x15:v>16800</x15:v>
          </x15:c>
        </x15:pivotRow>
        <x15:pivotRow count="1">
          <x15:c>
            <x15:v>1944</x15:v>
          </x15:c>
        </x15:pivotRow>
        <x15:pivotRow count="1">
          <x15:c>
            <x15:v>2522</x15:v>
          </x15:c>
        </x15:pivotRow>
        <x15:pivotRow count="1">
          <x15:c>
            <x15:v>8697</x15:v>
          </x15:c>
        </x15:pivotRow>
        <x15:pivotRow count="1">
          <x15:c>
            <x15:v>229</x15:v>
          </x15:c>
        </x15:pivotRow>
        <x15:pivotRow count="1">
          <x15:c>
            <x15:v>1905</x15:v>
          </x15:c>
        </x15:pivotRow>
        <x15:pivotRow count="1">
          <x15:c>
            <x15:v>2490</x15:v>
          </x15:c>
        </x15:pivotRow>
        <x15:pivotRow count="1">
          <x15:c>
            <x15:v>17650</x15:v>
          </x15:c>
        </x15:pivotRow>
        <x15:pivotRow count="1">
          <x15:c>
            <x15:v>528120</x15:v>
          </x15:c>
        </x15:pivotRow>
      </x15:pivotTableData>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B8E168-E9D6-485B-A8E2-CD5E85A01C23}" name="PivotChartTable1" cacheId="16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1:B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Sales Amount" fld="1"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512162058">
        <x15:pivotRow count="1">
          <x15:c>
            <x15:v>153552</x15:v>
          </x15:c>
        </x15:pivotRow>
        <x15:pivotRow count="1">
          <x15:c>
            <x15:v>158978</x15:v>
          </x15:c>
        </x15:pivotRow>
        <x15:pivotRow count="1">
          <x15:c>
            <x15:v>128340</x15:v>
          </x15:c>
        </x15:pivotRow>
        <x15:pivotRow count="1">
          <x15:c>
            <x15:v>87250</x15:v>
          </x15:c>
        </x15:pivotRow>
        <x15:pivotRow count="1">
          <x15:c>
            <x15:v>528120</x15:v>
          </x15:c>
        </x15:pivotRow>
      </x15:pivotTableData>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B8E168-E9D6-485B-A8E2-CD5E85A01C23}" name="PivotChartTable2" cacheId="16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1:B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 fld="0" baseField="0" baseItem="0"/>
  </dataFields>
  <chartFormats count="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0"/>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 chart="2" format="5">
      <pivotArea type="data" outline="0" fieldPosition="0">
        <references count="2">
          <reference field="4294967294" count="1" selected="0">
            <x v="0"/>
          </reference>
          <reference field="1" count="1" selected="0">
            <x v="2"/>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090236357">
        <x15:pivotRow count="1">
          <x15:c>
            <x15:v>171871</x15:v>
          </x15:c>
        </x15:pivotRow>
        <x15:pivotRow count="1">
          <x15:c>
            <x15:v>137638</x15:v>
          </x15:c>
        </x15:pivotRow>
        <x15:pivotRow count="1">
          <x15:c>
            <x15:v>110772</x15:v>
          </x15:c>
        </x15:pivotRow>
        <x15:pivotRow count="1">
          <x15:c>
            <x15:v>107839</x15:v>
          </x15:c>
        </x15:pivotRow>
        <x15:pivotRow count="1">
          <x15:c>
            <x15:v>528120</x15:v>
          </x15:c>
        </x15:pivotRow>
      </x15:pivotTableData>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97C83E1-4E87-43A2-A2BF-F2853EC4DE2E}"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5:B20" firstHeaderRow="1" firstDataRow="1" firstDataCol="1"/>
  <pivotFields count="9">
    <pivotField showAll="0"/>
    <pivotField showAll="0"/>
    <pivotField showAll="0"/>
    <pivotField axis="axisRow" showAll="0">
      <items count="5">
        <item x="0"/>
        <item x="3"/>
        <item x="1"/>
        <item x="2"/>
        <item t="default"/>
      </items>
    </pivotField>
    <pivotField showAll="0"/>
    <pivotField dataField="1" showAll="0"/>
    <pivotField showAll="0"/>
    <pivotField showAll="0"/>
    <pivotField showAll="0"/>
  </pivotFields>
  <rowFields count="1">
    <field x="3"/>
  </rowFields>
  <rowItems count="5">
    <i>
      <x/>
    </i>
    <i>
      <x v="1"/>
    </i>
    <i>
      <x v="2"/>
    </i>
    <i>
      <x v="3"/>
    </i>
    <i t="grand">
      <x/>
    </i>
  </rowItems>
  <colItems count="1">
    <i/>
  </colItems>
  <dataFields count="1">
    <dataField name="Sum of Quantity Sold" fld="5"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732B16-D82E-4CB3-915B-F63571E3FD06}"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2" firstHeaderRow="1" firstDataRow="1" firstDataCol="1"/>
  <pivotFields count="9">
    <pivotField showAll="0"/>
    <pivotField axis="axisRow" showAll="0">
      <items count="9">
        <item x="5"/>
        <item x="6"/>
        <item x="7"/>
        <item x="3"/>
        <item x="2"/>
        <item x="1"/>
        <item x="0"/>
        <item x="4"/>
        <item t="default"/>
      </items>
    </pivotField>
    <pivotField showAll="0"/>
    <pivotField showAll="0"/>
    <pivotField dataField="1" showAll="0"/>
    <pivotField showAll="0"/>
    <pivotField showAll="0"/>
    <pivotField showAll="0"/>
    <pivotField showAll="0"/>
  </pivotFields>
  <rowFields count="1">
    <field x="1"/>
  </rowFields>
  <rowItems count="9">
    <i>
      <x/>
    </i>
    <i>
      <x v="1"/>
    </i>
    <i>
      <x v="2"/>
    </i>
    <i>
      <x v="3"/>
    </i>
    <i>
      <x v="4"/>
    </i>
    <i>
      <x v="5"/>
    </i>
    <i>
      <x v="6"/>
    </i>
    <i>
      <x v="7"/>
    </i>
    <i t="grand">
      <x/>
    </i>
  </rowItems>
  <colItems count="1">
    <i/>
  </colItems>
  <dataFields count="1">
    <dataField name="Sum of Sales Amount"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3037DC-5014-4D0F-AAFB-5A37C7DAD565}"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24:F30" firstHeaderRow="1" firstDataRow="2" firstDataCol="1"/>
  <pivotFields count="9">
    <pivotField showAll="0"/>
    <pivotField showAll="0"/>
    <pivotField axis="axisRow" showAll="0">
      <items count="5">
        <item x="3"/>
        <item x="2"/>
        <item x="1"/>
        <item x="0"/>
        <item t="default"/>
      </items>
    </pivotField>
    <pivotField axis="axisCol" showAll="0">
      <items count="5">
        <item x="0"/>
        <item x="3"/>
        <item x="1"/>
        <item x="2"/>
        <item t="default"/>
      </items>
    </pivotField>
    <pivotField dataField="1" showAll="0"/>
    <pivotField showAll="0"/>
    <pivotField showAll="0"/>
    <pivotField showAll="0"/>
    <pivotField showAll="0"/>
  </pivotFields>
  <rowFields count="1">
    <field x="2"/>
  </rowFields>
  <rowItems count="5">
    <i>
      <x/>
    </i>
    <i>
      <x v="1"/>
    </i>
    <i>
      <x v="2"/>
    </i>
    <i>
      <x v="3"/>
    </i>
    <i t="grand">
      <x/>
    </i>
  </rowItems>
  <colFields count="1">
    <field x="3"/>
  </colFields>
  <colItems count="5">
    <i>
      <x/>
    </i>
    <i>
      <x v="1"/>
    </i>
    <i>
      <x v="2"/>
    </i>
    <i>
      <x v="3"/>
    </i>
    <i t="grand">
      <x/>
    </i>
  </colItems>
  <dataFields count="1">
    <dataField name="Sum of Sales Amount"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C7F952-E053-4868-921E-BB5DFF2443E0}" name="PivotTable3" cacheId="158" applyNumberFormats="0" applyBorderFormats="0" applyFontFormats="0" applyPatternFormats="0" applyAlignmentFormats="0" applyWidthHeightFormats="1" dataCaption="Values" tag="19fea12e-6a48-49c6-b245-fedcbbd98610" updatedVersion="8" minRefreshableVersion="3" useAutoFormatting="1" subtotalHiddenItems="1" itemPrintTitles="1" createdVersion="8" indent="0" outline="1" outlineData="1" multipleFieldFilters="0" chartFormat="9">
  <location ref="A21:B89" firstHeaderRow="1" firstDataRow="1" firstDataCol="1"/>
  <pivotFields count="4">
    <pivotField dataField="1" subtotalTop="0" showAll="0" defaultSubtotal="0"/>
    <pivotField axis="axisRow" allDrilled="1" subtotalTop="0" showAll="0" dataSourceSort="1" defaultSubtotal="0" defaultAttributeDrillState="1">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Items count="1">
    <i/>
  </colItems>
  <dataFields count="1">
    <dataField name="Sum of Sales Amount" fld="0" baseField="0" baseItem="0"/>
  </dataFields>
  <chartFormats count="3">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1DC6443-2DE8-40B9-B170-7E927B1F516C}" name="PivotTable2" cacheId="159" applyNumberFormats="0" applyBorderFormats="0" applyFontFormats="0" applyPatternFormats="0" applyAlignmentFormats="0" applyWidthHeightFormats="1" dataCaption="Values" tag="183eb749-91c8-4f7c-a866-501c12e95171" updatedVersion="8" minRefreshableVersion="3" useAutoFormatting="1" subtotalHiddenItems="1" itemPrintTitles="1" createdVersion="8" indent="0" outline="1" outlineData="1" multipleFieldFilters="0" chartFormat="12">
  <location ref="A12:F18" firstHeaderRow="1" firstDataRow="2"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Fields count="1">
    <field x="2"/>
  </colFields>
  <colItems count="5">
    <i>
      <x/>
    </i>
    <i>
      <x v="1"/>
    </i>
    <i>
      <x v="2"/>
    </i>
    <i>
      <x v="3"/>
    </i>
    <i t="grand">
      <x/>
    </i>
  </colItems>
  <dataFields count="1">
    <dataField name="Sum of Sales Amount" fld="0" baseField="0" baseItem="0"/>
  </dataFields>
  <chartFormats count="12">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 chart="1" format="3" series="1">
      <pivotArea type="data" outline="0" fieldPosition="0">
        <references count="2">
          <reference field="4294967294" count="1" selected="0">
            <x v="0"/>
          </reference>
          <reference field="2" count="1" selected="0">
            <x v="3"/>
          </reference>
        </references>
      </pivotArea>
    </chartFormat>
    <chartFormat chart="6" format="8" series="1">
      <pivotArea type="data" outline="0" fieldPosition="0">
        <references count="2">
          <reference field="4294967294" count="1" selected="0">
            <x v="0"/>
          </reference>
          <reference field="2" count="1" selected="0">
            <x v="0"/>
          </reference>
        </references>
      </pivotArea>
    </chartFormat>
    <chartFormat chart="6" format="9" series="1">
      <pivotArea type="data" outline="0" fieldPosition="0">
        <references count="2">
          <reference field="4294967294" count="1" selected="0">
            <x v="0"/>
          </reference>
          <reference field="2" count="1" selected="0">
            <x v="1"/>
          </reference>
        </references>
      </pivotArea>
    </chartFormat>
    <chartFormat chart="6" format="10" series="1">
      <pivotArea type="data" outline="0" fieldPosition="0">
        <references count="2">
          <reference field="4294967294" count="1" selected="0">
            <x v="0"/>
          </reference>
          <reference field="2" count="1" selected="0">
            <x v="2"/>
          </reference>
        </references>
      </pivotArea>
    </chartFormat>
    <chartFormat chart="6" format="11" series="1">
      <pivotArea type="data" outline="0" fieldPosition="0">
        <references count="2">
          <reference field="4294967294" count="1" selected="0">
            <x v="0"/>
          </reference>
          <reference field="2" count="1" selected="0">
            <x v="3"/>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71CD358-8FB2-4CE4-A7EF-3B043A23920F}" name="PivotTable5" cacheId="7"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4">
  <location ref="G54:H58" firstHeaderRow="1" firstDataRow="1" firstDataCol="1"/>
  <pivotFields count="9">
    <pivotField showAll="0"/>
    <pivotField showAll="0"/>
    <pivotField showAll="0"/>
    <pivotField showAll="0"/>
    <pivotField dataField="1" showAll="0"/>
    <pivotField showAll="0"/>
    <pivotField axis="axisRow" showAll="0">
      <items count="4">
        <item x="1"/>
        <item x="0"/>
        <item x="2"/>
        <item t="default"/>
      </items>
    </pivotField>
    <pivotField showAll="0"/>
    <pivotField showAll="0"/>
  </pivotFields>
  <rowFields count="1">
    <field x="6"/>
  </rowFields>
  <rowItems count="4">
    <i>
      <x/>
    </i>
    <i>
      <x v="1"/>
    </i>
    <i>
      <x v="2"/>
    </i>
    <i t="grand">
      <x/>
    </i>
  </rowItems>
  <colItems count="1">
    <i/>
  </colItems>
  <dataFields count="1">
    <dataField name="Sum of Sales Amount" fld="4" baseField="0" baseItem="0"/>
  </dataFields>
  <chartFormats count="12">
    <chartFormat chart="3"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6" count="1" selected="0">
            <x v="0"/>
          </reference>
        </references>
      </pivotArea>
    </chartFormat>
    <chartFormat chart="7" format="7">
      <pivotArea type="data" outline="0" fieldPosition="0">
        <references count="2">
          <reference field="4294967294" count="1" selected="0">
            <x v="0"/>
          </reference>
          <reference field="6" count="1" selected="0">
            <x v="1"/>
          </reference>
        </references>
      </pivotArea>
    </chartFormat>
    <chartFormat chart="7" format="8">
      <pivotArea type="data" outline="0" fieldPosition="0">
        <references count="2">
          <reference field="4294967294" count="1" selected="0">
            <x v="0"/>
          </reference>
          <reference field="6" count="1" selected="0">
            <x v="2"/>
          </reference>
        </references>
      </pivotArea>
    </chartFormat>
    <chartFormat chart="12" format="21" series="1">
      <pivotArea type="data" outline="0" fieldPosition="0">
        <references count="1">
          <reference field="4294967294" count="1" selected="0">
            <x v="0"/>
          </reference>
        </references>
      </pivotArea>
    </chartFormat>
    <chartFormat chart="12" format="22">
      <pivotArea type="data" outline="0" fieldPosition="0">
        <references count="2">
          <reference field="4294967294" count="1" selected="0">
            <x v="0"/>
          </reference>
          <reference field="6" count="1" selected="0">
            <x v="0"/>
          </reference>
        </references>
      </pivotArea>
    </chartFormat>
    <chartFormat chart="12" format="23">
      <pivotArea type="data" outline="0" fieldPosition="0">
        <references count="2">
          <reference field="4294967294" count="1" selected="0">
            <x v="0"/>
          </reference>
          <reference field="6" count="1" selected="0">
            <x v="1"/>
          </reference>
        </references>
      </pivotArea>
    </chartFormat>
    <chartFormat chart="12" format="24">
      <pivotArea type="data" outline="0" fieldPosition="0">
        <references count="2">
          <reference field="4294967294" count="1" selected="0">
            <x v="0"/>
          </reference>
          <reference field="6" count="1" selected="0">
            <x v="2"/>
          </reference>
        </references>
      </pivotArea>
    </chartFormat>
    <chartFormat chart="3" format="1">
      <pivotArea type="data" outline="0" fieldPosition="0">
        <references count="2">
          <reference field="4294967294" count="1" selected="0">
            <x v="0"/>
          </reference>
          <reference field="6" count="1" selected="0">
            <x v="0"/>
          </reference>
        </references>
      </pivotArea>
    </chartFormat>
    <chartFormat chart="3" format="2">
      <pivotArea type="data" outline="0" fieldPosition="0">
        <references count="2">
          <reference field="4294967294" count="1" selected="0">
            <x v="0"/>
          </reference>
          <reference field="6" count="1" selected="0">
            <x v="1"/>
          </reference>
        </references>
      </pivotArea>
    </chartFormat>
    <chartFormat chart="3" format="3">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07C39E6-7EFD-41A7-A6F2-9BC9D61C026C}" name="PivotTable1" cacheId="160" applyNumberFormats="0" applyBorderFormats="0" applyFontFormats="0" applyPatternFormats="0" applyAlignmentFormats="0" applyWidthHeightFormats="1" dataCaption="Values" tag="09f27b6c-86ce-4d2e-8145-31655509b6d4" updatedVersion="8" minRefreshableVersion="3" useAutoFormatting="1" subtotalHiddenItems="1" itemPrintTitles="1" createdVersion="8" indent="0" outline="1" outlineData="1" multipleFieldFilters="0" chartFormat="19">
  <location ref="A3:B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 fld="0" baseField="0" baseItem="0"/>
  </dataFields>
  <chartFormats count="15">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0"/>
          </reference>
        </references>
      </pivotArea>
    </chartFormat>
    <chartFormat chart="7" format="2">
      <pivotArea type="data" outline="0" fieldPosition="0">
        <references count="2">
          <reference field="4294967294" count="1" selected="0">
            <x v="0"/>
          </reference>
          <reference field="1" count="1" selected="0">
            <x v="3"/>
          </reference>
        </references>
      </pivotArea>
    </chartFormat>
    <chartFormat chart="7" format="3">
      <pivotArea type="data" outline="0" fieldPosition="0">
        <references count="2">
          <reference field="4294967294" count="1" selected="0">
            <x v="0"/>
          </reference>
          <reference field="1" count="1" selected="0">
            <x v="2"/>
          </reference>
        </references>
      </pivotArea>
    </chartFormat>
    <chartFormat chart="7" format="4">
      <pivotArea type="data" outline="0" fieldPosition="0">
        <references count="2">
          <reference field="4294967294" count="1" selected="0">
            <x v="0"/>
          </reference>
          <reference field="1" count="1" selected="0">
            <x v="1"/>
          </reference>
        </references>
      </pivotArea>
    </chartFormat>
    <chartFormat chart="10" format="25" series="1">
      <pivotArea type="data" outline="0" fieldPosition="0">
        <references count="1">
          <reference field="4294967294" count="1" selected="0">
            <x v="0"/>
          </reference>
        </references>
      </pivotArea>
    </chartFormat>
    <chartFormat chart="10" format="26">
      <pivotArea type="data" outline="0" fieldPosition="0">
        <references count="2">
          <reference field="4294967294" count="1" selected="0">
            <x v="0"/>
          </reference>
          <reference field="1" count="1" selected="0">
            <x v="0"/>
          </reference>
        </references>
      </pivotArea>
    </chartFormat>
    <chartFormat chart="10" format="27">
      <pivotArea type="data" outline="0" fieldPosition="0">
        <references count="2">
          <reference field="4294967294" count="1" selected="0">
            <x v="0"/>
          </reference>
          <reference field="1" count="1" selected="0">
            <x v="1"/>
          </reference>
        </references>
      </pivotArea>
    </chartFormat>
    <chartFormat chart="10" format="28">
      <pivotArea type="data" outline="0" fieldPosition="0">
        <references count="2">
          <reference field="4294967294" count="1" selected="0">
            <x v="0"/>
          </reference>
          <reference field="1" count="1" selected="0">
            <x v="2"/>
          </reference>
        </references>
      </pivotArea>
    </chartFormat>
    <chartFormat chart="10" format="29">
      <pivotArea type="data" outline="0" fieldPosition="0">
        <references count="2">
          <reference field="4294967294" count="1" selected="0">
            <x v="0"/>
          </reference>
          <reference field="1" count="1" selected="0">
            <x v="3"/>
          </reference>
        </references>
      </pivotArea>
    </chartFormat>
    <chartFormat chart="18" format="20" series="1">
      <pivotArea type="data" outline="0" fieldPosition="0">
        <references count="1">
          <reference field="4294967294" count="1" selected="0">
            <x v="0"/>
          </reference>
        </references>
      </pivotArea>
    </chartFormat>
    <chartFormat chart="18" format="21">
      <pivotArea type="data" outline="0" fieldPosition="0">
        <references count="2">
          <reference field="4294967294" count="1" selected="0">
            <x v="0"/>
          </reference>
          <reference field="1" count="1" selected="0">
            <x v="0"/>
          </reference>
        </references>
      </pivotArea>
    </chartFormat>
    <chartFormat chart="18" format="22">
      <pivotArea type="data" outline="0" fieldPosition="0">
        <references count="2">
          <reference field="4294967294" count="1" selected="0">
            <x v="0"/>
          </reference>
          <reference field="1" count="1" selected="0">
            <x v="1"/>
          </reference>
        </references>
      </pivotArea>
    </chartFormat>
    <chartFormat chart="18" format="23">
      <pivotArea type="data" outline="0" fieldPosition="0">
        <references count="2">
          <reference field="4294967294" count="1" selected="0">
            <x v="0"/>
          </reference>
          <reference field="1" count="1" selected="0">
            <x v="2"/>
          </reference>
        </references>
      </pivotArea>
    </chartFormat>
    <chartFormat chart="18" format="24">
      <pivotArea type="data" outline="0" fieldPosition="0">
        <references count="2">
          <reference field="4294967294" count="1" selected="0">
            <x v="0"/>
          </reference>
          <reference field="1" count="1" selected="0">
            <x v="3"/>
          </reference>
        </references>
      </pivotArea>
    </chartFormat>
  </chart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799F642-04DB-44B4-BBF9-9A01C71759C7}"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22:E27" firstHeaderRow="1" firstDataRow="1" firstDataCol="1"/>
  <pivotFields count="9">
    <pivotField showAll="0"/>
    <pivotField showAll="0"/>
    <pivotField showAll="0"/>
    <pivotField axis="axisRow" showAll="0">
      <items count="5">
        <item x="0"/>
        <item x="3"/>
        <item x="1"/>
        <item x="2"/>
        <item t="default"/>
      </items>
    </pivotField>
    <pivotField showAll="0"/>
    <pivotField dataField="1" showAll="0"/>
    <pivotField showAll="0"/>
    <pivotField showAll="0"/>
    <pivotField showAll="0"/>
  </pivotFields>
  <rowFields count="1">
    <field x="3"/>
  </rowFields>
  <rowItems count="5">
    <i>
      <x/>
    </i>
    <i>
      <x v="1"/>
    </i>
    <i>
      <x v="2"/>
    </i>
    <i>
      <x v="3"/>
    </i>
    <i t="grand">
      <x/>
    </i>
  </rowItems>
  <colItems count="1">
    <i/>
  </colItems>
  <dataFields count="1">
    <dataField name="Sum of Quantity Sold" fld="5" baseField="0" baseItem="0"/>
  </dataFields>
  <chartFormats count="2">
    <chartFormat chart="7" format="6"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128EBF4-2D7B-426C-ABD0-2365164634C2}" name="PivotTable10" cacheId="161" applyNumberFormats="0" applyBorderFormats="0" applyFontFormats="0" applyPatternFormats="0" applyAlignmentFormats="0" applyWidthHeightFormats="1" dataCaption="Values" tag="4b3ccd36-9ce4-4742-8f1c-57ea2da5761f" updatedVersion="8" minRefreshableVersion="3" useAutoFormatting="1" itemPrintTitles="1" createdVersion="8" indent="0" outline="1" outlineData="1" multipleFieldFilters="0">
  <location ref="AT17:AT18"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AC589F7-3C6E-4979-9D8E-858CAE6E031F}" name="PivotTable7" cacheId="162" applyNumberFormats="0" applyBorderFormats="0" applyFontFormats="0" applyPatternFormats="0" applyAlignmentFormats="0" applyWidthHeightFormats="1" dataCaption="Values" tag="e44b7d1c-6656-445e-ad65-139e59ac45b6" updatedVersion="8" minRefreshableVersion="3" useAutoFormatting="1" itemPrintTitles="1" createdVersion="8" indent="0" outline="1" outlineData="1" multipleFieldFilters="0">
  <location ref="AT13:AT14"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463E624-481D-46E9-B834-503E31BC0315}" name="PivotTable9" cacheId="163" applyNumberFormats="0" applyBorderFormats="0" applyFontFormats="0" applyPatternFormats="0" applyAlignmentFormats="0" applyWidthHeightFormats="1" dataCaption="Values" tag="18503ac9-8080-4acf-8ff9-0541f3160fd4" updatedVersion="8" minRefreshableVersion="3" useAutoFormatting="1" subtotalHiddenItems="1" rowGrandTotals="0" itemPrintTitles="1" createdVersion="8" indent="0" showHeaders="0" outline="1" outlineData="1" multipleFieldFilters="0" chartFormat="12" rowHeaderCaption="Region">
  <location ref="BM23:BR28" firstHeaderRow="1" firstDataRow="2" firstDataCol="1"/>
  <pivotFields count="3">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Fields count="1">
    <field x="1"/>
  </colFields>
  <colItems count="5">
    <i>
      <x/>
    </i>
    <i>
      <x v="1"/>
    </i>
    <i>
      <x v="2"/>
    </i>
    <i>
      <x v="3"/>
    </i>
    <i t="grand">
      <x/>
    </i>
  </colItems>
  <dataFields count="1">
    <dataField name="Sum of Quantity Sold" fld="2" showDataAs="percentOfRow" baseField="0" baseItem="0" numFmtId="10"/>
  </dataFields>
  <formats count="1">
    <format dxfId="34">
      <pivotArea dataOnly="0" labelOnly="1" grandCol="1" outline="0" fieldPosition="0"/>
    </format>
  </formats>
  <conditionalFormats count="1">
    <conditionalFormat priority="1">
      <pivotAreas count="1">
        <pivotArea type="data" outline="0" collapsedLevelsAreSubtotals="1" fieldPosition="0">
          <references count="2">
            <reference field="4294967294" count="1" selected="0">
              <x v="0"/>
            </reference>
            <reference field="1" count="4" selected="0">
              <x v="0"/>
              <x v="1"/>
              <x v="2"/>
              <x v="3"/>
            </reference>
          </references>
        </pivotArea>
      </pivotAreas>
    </conditionalFormat>
  </conditionalFormats>
  <pivotHierarchies count="36">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E212409-3414-48FB-89A6-94F071E2B465}"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M7:AO24" firstHeaderRow="1" firstDataRow="1" firstDataCol="0"/>
  <pivotFields count="9">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051E7D0-AD8B-4011-8732-65E01F69F4D7}" name="PivotTable8" cacheId="164" applyNumberFormats="0" applyBorderFormats="0" applyFontFormats="0" applyPatternFormats="0" applyAlignmentFormats="0" applyWidthHeightFormats="1" dataCaption="Values" tag="79de3beb-d3cf-438f-8e1c-5ac11240071d" updatedVersion="8" minRefreshableVersion="3" useAutoFormatting="1" itemPrintTitles="1" createdVersion="8" indent="0" outline="1" outlineData="1" multipleFieldFilters="0">
  <location ref="D31:E32"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3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practice2.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C08AB0B-32BF-4461-819E-996C49DD066B}"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5" firstHeaderRow="1" firstDataRow="1" firstDataCol="1"/>
  <pivotFields count="9">
    <pivotField showAll="0"/>
    <pivotField showAll="0"/>
    <pivotField showAll="0"/>
    <pivotField showAll="0"/>
    <pivotField dataField="1" showAll="0"/>
    <pivotField showAll="0"/>
    <pivotField axis="axisRow" showAll="0">
      <items count="4">
        <item x="1"/>
        <item x="0"/>
        <item x="2"/>
        <item t="default"/>
      </items>
    </pivotField>
    <pivotField showAll="0"/>
    <pivotField showAll="0"/>
  </pivotFields>
  <rowFields count="1">
    <field x="6"/>
  </rowFields>
  <rowItems count="4">
    <i>
      <x/>
    </i>
    <i>
      <x v="1"/>
    </i>
    <i>
      <x v="2"/>
    </i>
    <i t="grand">
      <x/>
    </i>
  </rowItems>
  <colItems count="1">
    <i/>
  </colItems>
  <dataFields count="1">
    <dataField name="Sum of Sales Amount"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3EA0CE7-94ED-4408-858C-E2A56AC991D4}" name="SUM SALES"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9">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5753625-FCA2-48C5-BBE6-ED1749CC5DEF}" name="PivotTable2" cacheId="309" applyNumberFormats="0" applyBorderFormats="0" applyFontFormats="0" applyPatternFormats="0" applyAlignmentFormats="0" applyWidthHeightFormats="1" dataCaption="Values" updatedVersion="8" minRefreshableVersion="3" visualTotals="0" useAutoFormatting="1" pageOverThenDown="1" itemPrintTitles="1" createdVersion="8" indent="0" outline="1" outlineData="1" multipleFieldFilters="0">
  <location ref="AB78:AC87" firstHeaderRow="1" firstDataRow="1" firstDataCol="1"/>
  <pivotFields count="2">
    <pivotField axis="axisRow" allDrilled="1"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subtotalTop="0" showAll="0" defaultSubtotal="0">
      <extLst>
        <ext xmlns:x14="http://schemas.microsoft.com/office/spreadsheetml/2009/9/main" uri="{2946ED86-A175-432a-8AC1-64E0C546D7DE}">
          <x14:pivotField fillDownLabels="1"/>
        </ext>
      </extLst>
    </pivotField>
  </pivotFields>
  <rowFields count="1">
    <field x="0"/>
  </rowFields>
  <rowItems count="9">
    <i>
      <x/>
    </i>
    <i>
      <x v="1"/>
    </i>
    <i>
      <x v="2"/>
    </i>
    <i>
      <x v="3"/>
    </i>
    <i>
      <x v="4"/>
    </i>
    <i>
      <x v="5"/>
    </i>
    <i>
      <x v="6"/>
    </i>
    <i>
      <x v="7"/>
    </i>
    <i t="grand">
      <x/>
    </i>
  </rowItems>
  <colItems count="1">
    <i/>
  </colItems>
  <dataFields count="1">
    <dataField name="Sum of Sales" fld="1" baseField="0" baseItem="0"/>
  </dataField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Sales 2"/>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 practice3.xlsx!Table22">
        <x15:activeTabTopLevelEntity name="[Table2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8FC826C-5FA7-457F-AE9F-20627B287DA7}" autoFormatId="16" applyNumberFormats="0" applyBorderFormats="0" applyFontFormats="0" applyPatternFormats="0" applyAlignmentFormats="0" applyWidthHeightFormats="0">
  <queryTableRefresh nextId="24" unboundColumnsRight="11">
    <queryTableFields count="20">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20" name="bin" tableColumnId="7"/>
      <queryTableField id="22" name="Column1" tableColumnId="20"/>
      <queryTableField id="21" name="age"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9" dataBound="0"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785B55FC-0183-4EF1-BD2C-F585055E7F62}" autoFormatId="16" applyNumberFormats="0" applyBorderFormats="0" applyFontFormats="0" applyPatternFormats="0" applyAlignmentFormats="0" applyWidthHeightFormats="0">
  <queryTableRefresh nextId="11">
    <queryTableFields count="9">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name="bin" tableColumnId="7"/>
      <queryTableField id="9" name="Column1" tableColumnId="9"/>
      <queryTableField id="8" name="ag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3F95441-E4E3-4512-A6D3-B208C7E8C22F}" autoFormatId="16" applyNumberFormats="0" applyBorderFormats="0" applyFontFormats="0" applyPatternFormats="0" applyAlignmentFormats="0" applyWidthHeightFormats="0">
  <queryTableRefresh nextId="8" unboundColumnsRight="1">
    <queryTableFields count="7">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dataBound="0"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AAB13CDB-D9DE-44AA-9CD0-298FEC244D64}" autoFormatId="16" applyNumberFormats="0" applyBorderFormats="0" applyFontFormats="0" applyPatternFormats="0" applyAlignmentFormats="0" applyWidthHeightFormats="0">
  <queryTableRefresh nextId="11">
    <queryTableFields count="9">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name="bin" tableColumnId="7"/>
      <queryTableField id="9" name="Column1" tableColumnId="9"/>
      <queryTableField id="8" name="ag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7" xr16:uid="{B08DC3D9-C0A1-4A2F-9AF7-58A6AEA98058}" autoFormatId="16" applyNumberFormats="0" applyBorderFormats="0" applyFontFormats="0" applyPatternFormats="0" applyAlignmentFormats="0" applyWidthHeightFormats="0">
  <queryTableRefresh nextId="11">
    <queryTableFields count="9">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name="bin" tableColumnId="7"/>
      <queryTableField id="9" name="Column1" tableColumnId="9"/>
      <queryTableField id="8" name="age"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8" xr16:uid="{DC2202DD-6845-455A-85EA-49AF740D0B59}" autoFormatId="16" applyNumberFormats="0" applyBorderFormats="0" applyFontFormats="0" applyPatternFormats="0" applyAlignmentFormats="0" applyWidthHeightFormats="0">
  <queryTableRefresh nextId="11">
    <queryTableFields count="9">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name="bin" tableColumnId="7"/>
      <queryTableField id="9" name="Column1" tableColumnId="9"/>
      <queryTableField id="8" name="age"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070FEF01-2E60-445F-9722-A7E253317D79}" autoFormatId="16" applyNumberFormats="0" applyBorderFormats="0" applyFontFormats="0" applyPatternFormats="0" applyAlignmentFormats="0" applyWidthHeightFormats="0">
  <queryTableRefresh nextId="12" unboundColumnsRight="1">
    <queryTableFields count="10">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8" name="bin" tableColumnId="8"/>
      <queryTableField id="10" name="Column1" tableColumnId="10"/>
      <queryTableField id="9" name="age" tableColumnId="9"/>
      <queryTableField id="7" dataBound="0" tableColumnId="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0" xr16:uid="{FC48A17D-730E-462B-BB32-51A2D8CECBEF}" autoFormatId="16" applyNumberFormats="0" applyBorderFormats="0" applyFontFormats="0" applyPatternFormats="0" applyAlignmentFormats="0" applyWidthHeightFormats="0">
  <queryTableRefresh nextId="11">
    <queryTableFields count="9">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7" name="bin" tableColumnId="7"/>
      <queryTableField id="9" name="Column1" tableColumnId="9"/>
      <queryTableField id="8" name="age"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D86BEC85-6B9E-435A-B813-B8264067F016}" autoFormatId="16" applyNumberFormats="0" applyBorderFormats="0" applyFontFormats="0" applyPatternFormats="0" applyAlignmentFormats="0" applyWidthHeightFormats="0">
  <queryTableRefresh nextId="13" unboundColumnsRight="1">
    <queryTableFields count="10">
      <queryTableField id="1" name="Date" tableColumnId="1"/>
      <queryTableField id="2" name="Product" tableColumnId="2"/>
      <queryTableField id="3" name="Category" tableColumnId="3"/>
      <queryTableField id="4" name="Region" tableColumnId="4"/>
      <queryTableField id="5" name="Sales Amount" tableColumnId="5"/>
      <queryTableField id="6" name="Quantity Sold" tableColumnId="6"/>
      <queryTableField id="9" name="bin" tableColumnId="8"/>
      <queryTableField id="11" name="Column1" tableColumnId="10"/>
      <queryTableField id="10" name="age" tableColumnId="9"/>
      <queryTableField id="7" dataBound="0" tableColumnId="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3A06DE9-6894-4ECD-819A-D5D31B12444F}" autoFormatId="16" applyNumberFormats="0" applyBorderFormats="0" applyFontFormats="0" applyPatternFormats="0" applyAlignmentFormats="0" applyWidthHeightFormats="0">
  <queryTableRefresh nextId="10">
    <queryTableFields count="9">
      <queryTableField id="1" name="Table1[Date]" tableColumnId="1"/>
      <queryTableField id="2" name="Table1[Product]" tableColumnId="2"/>
      <queryTableField id="3" name="Table1[Category]" tableColumnId="3"/>
      <queryTableField id="4" name="Table1[Region]" tableColumnId="4"/>
      <queryTableField id="5" name="Table1[Sales Amount]" tableColumnId="5"/>
      <queryTableField id="6" name="Table1[Quantity Sold]" tableColumnId="6"/>
      <queryTableField id="7" name="Table1[bin]" tableColumnId="7"/>
      <queryTableField id="8" name="Table1[Column1]" tableColumnId="8"/>
      <queryTableField id="9" name="Table1[age]" tableColumnId="9"/>
    </queryTableFields>
  </queryTableRefresh>
  <extLst>
    <ext xmlns:x15="http://schemas.microsoft.com/office/spreadsheetml/2010/11/main" uri="{883FBD77-0823-4a55-B5E3-86C4891E6966}">
      <x15:queryTable drillThrough="1"/>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AEAFF73-05B8-4070-AA73-7E82AB8D0F58}" autoFormatId="16" applyNumberFormats="0" applyBorderFormats="0" applyFontFormats="0" applyPatternFormats="0" applyAlignmentFormats="0" applyWidthHeightFormats="0">
  <queryTableRefresh nextId="10">
    <queryTableFields count="9">
      <queryTableField id="1" name="Table1[Date]" tableColumnId="1"/>
      <queryTableField id="2" name="Table1[Product]" tableColumnId="2"/>
      <queryTableField id="3" name="Table1[Category]" tableColumnId="3"/>
      <queryTableField id="4" name="Table1[Region]" tableColumnId="4"/>
      <queryTableField id="5" name="Table1[Sales Amount]" tableColumnId="5"/>
      <queryTableField id="6" name="Table1[Quantity Sold]" tableColumnId="6"/>
      <queryTableField id="7" name="Table1[bin]" tableColumnId="7"/>
      <queryTableField id="8" name="Table1[Column1]" tableColumnId="8"/>
      <queryTableField id="9" name="Table1[age]" tableColumnId="9"/>
    </queryTableFields>
  </queryTableRefresh>
  <extLst>
    <ext xmlns:x15="http://schemas.microsoft.com/office/spreadsheetml/2010/11/main" uri="{883FBD77-0823-4a55-B5E3-86C4891E6966}">
      <x15:queryTable drillThrough="1"/>
    </ext>
  </extLst>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7</v>
    <v>1</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FD297DC-4D41-4166-9CE6-0584C4870079}" sourceName="[Table1].[Category]">
  <pivotTables>
    <pivotTable tabId="18" name="PivotTable1"/>
    <pivotTable tabId="18" name="PivotTable2"/>
    <pivotTable tabId="18" name="PivotTable3"/>
    <pivotTable tabId="18" name="PivotTable9"/>
  </pivotTables>
  <data>
    <olap pivotCacheId="688679131">
      <levels count="2">
        <level uniqueName="[Table1].[Category].[(All)]" sourceCaption="(All)" count="0"/>
        <level uniqueName="[Table1].[Category].[Category]" sourceCaption="Category" count="4">
          <ranges>
            <range startItem="0">
              <i n="[Table1].[Category].&amp;[Appliances]" c="Appliances"/>
              <i n="[Table1].[Category].&amp;[Clothing]" c="Clothing"/>
              <i n="[Table1].[Category].&amp;[Electronics]" c="Electronics"/>
              <i n="[Table1].[Category].&amp;[Footwear]" c="Footwear"/>
            </range>
          </ranges>
        </level>
      </levels>
      <selections count="1">
        <selection n="[Table1].[Category].[All]"/>
      </selections>
    </olap>
  </data>
  <extLst>
    <x:ext xmlns:x15="http://schemas.microsoft.com/office/spreadsheetml/2010/11/main" uri="{03082B11-2C62-411c-B77F-237D8FCFBE4C}">
      <x15:slicerCachePivotTables>
        <pivotTable tabId="4294967295" name="PivotChartTable1"/>
        <pivotTable tabId="4294967295" name="PivotChartTable2"/>
        <pivotTable tabId="4294967295" name="PivotChartTable4"/>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F984610-D8B7-4484-9AE9-1726EA9B2FAD}" sourceName="[Table1].[Region]">
  <pivotTables>
    <pivotTable tabId="18" name="PivotTable1"/>
    <pivotTable tabId="18" name="PivotTable2"/>
    <pivotTable tabId="18" name="PivotTable3"/>
    <pivotTable tabId="18" name="PivotTable8"/>
    <pivotTable tabId="18" name="PivotTable9"/>
  </pivotTables>
  <data>
    <olap pivotCacheId="688679131">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extLst>
    <x:ext xmlns:x15="http://schemas.microsoft.com/office/spreadsheetml/2010/11/main" uri="{03082B11-2C62-411c-B77F-237D8FCFBE4C}">
      <x15:slicerCachePivotTables>
        <pivotTable tabId="4294967295" name="PivotChartTable7"/>
        <pivotTable tabId="4294967295" name="PivotChartTable4"/>
        <pivotTable tabId="4294967295" name="PivotChartTable2"/>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81D529B-86F0-43DC-8AF7-F7C96A2A584B}" cache="Slicer_Category" caption="Category" level="1" rowHeight="241300"/>
  <slicer name="Category 1" xr10:uid="{9D216DEC-C0A1-4072-B2EE-DA21BB9882AD}" cache="Slicer_Category" caption="Category" level="1" style="SlicerStyleDark6" rowHeight="241300"/>
  <slicer name="Region" xr10:uid="{D734ADF3-F655-410F-8880-A1D22C32F499}" cache="Slicer_Region" caption="Region" level="1" style="SlicerStyleDark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5616A1-A8DD-417F-BE4D-4E10C08C59A6}" name="basicformulas" displayName="basicformulas" ref="A1:T101" tableType="queryTable" totalsRowShown="0">
  <autoFilter ref="A1:T101" xr:uid="{BF5616A1-A8DD-417F-BE4D-4E10C08C59A6}"/>
  <tableColumns count="20">
    <tableColumn id="1" xr3:uid="{5E98949C-2599-40FE-A2A6-5C2890E31BDB}" uniqueName="1" name="Date" queryTableFieldId="1" dataDxfId="90"/>
    <tableColumn id="2" xr3:uid="{5CF231B3-6BCB-47CE-83D0-932E0C05B4B2}" uniqueName="2" name="Product" queryTableFieldId="2" dataDxfId="89"/>
    <tableColumn id="3" xr3:uid="{0288502D-0128-4E8A-ABB9-74CE33CD1DE4}" uniqueName="3" name="Category" queryTableFieldId="3" dataDxfId="88"/>
    <tableColumn id="4" xr3:uid="{8E1AED89-F49A-4E93-BEC8-0687B5FF4693}" uniqueName="4" name="Region" queryTableFieldId="4" dataDxfId="87"/>
    <tableColumn id="5" xr3:uid="{56DAF4E1-D791-441D-8A7B-07B20E94E0DC}" uniqueName="5" name="Sales Amount" queryTableFieldId="5"/>
    <tableColumn id="6" xr3:uid="{DF27BC26-351F-4FB6-8801-CA7A35CE13D0}" uniqueName="6" name="Quantity Sold" queryTableFieldId="6"/>
    <tableColumn id="7" xr3:uid="{CE98513A-E860-44D2-AF69-C88E576F709C}" uniqueName="7" name="bin" queryTableFieldId="20"/>
    <tableColumn id="20" xr3:uid="{A2F820D1-2CC2-4E7B-BF39-0168C95728DC}" uniqueName="20" name="Column1" queryTableFieldId="22"/>
    <tableColumn id="18" xr3:uid="{6187F4B7-8796-4A65-9EEB-7EBC095A9C30}" uniqueName="18" name="age" queryTableFieldId="21"/>
    <tableColumn id="8" xr3:uid="{93984C7C-9FCB-41BE-B39E-54645B18BA3B}" uniqueName="8" name="sqrt" queryTableFieldId="8" dataDxfId="86">
      <calculatedColumnFormula>SQRT(F:F)</calculatedColumnFormula>
    </tableColumn>
    <tableColumn id="9" xr3:uid="{592AB1A7-A7F2-451F-BB4B-FF3D08998CFA}" uniqueName="9" name="roung" queryTableFieldId="9" dataDxfId="85">
      <calculatedColumnFormula>ROUND(J:J,1)</calculatedColumnFormula>
    </tableColumn>
    <tableColumn id="10" xr3:uid="{8B23A83D-361D-4C4A-A8B3-CC853B9D4E70}" uniqueName="10" name="sum" queryTableFieldId="10" dataDxfId="84">
      <calculatedColumnFormula>SUM(basicformulas[[#This Row],[sqrt]:[roung]])</calculatedColumnFormula>
    </tableColumn>
    <tableColumn id="11" xr3:uid="{5AD4CAD3-237F-4F64-B4D4-E15F1A1BFB85}" uniqueName="11" name="left" queryTableFieldId="11" dataDxfId="83">
      <calculatedColumnFormula>LEFT(B:B,1)</calculatedColumnFormula>
    </tableColumn>
    <tableColumn id="12" xr3:uid="{79E5487C-7EF0-431E-8311-DB3D5C275D8B}" uniqueName="12" name="right" queryTableFieldId="12" dataDxfId="82">
      <calculatedColumnFormula>RIGHT(basicformulas[[#This Row],[Product]],5)</calculatedColumnFormula>
    </tableColumn>
    <tableColumn id="13" xr3:uid="{46D041DB-1946-4036-AD95-9763BFC4289F}" uniqueName="13" name="average" queryTableFieldId="13" dataDxfId="81">
      <calculatedColumnFormula>AVERAGE(F:F)</calculatedColumnFormula>
    </tableColumn>
    <tableColumn id="14" xr3:uid="{D73049D0-6C53-4182-8C13-C2675DB95CBB}" uniqueName="14" name="min" queryTableFieldId="14" dataDxfId="80">
      <calculatedColumnFormula>MIN(F:F)</calculatedColumnFormula>
    </tableColumn>
    <tableColumn id="15" xr3:uid="{40952FF9-9DB9-4B63-A929-D80C6AD9EA9C}" uniqueName="15" name="max" queryTableFieldId="15" dataDxfId="79">
      <calculatedColumnFormula>MAX(F:F)</calculatedColumnFormula>
    </tableColumn>
    <tableColumn id="16" xr3:uid="{60901457-AAED-482D-B8E8-8D68D558F736}" uniqueName="16" name="median" queryTableFieldId="16" dataDxfId="78">
      <calculatedColumnFormula>MEDIAN(E:E)</calculatedColumnFormula>
    </tableColumn>
    <tableColumn id="17" xr3:uid="{203734F2-FFD2-48C9-B35E-D5045FE2B5DE}" uniqueName="17" name="rank" queryTableFieldId="17" dataDxfId="77">
      <calculatedColumnFormula>RANK(basicformulas[[#This Row],[Quantity Sold]],F:F)</calculatedColumnFormula>
    </tableColumn>
    <tableColumn id="19" xr3:uid="{F682B332-4543-42B7-94F5-5B49A47D1499}" uniqueName="19" name="len" queryTableFieldId="19" dataDxfId="76">
      <calculatedColumnFormula>LEN(B:B)</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3DD8A4B-A31B-4301-A4EB-AAF21E8B3229}" name="Table1__2" displayName="Table1__2" ref="A1:I101" tableType="queryTable" totalsRowShown="0">
  <autoFilter ref="A1:I101" xr:uid="{93DD8A4B-A31B-4301-A4EB-AAF21E8B3229}"/>
  <tableColumns count="9">
    <tableColumn id="1" xr3:uid="{B4740CF7-434E-48C8-9B64-880D47B3384E}" uniqueName="1" name="Date" queryTableFieldId="1" dataDxfId="75"/>
    <tableColumn id="2" xr3:uid="{B606ED23-8447-4EEF-AAA9-300372F92C36}" uniqueName="2" name="Product" queryTableFieldId="2" dataDxfId="74"/>
    <tableColumn id="3" xr3:uid="{4F793CC9-24BD-4948-832A-EFA4328BD7AC}" uniqueName="3" name="Category" queryTableFieldId="3" dataDxfId="73"/>
    <tableColumn id="4" xr3:uid="{F3B2D610-330E-4135-88C3-7A4D75D02CA6}" uniqueName="4" name="Region" queryTableFieldId="4" dataDxfId="72"/>
    <tableColumn id="5" xr3:uid="{D5D55EBB-7A9A-4E69-BD15-2F28BD2393EB}" uniqueName="5" name="Sales Amount" queryTableFieldId="5"/>
    <tableColumn id="6" xr3:uid="{2F1B9427-6220-40F1-8F9B-5B5949455176}" uniqueName="6" name="Quantity Sold" queryTableFieldId="6"/>
    <tableColumn id="7" xr3:uid="{1B2D5016-9EAB-4F44-BAA3-8FF00D3E6223}" uniqueName="7" name="bin" queryTableFieldId="7"/>
    <tableColumn id="9" xr3:uid="{FB35C3CE-04F6-43C1-AF0A-5C87D307C970}" uniqueName="9" name="Column1" queryTableFieldId="9"/>
    <tableColumn id="8" xr3:uid="{9DFCFE9B-EA09-48E3-958F-D89451EB6263}" uniqueName="8" name="age" queryTableField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EDA177-1437-4533-8F0E-621C4836CAD7}" name="Table1__3" displayName="Table1__3" ref="A1:G101" tableType="queryTable" totalsRowShown="0">
  <autoFilter ref="A1:G101" xr:uid="{3DEDA177-1437-4533-8F0E-621C4836CAD7}"/>
  <tableColumns count="7">
    <tableColumn id="1" xr3:uid="{3A008B78-FA59-4D0F-BE56-98A608EAC47D}" uniqueName="1" name="Date" queryTableFieldId="1" dataDxfId="71"/>
    <tableColumn id="2" xr3:uid="{60FDBE76-0D23-4145-A02C-7E6A33425F51}" uniqueName="2" name="Product" queryTableFieldId="2" dataDxfId="70"/>
    <tableColumn id="3" xr3:uid="{F43A21B0-8146-4847-86D7-36F8C01994A7}" uniqueName="3" name="Category" queryTableFieldId="3" dataDxfId="69"/>
    <tableColumn id="4" xr3:uid="{051E61B2-5345-4821-BAD9-93398864EB13}" uniqueName="4" name="Region" queryTableFieldId="4" dataDxfId="68"/>
    <tableColumn id="5" xr3:uid="{B78F6F64-78F7-467F-97EC-DA8E654197D4}" uniqueName="5" name="Sales Amount" queryTableFieldId="5"/>
    <tableColumn id="6" xr3:uid="{7A5617EB-D333-4016-A085-E1194ADE5A7D}" uniqueName="6" name="Quantity Sold" queryTableFieldId="6"/>
    <tableColumn id="7" xr3:uid="{ABF996B4-2E1C-41D9-A161-5A42FC51CDE9}" uniqueName="7" name="sub" queryTableFieldId="7" dataDxfId="67">
      <calculatedColumnFormula>SUBSTITUTE(C:C,"ing","s")</calculatedColumn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C911D6C-DAF1-4601-A352-C75DCCE1BB81}" name="Table57" displayName="Table57" ref="R12:T15" totalsRowShown="0" headerRowDxfId="66">
  <autoFilter ref="R12:T15" xr:uid="{4C911D6C-DAF1-4601-A352-C75DCCE1BB81}"/>
  <tableColumns count="3">
    <tableColumn id="1" xr3:uid="{E3C646DB-61AD-4575-A1AE-94EF888C3E27}" name="FIRSTNAME"/>
    <tableColumn id="2" xr3:uid="{F9A0A712-EE8B-4FD8-BDBD-0B738CB92562}" name="LASTNAME"/>
    <tableColumn id="3" xr3:uid="{EC0CF226-A905-4CB0-A59D-7128345ECB29}" name="FULLNAME">
      <calculatedColumnFormula>_xlfn.CONCAT(R13," ",S13)</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C1EF04-2588-4D99-8AFD-C9BF2A9F2FB8}" name="Table5" displayName="Table5" ref="H24:J27" totalsRowShown="0" headerRowDxfId="65">
  <autoFilter ref="H24:J27" xr:uid="{ECC1EF04-2588-4D99-8AFD-C9BF2A9F2FB8}"/>
  <tableColumns count="3">
    <tableColumn id="1" xr3:uid="{CF141DA7-5C4C-49B3-935A-AF69D9D68762}" name="FIRSTNAME"/>
    <tableColumn id="2" xr3:uid="{FFC4B82D-19A4-46C3-A061-436B8D2881A2}" name="LASTNAME"/>
    <tableColumn id="3" xr3:uid="{BDC0A170-A791-454D-98FF-FFEEE640C7F6}" name="FULLNAME">
      <calculatedColumnFormula>_xlfn.CONCAT(H25," ",I25)</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0490585-E70B-4ECA-A267-471DB644206C}" name="Table1__4" displayName="Table1__4" ref="A1:I101" tableType="queryTable" totalsRowShown="0">
  <autoFilter ref="A1:I101" xr:uid="{B0490585-E70B-4ECA-A267-471DB644206C}"/>
  <tableColumns count="9">
    <tableColumn id="1" xr3:uid="{3B3973B3-FA73-4ED1-B64E-CA8DCCF6148C}" uniqueName="1" name="Date" queryTableFieldId="1" dataDxfId="64"/>
    <tableColumn id="2" xr3:uid="{AC10CA4F-E793-46CD-98CB-FB3C8896B684}" uniqueName="2" name="Product" queryTableFieldId="2" dataDxfId="63"/>
    <tableColumn id="3" xr3:uid="{290031EF-4229-4934-85B0-E00F20AC499F}" uniqueName="3" name="Category" queryTableFieldId="3" dataDxfId="62"/>
    <tableColumn id="4" xr3:uid="{36365261-CC3B-4BAC-90C2-5FB6FBBB0A15}" uniqueName="4" name="Region" queryTableFieldId="4" dataDxfId="61"/>
    <tableColumn id="5" xr3:uid="{3A7646DE-0448-4852-969E-D5FEFDB5368E}" uniqueName="5" name="Sales Amount" queryTableFieldId="5"/>
    <tableColumn id="6" xr3:uid="{0EE31715-483A-4192-9E98-14E634614076}" uniqueName="6" name="Quantity Sold" queryTableFieldId="6"/>
    <tableColumn id="7" xr3:uid="{5F081E2D-1DB7-431B-A628-C8FBB449E64B}" uniqueName="7" name="bin" queryTableFieldId="7"/>
    <tableColumn id="9" xr3:uid="{C98327B7-0F73-412F-BE8F-1705C4D3827D}" uniqueName="9" name="Column1" queryTableFieldId="9"/>
    <tableColumn id="8" xr3:uid="{2415DAB5-AF37-46C3-97A3-222837EF3889}" uniqueName="8" name="age" queryTableFieldId="8"/>
  </tableColumns>
  <tableStyleInfo name="TableStyleMedium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4531E75-B2E5-473D-BE43-B22E5DF9F77E}" name="Table1__5" displayName="Table1__5" ref="A1:I101" tableType="queryTable" totalsRowShown="0">
  <autoFilter ref="A1:I101" xr:uid="{C4531E75-B2E5-473D-BE43-B22E5DF9F77E}"/>
  <tableColumns count="9">
    <tableColumn id="1" xr3:uid="{98DACBCC-895A-4050-8340-C855C9B85E9E}" uniqueName="1" name="Date" queryTableFieldId="1" dataDxfId="60"/>
    <tableColumn id="2" xr3:uid="{768CBDE1-2A12-47AC-ACD8-2E97D2286E8D}" uniqueName="2" name="Product" queryTableFieldId="2" dataDxfId="59"/>
    <tableColumn id="3" xr3:uid="{1B3BF3AE-3135-464E-9EC5-FFD63D44B614}" uniqueName="3" name="Category" queryTableFieldId="3" dataDxfId="58"/>
    <tableColumn id="4" xr3:uid="{F9F9EE01-5711-4DE3-AB8B-AC95C3C7D33C}" uniqueName="4" name="Region" queryTableFieldId="4" dataDxfId="57"/>
    <tableColumn id="5" xr3:uid="{7A15B38C-2C22-4E1C-B0E9-7DF344E6D5C4}" uniqueName="5" name="Sales Amount" queryTableFieldId="5"/>
    <tableColumn id="6" xr3:uid="{5CD4A28F-20FB-449E-8D87-471CBF7B524C}" uniqueName="6" name="Quantity Sold" queryTableFieldId="6"/>
    <tableColumn id="7" xr3:uid="{CD624807-5A5B-40AD-BC6C-30E1E96AB7F8}" uniqueName="7" name="bin" queryTableFieldId="7"/>
    <tableColumn id="9" xr3:uid="{95CD897F-C6CD-41B4-9629-7DEDFF438202}" uniqueName="9" name="Column1" queryTableFieldId="9"/>
    <tableColumn id="8" xr3:uid="{D97EA249-AEED-42FE-9125-D286D121B3B5}" uniqueName="8" name="age" queryTableFieldId="8"/>
  </tableColumns>
  <tableStyleInfo name="TableStyleMedium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39037EA-7ADC-4DC9-8DB5-62C24E190998}" name="Table12" displayName="Table12" ref="M29:P33" totalsRowShown="0">
  <autoFilter ref="M29:P33" xr:uid="{339037EA-7ADC-4DC9-8DB5-62C24E190998}"/>
  <tableColumns count="4">
    <tableColumn id="1" xr3:uid="{D8D5FA6F-AC3F-4931-8895-3E4080BC593F}" name="name"/>
    <tableColumn id="2" xr3:uid="{9BF1697B-E71F-4B47-8D91-D69356B53EF2}" name="marks"/>
    <tableColumn id="3" xr3:uid="{B1A918D9-9C65-499F-AD40-6BBE9335D24D}" name="dept"/>
    <tableColumn id="4" xr3:uid="{1887A3B3-5281-4E7D-B584-0A6A41670B3E}" name="rank" dataDxfId="56">
      <calculatedColumnFormula>_xlfn.RANK.EQ(Table12[[#This Row],[marks]],Table12[marks],0)</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6C1EE37-E17A-4F69-942F-15692AF33EE1}" name="Table1__6" displayName="Table1__6" ref="A1:I101" tableType="queryTable" totalsRowShown="0">
  <autoFilter ref="A1:I101" xr:uid="{66C1EE37-E17A-4F69-942F-15692AF33EE1}"/>
  <tableColumns count="9">
    <tableColumn id="1" xr3:uid="{41E74CA7-F326-4167-A943-51E9F2936B60}" uniqueName="1" name="Date" queryTableFieldId="1" dataDxfId="55"/>
    <tableColumn id="2" xr3:uid="{3E0688CA-C70C-4EFD-8A14-A008D95D5EE5}" uniqueName="2" name="Product" queryTableFieldId="2" dataDxfId="54"/>
    <tableColumn id="3" xr3:uid="{B6631467-F120-447F-91F1-FF6D27F9971E}" uniqueName="3" name="Category" queryTableFieldId="3" dataDxfId="53"/>
    <tableColumn id="4" xr3:uid="{8960715C-1FBB-48D7-BE4F-E5A07B3E67BD}" uniqueName="4" name="Region" queryTableFieldId="4" dataDxfId="52"/>
    <tableColumn id="5" xr3:uid="{3B0C1EF6-B922-4B3D-89CD-A648CBE0C0F1}" uniqueName="5" name="Sales Amount" queryTableFieldId="5"/>
    <tableColumn id="6" xr3:uid="{1DEE74BE-BA34-48EC-A568-D66582B33877}" uniqueName="6" name="Quantity Sold" queryTableFieldId="6"/>
    <tableColumn id="7" xr3:uid="{3673792F-EE4D-4D70-8854-E6F6E83D0FD3}" uniqueName="7" name="bin" queryTableFieldId="7"/>
    <tableColumn id="9" xr3:uid="{CCCDB392-BAA9-45B8-81B0-EDFE6910190A}" uniqueName="9" name="Column1" queryTableFieldId="9"/>
    <tableColumn id="8" xr3:uid="{530C6500-E5AD-4F16-ADB4-49F96F37EB59}" uniqueName="8" name="age" queryTableFieldId="8"/>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41B8792-DA19-4AE2-AE93-A539CC888DBD}" name="Table1__7" displayName="Table1__7" ref="A1:J101" tableType="queryTable" totalsRowShown="0">
  <autoFilter ref="A1:J101" xr:uid="{D41B8792-DA19-4AE2-AE93-A539CC888DBD}"/>
  <tableColumns count="10">
    <tableColumn id="1" xr3:uid="{F96D2D5F-76E0-427B-B1F6-0F11D361A6D5}" uniqueName="1" name="Date" queryTableFieldId="1" dataDxfId="51"/>
    <tableColumn id="2" xr3:uid="{3AC8535E-113A-48B5-BF5C-6FB530218D07}" uniqueName="2" name="Product" queryTableFieldId="2" dataDxfId="50"/>
    <tableColumn id="3" xr3:uid="{F37337AE-8A71-4179-B4E3-37EB6B78626E}" uniqueName="3" name="Category" queryTableFieldId="3" dataDxfId="49"/>
    <tableColumn id="4" xr3:uid="{8B09F1CC-3D9A-4BAC-9662-93A3EB81AA7C}" uniqueName="4" name="Region" queryTableFieldId="4" dataDxfId="48"/>
    <tableColumn id="5" xr3:uid="{07707080-5B94-4715-8FBC-DCCB4A40835D}" uniqueName="5" name="Sales Amount" queryTableFieldId="5"/>
    <tableColumn id="6" xr3:uid="{5483FA29-37AF-4B39-8D59-94D79A8022D4}" uniqueName="6" name="Quantity Sold" queryTableFieldId="6"/>
    <tableColumn id="8" xr3:uid="{CE126B33-009C-4CC8-99E6-8E35DB2ABC79}" uniqueName="8" name="bin" queryTableFieldId="8"/>
    <tableColumn id="10" xr3:uid="{F1A56281-745F-4B85-90CE-A119E7813D64}" uniqueName="10" name="Column1" queryTableFieldId="10"/>
    <tableColumn id="9" xr3:uid="{D0053C30-94EE-40F6-B875-3362DA45B5E8}" uniqueName="9" name="age" queryTableFieldId="9"/>
    <tableColumn id="7" xr3:uid="{2731326C-E10C-4C58-8CD5-E81FD451E6A8}" uniqueName="7" name="Region_encode" queryTableFieldId="7" dataDxfId="47">
      <calculatedColumnFormula array="1">_xlfn.SWITCH(Table1__7[[#This Row],[Region]],"North",1,"South",2,"East",3,4)</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F5B24EB-0245-4DC3-B831-757926C3CAE7}" name="Table1__8" displayName="Table1__8" ref="A1:I101" tableType="queryTable" totalsRowShown="0">
  <autoFilter ref="A1:I101" xr:uid="{FF5B24EB-0245-4DC3-B831-757926C3CAE7}"/>
  <sortState xmlns:xlrd2="http://schemas.microsoft.com/office/spreadsheetml/2017/richdata2" ref="A2:I101">
    <sortCondition ref="B15:B101"/>
  </sortState>
  <tableColumns count="9">
    <tableColumn id="1" xr3:uid="{6CBC2523-92F6-4848-8A4E-8FAB8B40892C}" uniqueName="1" name="Date" queryTableFieldId="1" dataDxfId="46"/>
    <tableColumn id="2" xr3:uid="{65D0917F-854F-4044-A8EE-B2349545C5FB}" uniqueName="2" name="Product" queryTableFieldId="2" dataDxfId="45"/>
    <tableColumn id="3" xr3:uid="{E2CB1CBA-E0B2-4E55-8F1E-06C0322B8A6D}" uniqueName="3" name="Category" queryTableFieldId="3" dataDxfId="44"/>
    <tableColumn id="4" xr3:uid="{91AB9828-8C56-44B1-8724-8C26FBB683A6}" uniqueName="4" name="Region" queryTableFieldId="4" dataDxfId="43"/>
    <tableColumn id="5" xr3:uid="{2B44B0DF-CD69-4503-B2C1-010C31926849}" uniqueName="5" name="Sales Amount" queryTableFieldId="5" dataDxfId="42"/>
    <tableColumn id="6" xr3:uid="{2919B4A2-6068-4846-953A-7D821EFD8570}" uniqueName="6" name="Quantity Sold" queryTableFieldId="6" dataDxfId="41"/>
    <tableColumn id="7" xr3:uid="{89973133-D86C-417F-90F9-D0CDD1389305}" uniqueName="7" name="bin" queryTableFieldId="7"/>
    <tableColumn id="9" xr3:uid="{DC9C6BBE-A92F-4A84-95A0-0E2AD013D858}" uniqueName="9" name="Column1" queryTableFieldId="9"/>
    <tableColumn id="8" xr3:uid="{84ACB5A7-7F39-4C9C-95B5-1DC2C4FE9DB0}" uniqueName="8" name="age" queryTableFieldId="8"/>
  </tableColumns>
  <tableStyleInfo name="TableStyleMedium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B6E590C-F7CA-42DE-B61B-E6ADBADA73A1}" name="Table1__9" displayName="Table1__9" ref="A1:J101" tableType="queryTable" totalsRowShown="0" headerRowDxfId="40">
  <autoFilter ref="A1:J101" xr:uid="{CB6E590C-F7CA-42DE-B61B-E6ADBADA73A1}"/>
  <tableColumns count="10">
    <tableColumn id="1" xr3:uid="{0A5B8AA4-2294-4544-A74F-F6DDCFA50BB7}" uniqueName="1" name="Date" queryTableFieldId="1" dataDxfId="39"/>
    <tableColumn id="2" xr3:uid="{95971C49-91BB-4A02-A556-8AE28DD33AF8}" uniqueName="2" name="Product" queryTableFieldId="2" dataDxfId="38"/>
    <tableColumn id="3" xr3:uid="{720F22A4-DC0D-4AD9-9752-2D83FE4D40C9}" uniqueName="3" name="Category" queryTableFieldId="3" dataDxfId="37"/>
    <tableColumn id="4" xr3:uid="{41CD1BDA-2931-413B-9FFC-831DB8656FD7}" uniqueName="4" name="Region" queryTableFieldId="4" dataDxfId="36"/>
    <tableColumn id="5" xr3:uid="{3444B3D3-7489-4AAF-8B9B-1731B161DA35}" uniqueName="5" name="Sales Amount" queryTableFieldId="5"/>
    <tableColumn id="6" xr3:uid="{A24B7C48-E1CE-45F8-892D-E37AB0BFB444}" uniqueName="6" name="Quantity Sold" queryTableFieldId="6"/>
    <tableColumn id="8" xr3:uid="{FB15EDE3-73C0-4D9C-BBDB-C5CD3B933094}" uniqueName="8" name="bin" queryTableFieldId="9"/>
    <tableColumn id="10" xr3:uid="{44580BB0-470D-4774-A429-2A089DE9833D}" uniqueName="10" name="Column1" queryTableFieldId="11"/>
    <tableColumn id="9" xr3:uid="{5C5517ED-6E74-4D5B-8B98-B4C784259443}" uniqueName="9" name="age" queryTableFieldId="10"/>
    <tableColumn id="7" xr3:uid="{562098AF-1348-42C6-8BAE-B916F6138B8F}" uniqueName="7" name="Region2" queryTableFieldId="7" dataDxfId="35">
      <calculatedColumnFormula array="1">_xlfn.SWITCH(Table1__9[[#This Row],[Region]],1,"East",2,"West",3,"North",4)</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19C2DA4-612B-4027-B9CE-56E302F2B7F5}" name="Table_ExternalData_1" displayName="Table_ExternalData_1" ref="A3:I103" tableType="queryTable" totalsRowShown="0">
  <autoFilter ref="A3:I103" xr:uid="{B19C2DA4-612B-4027-B9CE-56E302F2B7F5}"/>
  <tableColumns count="9">
    <tableColumn id="1" xr3:uid="{EB22083F-C8BD-488B-8BF3-910F74F6DE8F}" uniqueName="1" name="Table1[Date]" queryTableFieldId="1"/>
    <tableColumn id="2" xr3:uid="{0D9847B8-B057-44E0-A4CF-041C1AFFCE9F}" uniqueName="2" name="Table1[Product]" queryTableFieldId="2"/>
    <tableColumn id="3" xr3:uid="{44384C65-C45A-4BC9-AB98-AEA5DE56F17D}" uniqueName="3" name="Table1[Category]" queryTableFieldId="3"/>
    <tableColumn id="4" xr3:uid="{1251563B-313A-4882-BE5B-E12A9D25E9B5}" uniqueName="4" name="Table1[Region]" queryTableFieldId="4"/>
    <tableColumn id="5" xr3:uid="{E8311252-8B1D-40D4-BB27-C58F3FA414D9}" uniqueName="5" name="Table1[Sales Amount]" queryTableFieldId="5"/>
    <tableColumn id="6" xr3:uid="{23FCE4B7-48E2-45F4-8E67-11E45876616C}" uniqueName="6" name="Table1[Quantity Sold]" queryTableFieldId="6"/>
    <tableColumn id="7" xr3:uid="{14557F0C-129D-49D1-A925-0BFD3306C215}" uniqueName="7" name="Table1[bin]" queryTableFieldId="7"/>
    <tableColumn id="8" xr3:uid="{35B64BAA-2D92-4274-B908-AC547C883C55}" uniqueName="8" name="Table1[Column1]" queryTableFieldId="8"/>
    <tableColumn id="9" xr3:uid="{AA657899-7A4D-4C37-938D-CA010AAE7173}" uniqueName="9" name="Table1[age]" queryTableFieldId="9"/>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C3A5EFC-6B8C-449A-B0E1-C4C9938FFEFB}" name="Table_ExternalData_122" displayName="Table_ExternalData_122" ref="A3:I14" tableType="queryTable" totalsRowShown="0">
  <autoFilter ref="A3:I14" xr:uid="{7C3A5EFC-6B8C-449A-B0E1-C4C9938FFEFB}"/>
  <tableColumns count="9">
    <tableColumn id="1" xr3:uid="{A2B10EA1-4FB4-4D84-B0AA-EA0A8FEA35CA}" uniqueName="1" name="Table1[Date]" queryTableFieldId="1"/>
    <tableColumn id="2" xr3:uid="{C2CA55BA-EB76-4538-BEDC-1E6DB627091F}" uniqueName="2" name="Table1[Product]" queryTableFieldId="2"/>
    <tableColumn id="3" xr3:uid="{C6AD2B9D-BA3D-49C4-BF3B-12DC1A08D80F}" uniqueName="3" name="Table1[Category]" queryTableFieldId="3"/>
    <tableColumn id="4" xr3:uid="{2D345A1C-EDEC-4F2B-B254-113300E3068D}" uniqueName="4" name="Table1[Region]" queryTableFieldId="4"/>
    <tableColumn id="5" xr3:uid="{00BE3AAE-9F8E-4AB0-B40A-C9E11509F689}" uniqueName="5" name="Table1[Sales Amount]" queryTableFieldId="5"/>
    <tableColumn id="6" xr3:uid="{AED09D47-902C-4D5C-BC49-CA61B2A1DB4E}" uniqueName="6" name="Table1[Quantity Sold]" queryTableFieldId="6"/>
    <tableColumn id="7" xr3:uid="{C527F375-BD46-42CB-A33C-413F151DD00C}" uniqueName="7" name="Table1[bin]" queryTableFieldId="7"/>
    <tableColumn id="8" xr3:uid="{C52750DC-247E-48E8-BB8E-3AB67A0DCA43}" uniqueName="8" name="Table1[Column1]" queryTableFieldId="8"/>
    <tableColumn id="9" xr3:uid="{595F5F31-72DC-4D8F-AD63-007FEAB95B31}" uniqueName="9" name="Table1[age]" queryTableFieldId="9"/>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02" totalsRowShown="0" headerRowDxfId="33" headerRowBorderDxfId="32" tableBorderDxfId="31">
  <autoFilter ref="A1:I102" xr:uid="{00000000-0009-0000-0100-000001000000}"/>
  <sortState xmlns:xlrd2="http://schemas.microsoft.com/office/spreadsheetml/2017/richdata2" ref="A2:I102">
    <sortCondition ref="E2:E102"/>
  </sortState>
  <tableColumns count="9">
    <tableColumn id="1" xr3:uid="{00000000-0010-0000-0000-000001000000}" name="Date" dataDxfId="30"/>
    <tableColumn id="2" xr3:uid="{00000000-0010-0000-0000-000002000000}" name="Product"/>
    <tableColumn id="3" xr3:uid="{00000000-0010-0000-0000-000003000000}" name="Category"/>
    <tableColumn id="4" xr3:uid="{00000000-0010-0000-0000-000004000000}" name="Region"/>
    <tableColumn id="5" xr3:uid="{00000000-0010-0000-0000-000005000000}" name="Sales Amount"/>
    <tableColumn id="6" xr3:uid="{00000000-0010-0000-0000-000006000000}" name="Quantity Sold"/>
    <tableColumn id="9" xr3:uid="{5B3FFEB1-9704-41A0-A9B4-3FA3C47F5DA1}" name="bin" dataDxfId="29">
      <calculatedColumnFormula>IF(Table1[[#This Row],[age]]&gt;500,"Above 500",IF(Table1[[#This Row],[age]]&gt;450,"450-500",IF(Table1[[#This Row],[age]]&gt;400,"400-450","other")))</calculatedColumnFormula>
    </tableColumn>
    <tableColumn id="11" xr3:uid="{7E2BD44F-D5DB-46A6-A3E8-F3F3D9A9F5F2}" name="Column1" dataDxfId="28">
      <calculatedColumnFormula>TEXT(Table1[[#This Row],[Date]],"mmmm")</calculatedColumnFormula>
    </tableColumn>
    <tableColumn id="7" xr3:uid="{D13A8E67-8136-40F7-8C8C-AD399D932444}" name="age" dataDxfId="27">
      <calculatedColumnFormula>_xlfn.DAYS(TODAY(),Table1[[#This Row],[Date]])</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007FCE-3534-4D1A-A441-92034EFACE84}" name="Table23" displayName="Table23" ref="I5:K10" totalsRowShown="0">
  <autoFilter ref="I5:K10" xr:uid="{F5007FCE-3534-4D1A-A441-92034EFACE84}"/>
  <tableColumns count="3">
    <tableColumn id="1" xr3:uid="{70AC3CA6-0CC2-4AFD-8AE8-98B341BCB65C}" name="age"/>
    <tableColumn id="2" xr3:uid="{E73DAEFA-0DA9-45CE-9A85-F872221124B0}" name="name"/>
    <tableColumn id="3" xr3:uid="{400774D7-195C-42AD-8557-43A788AAA9E6}" name="gender"/>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E40EE3F-F365-4C33-A4BB-08C80A0303E1}" name="Table24" displayName="Table24" ref="C42:D49" totalsRowShown="0">
  <autoFilter ref="C42:D49" xr:uid="{FE40EE3F-F365-4C33-A4BB-08C80A0303E1}"/>
  <tableColumns count="2">
    <tableColumn id="1" xr3:uid="{4DCC0EA8-21AF-4237-8ACD-80477ECCB103}" name="Column1"/>
    <tableColumn id="2" xr3:uid="{45B23B4D-87F4-43C3-BA20-31A814ED5938}" name="Column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01DA842-5E21-47C5-A586-D89761499F9D}" name="Table22" displayName="Table22" ref="U46:V72" totalsRowShown="0" dataDxfId="18" tableBorderDxfId="21">
  <autoFilter ref="U46:V72" xr:uid="{801DA842-5E21-47C5-A586-D89761499F9D}"/>
  <tableColumns count="2">
    <tableColumn id="1" xr3:uid="{D11A77A0-FB59-4972-9716-025891F8A81C}" name="Category" dataDxfId="20"/>
    <tableColumn id="2" xr3:uid="{1442CD91-5BDB-482F-8559-AF14EBB14231}" name="Sales" dataDxfId="19"/>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FA47B16-18F2-4FFF-B1BF-6197E0AA1FC1}" name="Table25" displayName="Table25" ref="AA46:AC50" totalsRowShown="0" headerRowDxfId="11" headerRowBorderDxfId="16" tableBorderDxfId="17" totalsRowBorderDxfId="15">
  <autoFilter ref="AA46:AC50" xr:uid="{EFA47B16-18F2-4FFF-B1BF-6197E0AA1FC1}"/>
  <tableColumns count="3">
    <tableColumn id="1" xr3:uid="{F6A8C8E1-B225-45B1-81C0-A69EC474A1F8}" name="8" dataDxfId="14"/>
    <tableColumn id="2" xr3:uid="{37C199C5-761F-4503-BC53-CBDA1E4E1929}" name="6962" dataDxfId="13"/>
    <tableColumn id="3" xr3:uid="{ECA72D21-43E4-4D6B-9DBE-944E772C30C0}" name="sales" dataDxfId="12">
      <calculatedColumnFormula>SUMIF(Table22[Category],AA47,Table22[Sales])</calculatedColumnFormula>
    </tableColumn>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921BEE-480B-4F36-A609-549F8B4B643D}" name="Table10" displayName="Table10" ref="D9:F13" totalsRowShown="0" headerRowDxfId="26" dataDxfId="25">
  <autoFilter ref="D9:F13" xr:uid="{E9921BEE-480B-4F36-A609-549F8B4B643D}"/>
  <tableColumns count="3">
    <tableColumn id="1" xr3:uid="{516026BE-CCD6-4240-8A7E-48199ABA4F23}" name="company" dataDxfId="24"/>
    <tableColumn id="2" xr3:uid="{233BD92F-BDDA-40EF-9DB0-A1B6F372D0DE}" name="Logo" dataDxfId="23"/>
    <tableColumn id="3" xr3:uid="{368E81FA-782B-44A7-8405-6C2BAA6657D6}" name="Sales" dataDxfId="22"/>
  </tableColumns>
  <tableStyleInfo name="TableStyleMedium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5571ABD-C6EA-4AC8-9B31-71AF51B54775}" name="Table15" displayName="Table15" ref="E48:G55" totalsRowShown="0">
  <autoFilter ref="E48:G55" xr:uid="{05571ABD-C6EA-4AC8-9B31-71AF51B54775}"/>
  <tableColumns count="3">
    <tableColumn id="1" xr3:uid="{B806235D-501A-4CA3-BAFA-9D56C65471B0}" name="A"/>
    <tableColumn id="2" xr3:uid="{09B5B635-DF7F-444A-8BF1-C1F018ABAEF8}" name="B"/>
    <tableColumn id="3" xr3:uid="{D766BDC7-5B6D-4223-BC66-64AC095ECB43}" name="C"/>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052572F-8137-4089-936C-B182F95651BB}" name="Table16" displayName="Table16" ref="D176:G186" totalsRowShown="0">
  <autoFilter ref="D176:G186" xr:uid="{4052572F-8137-4089-936C-B182F95651BB}"/>
  <tableColumns count="4">
    <tableColumn id="1" xr3:uid="{2B7FD6F9-2119-4EA9-A670-0F58849E6DAE}" name="regions"/>
    <tableColumn id="2" xr3:uid="{06169DC8-F08D-4992-BC79-EE1B65406FA2}" name="p1"/>
    <tableColumn id="3" xr3:uid="{54BC1995-29AA-48E3-B764-E46B8995E001}" name="p2"/>
    <tableColumn id="4" xr3:uid="{EC2D2F86-D839-4BFD-9A85-5ECA55390616}" name="p3"/>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1DCA70A-02CA-45FA-9249-9B819A0258C1}" name="Table17" displayName="Table17" ref="D192:G202" totalsRowShown="0">
  <autoFilter ref="D192:G202" xr:uid="{01DCA70A-02CA-45FA-9249-9B819A0258C1}"/>
  <tableColumns count="4">
    <tableColumn id="1" xr3:uid="{9C0F4447-E5B4-4EC2-88D8-431C7C703890}" name="Items"/>
    <tableColumn id="2" xr3:uid="{E8FB03BC-1D37-400D-B2C0-33ABD471083F}" name="p1"/>
    <tableColumn id="3" xr3:uid="{D1B6C09B-986A-4005-B233-FEE9BB14D460}" name="p2"/>
    <tableColumn id="4" xr3:uid="{8A583D4F-AA33-4952-9021-B46D03FF62DE}" name="p3"/>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2BD2762-0C42-4790-9777-77AD9E8EB722}" name="Table1719" displayName="Table1719" ref="C240:F250" totalsRowShown="0">
  <autoFilter ref="C240:F250" xr:uid="{42BD2762-0C42-4790-9777-77AD9E8EB722}"/>
  <tableColumns count="4">
    <tableColumn id="1" xr3:uid="{422F5231-D882-41FF-AB5E-6BDF51F22C84}" name="Items"/>
    <tableColumn id="2" xr3:uid="{2A6B050D-396A-4B65-8E3C-E9EB8B41FCF0}" name="p1"/>
    <tableColumn id="3" xr3:uid="{D87593F9-14B1-4831-B7E0-E21507453361}" name="p2"/>
    <tableColumn id="4" xr3:uid="{F2837B7D-2118-4BAE-8E78-41DFA6CB68F4}" name="p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4DCDCED-655D-495B-A870-7D5D751EC4A4}" name="Table19" displayName="Table19" ref="E259:F263" totalsRowShown="0">
  <autoFilter ref="E259:F263" xr:uid="{C4DCDCED-655D-495B-A870-7D5D751EC4A4}"/>
  <tableColumns count="2">
    <tableColumn id="1" xr3:uid="{3EA888F7-7817-4C08-AAB6-8770EDD45E40}" name="bt"/>
    <tableColumn id="2" xr3:uid="{8509CD58-57C8-40DA-9D88-A193A7D8F6D1}" name="at"/>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microsoft.com/office/2007/relationships/slicer" Target="../slicers/slicer1.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drawing" Target="../drawings/drawing3.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5.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6.xml"/><Relationship Id="rId1" Type="http://schemas.openxmlformats.org/officeDocument/2006/relationships/pivotTable" Target="../pivotTables/pivotTable20.xml"/><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table" Target="../tables/table20.xml"/><Relationship Id="rId7" Type="http://schemas.openxmlformats.org/officeDocument/2006/relationships/table" Target="../tables/table24.xml"/><Relationship Id="rId2" Type="http://schemas.openxmlformats.org/officeDocument/2006/relationships/drawing" Target="../drawings/drawing8.xml"/><Relationship Id="rId1" Type="http://schemas.openxmlformats.org/officeDocument/2006/relationships/hyperlink" Target="https://www.cliffsnotes.com/study-notes/23698395" TargetMode="External"/><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B623C-4BC8-4F59-84AB-18B517E314AA}">
  <sheetPr codeName="Sheet1"/>
  <dimension ref="A1:AB170"/>
  <sheetViews>
    <sheetView topLeftCell="G7" zoomScale="130" zoomScaleNormal="130" workbookViewId="0">
      <selection activeCell="S4" sqref="S4"/>
    </sheetView>
  </sheetViews>
  <sheetFormatPr defaultRowHeight="15" x14ac:dyDescent="0.25"/>
  <cols>
    <col min="1" max="1" width="11.1406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0" max="10" width="13.140625" bestFit="1" customWidth="1"/>
    <col min="11" max="11" width="8.42578125" bestFit="1" customWidth="1"/>
    <col min="12" max="12" width="13.140625" bestFit="1" customWidth="1"/>
    <col min="13" max="13" width="6.42578125" bestFit="1" customWidth="1"/>
    <col min="14" max="14" width="7.42578125" bestFit="1" customWidth="1"/>
    <col min="15" max="15" width="10.28515625" bestFit="1" customWidth="1"/>
    <col min="16" max="16" width="6.7109375" bestFit="1" customWidth="1"/>
    <col min="17" max="17" width="7" bestFit="1" customWidth="1"/>
    <col min="18" max="18" width="10" bestFit="1" customWidth="1"/>
    <col min="19" max="19" width="7.140625" bestFit="1" customWidth="1"/>
    <col min="20" max="20" width="6.140625" bestFit="1" customWidth="1"/>
    <col min="22" max="22" width="17.28515625" bestFit="1" customWidth="1"/>
    <col min="28" max="28" width="12.42578125" bestFit="1" customWidth="1"/>
  </cols>
  <sheetData>
    <row r="1" spans="1:28" x14ac:dyDescent="0.25">
      <c r="A1" t="s">
        <v>0</v>
      </c>
      <c r="B1" t="s">
        <v>1</v>
      </c>
      <c r="C1" t="s">
        <v>2</v>
      </c>
      <c r="D1" t="s">
        <v>3</v>
      </c>
      <c r="E1" t="s">
        <v>4</v>
      </c>
      <c r="F1" t="s">
        <v>5</v>
      </c>
      <c r="G1" t="s">
        <v>402</v>
      </c>
      <c r="H1" t="s">
        <v>401</v>
      </c>
      <c r="I1" t="s">
        <v>400</v>
      </c>
      <c r="J1" t="s">
        <v>90</v>
      </c>
      <c r="K1" t="s">
        <v>91</v>
      </c>
      <c r="L1" t="s">
        <v>89</v>
      </c>
      <c r="M1" t="s">
        <v>92</v>
      </c>
      <c r="N1" t="s">
        <v>93</v>
      </c>
      <c r="O1" t="s">
        <v>94</v>
      </c>
      <c r="P1" t="s">
        <v>95</v>
      </c>
      <c r="Q1" t="s">
        <v>96</v>
      </c>
      <c r="R1" t="s">
        <v>97</v>
      </c>
      <c r="S1" t="s">
        <v>98</v>
      </c>
      <c r="T1" t="s">
        <v>99</v>
      </c>
    </row>
    <row r="2" spans="1:28" x14ac:dyDescent="0.25">
      <c r="A2" s="2">
        <v>45697</v>
      </c>
      <c r="B2" t="s">
        <v>73</v>
      </c>
      <c r="C2" t="s">
        <v>81</v>
      </c>
      <c r="D2" t="s">
        <v>85</v>
      </c>
      <c r="E2">
        <v>4050</v>
      </c>
      <c r="F2">
        <v>18</v>
      </c>
      <c r="G2" t="s">
        <v>403</v>
      </c>
      <c r="H2" t="s">
        <v>406</v>
      </c>
      <c r="I2">
        <v>484</v>
      </c>
      <c r="J2">
        <f t="shared" ref="J2:J33" si="0">SQRT(F:F)</f>
        <v>4.2426406871192848</v>
      </c>
      <c r="K2">
        <f t="shared" ref="K2:K33" si="1">ROUND(J:J,1)</f>
        <v>4.2</v>
      </c>
      <c r="L2">
        <f>SUM(basicformulas[[#This Row],[sqrt]:[roung]])</f>
        <v>8.4426406871192849</v>
      </c>
      <c r="M2" t="str">
        <f t="shared" ref="M2:M33" si="2">LEFT(B:B,1)</f>
        <v>S</v>
      </c>
      <c r="N2" t="str">
        <f>RIGHT(basicformulas[[#This Row],[Product]],5)</f>
        <v>akers</v>
      </c>
      <c r="O2">
        <f t="shared" ref="O2:O33" si="3">AVERAGE(F:F)</f>
        <v>9.9700000000000006</v>
      </c>
      <c r="P2">
        <f t="shared" ref="P2:P33" si="4">MIN(F:F)</f>
        <v>1</v>
      </c>
      <c r="Q2">
        <f t="shared" ref="Q2:Q33" si="5">MAX(F:F)</f>
        <v>20</v>
      </c>
      <c r="R2">
        <f t="shared" ref="R2:R33" si="6">MEDIAN(E:E)</f>
        <v>4299</v>
      </c>
      <c r="S2">
        <f>RANK(basicformulas[[#This Row],[Quantity Sold]],F:F)</f>
        <v>10</v>
      </c>
      <c r="T2">
        <f t="shared" ref="T2:T33" si="7">LEN(B:B)</f>
        <v>8</v>
      </c>
    </row>
    <row r="3" spans="1:28" x14ac:dyDescent="0.25">
      <c r="A3" s="2">
        <v>45734</v>
      </c>
      <c r="B3" t="s">
        <v>74</v>
      </c>
      <c r="C3" t="s">
        <v>82</v>
      </c>
      <c r="D3" t="s">
        <v>86</v>
      </c>
      <c r="E3">
        <v>7875</v>
      </c>
      <c r="F3">
        <v>15</v>
      </c>
      <c r="G3" t="s">
        <v>404</v>
      </c>
      <c r="H3" t="s">
        <v>407</v>
      </c>
      <c r="I3">
        <v>447</v>
      </c>
      <c r="J3">
        <f t="shared" si="0"/>
        <v>3.872983346207417</v>
      </c>
      <c r="K3">
        <f t="shared" si="1"/>
        <v>3.9</v>
      </c>
      <c r="L3">
        <f>SUM(basicformulas[[#This Row],[sqrt]:[roung]])</f>
        <v>7.7729833462074165</v>
      </c>
      <c r="M3" t="str">
        <f t="shared" si="2"/>
        <v>S</v>
      </c>
      <c r="N3" t="str">
        <f>RIGHT(basicformulas[[#This Row],[Product]],5)</f>
        <v>phone</v>
      </c>
      <c r="O3">
        <f t="shared" si="3"/>
        <v>9.9700000000000006</v>
      </c>
      <c r="P3">
        <f t="shared" si="4"/>
        <v>1</v>
      </c>
      <c r="Q3">
        <f t="shared" si="5"/>
        <v>20</v>
      </c>
      <c r="R3">
        <f t="shared" si="6"/>
        <v>4299</v>
      </c>
      <c r="S3">
        <f>RANK(basicformulas[[#This Row],[Quantity Sold]],F:F)</f>
        <v>21</v>
      </c>
      <c r="T3">
        <f t="shared" si="7"/>
        <v>10</v>
      </c>
    </row>
    <row r="4" spans="1:28" x14ac:dyDescent="0.25">
      <c r="A4" s="2">
        <v>45676</v>
      </c>
      <c r="B4" t="s">
        <v>75</v>
      </c>
      <c r="C4" t="s">
        <v>83</v>
      </c>
      <c r="D4" t="s">
        <v>85</v>
      </c>
      <c r="E4">
        <v>5832</v>
      </c>
      <c r="F4">
        <v>6</v>
      </c>
      <c r="G4" t="s">
        <v>405</v>
      </c>
      <c r="H4" t="s">
        <v>408</v>
      </c>
      <c r="I4">
        <v>505</v>
      </c>
      <c r="J4">
        <f t="shared" si="0"/>
        <v>2.4494897427831779</v>
      </c>
      <c r="K4">
        <f t="shared" si="1"/>
        <v>2.4</v>
      </c>
      <c r="L4">
        <f>SUM(basicformulas[[#This Row],[sqrt]:[roung]])</f>
        <v>4.8494897427831773</v>
      </c>
      <c r="M4" t="str">
        <f t="shared" si="2"/>
        <v>S</v>
      </c>
      <c r="N4" t="str">
        <f>RIGHT(basicformulas[[#This Row],[Product]],5)</f>
        <v>Shirt</v>
      </c>
      <c r="O4">
        <f t="shared" si="3"/>
        <v>9.9700000000000006</v>
      </c>
      <c r="P4">
        <f t="shared" si="4"/>
        <v>1</v>
      </c>
      <c r="Q4">
        <f t="shared" si="5"/>
        <v>20</v>
      </c>
      <c r="R4">
        <f t="shared" si="6"/>
        <v>4299</v>
      </c>
      <c r="S4">
        <f>RANK(basicformulas[[#This Row],[Quantity Sold]],F:F)</f>
        <v>68</v>
      </c>
      <c r="T4">
        <f t="shared" si="7"/>
        <v>5</v>
      </c>
      <c r="AB4" s="3" t="s">
        <v>109</v>
      </c>
    </row>
    <row r="5" spans="1:28" x14ac:dyDescent="0.25">
      <c r="A5" s="2">
        <v>45694</v>
      </c>
      <c r="B5" t="s">
        <v>76</v>
      </c>
      <c r="C5" t="s">
        <v>84</v>
      </c>
      <c r="D5" t="s">
        <v>85</v>
      </c>
      <c r="E5">
        <v>676</v>
      </c>
      <c r="F5">
        <v>4</v>
      </c>
      <c r="G5" t="s">
        <v>403</v>
      </c>
      <c r="H5" t="s">
        <v>406</v>
      </c>
      <c r="I5">
        <v>487</v>
      </c>
      <c r="J5">
        <f t="shared" si="0"/>
        <v>2</v>
      </c>
      <c r="K5">
        <f t="shared" si="1"/>
        <v>2</v>
      </c>
      <c r="L5">
        <f>SUM(basicformulas[[#This Row],[sqrt]:[roung]])</f>
        <v>4</v>
      </c>
      <c r="M5" t="str">
        <f t="shared" si="2"/>
        <v>M</v>
      </c>
      <c r="N5" t="str">
        <f>RIGHT(basicformulas[[#This Row],[Product]],5)</f>
        <v>owave</v>
      </c>
      <c r="O5">
        <f t="shared" si="3"/>
        <v>9.9700000000000006</v>
      </c>
      <c r="P5">
        <f t="shared" si="4"/>
        <v>1</v>
      </c>
      <c r="Q5">
        <f t="shared" si="5"/>
        <v>20</v>
      </c>
      <c r="R5">
        <f t="shared" si="6"/>
        <v>4299</v>
      </c>
      <c r="S5">
        <f>RANK(basicformulas[[#This Row],[Quantity Sold]],F:F)</f>
        <v>82</v>
      </c>
      <c r="T5">
        <f t="shared" si="7"/>
        <v>9</v>
      </c>
      <c r="Z5" s="3" t="s">
        <v>98</v>
      </c>
      <c r="AB5">
        <f>LEN(W6)</f>
        <v>8</v>
      </c>
    </row>
    <row r="6" spans="1:28" x14ac:dyDescent="0.25">
      <c r="A6" s="2">
        <v>45693</v>
      </c>
      <c r="B6" t="s">
        <v>74</v>
      </c>
      <c r="C6" t="s">
        <v>82</v>
      </c>
      <c r="D6" t="s">
        <v>87</v>
      </c>
      <c r="E6">
        <v>6560</v>
      </c>
      <c r="F6">
        <v>10</v>
      </c>
      <c r="G6" t="s">
        <v>403</v>
      </c>
      <c r="H6" t="s">
        <v>406</v>
      </c>
      <c r="I6">
        <v>488</v>
      </c>
      <c r="J6">
        <f t="shared" si="0"/>
        <v>3.1622776601683795</v>
      </c>
      <c r="K6">
        <f t="shared" si="1"/>
        <v>3.2</v>
      </c>
      <c r="L6">
        <f>SUM(basicformulas[[#This Row],[sqrt]:[roung]])</f>
        <v>6.3622776601683793</v>
      </c>
      <c r="M6" t="str">
        <f t="shared" si="2"/>
        <v>S</v>
      </c>
      <c r="N6" t="str">
        <f>RIGHT(basicformulas[[#This Row],[Product]],5)</f>
        <v>phone</v>
      </c>
      <c r="O6">
        <f t="shared" si="3"/>
        <v>9.9700000000000006</v>
      </c>
      <c r="P6">
        <f t="shared" si="4"/>
        <v>1</v>
      </c>
      <c r="Q6">
        <f t="shared" si="5"/>
        <v>20</v>
      </c>
      <c r="R6">
        <f t="shared" si="6"/>
        <v>4299</v>
      </c>
      <c r="S6">
        <f>RANK(basicformulas[[#This Row],[Quantity Sold]],F:F)</f>
        <v>43</v>
      </c>
      <c r="T6">
        <f t="shared" si="7"/>
        <v>10</v>
      </c>
      <c r="W6" t="s">
        <v>100</v>
      </c>
      <c r="X6">
        <v>10</v>
      </c>
      <c r="Z6">
        <f>RANK(X6,X6:X10)</f>
        <v>5</v>
      </c>
      <c r="AB6">
        <f>LEN(W7)</f>
        <v>5</v>
      </c>
    </row>
    <row r="7" spans="1:28" x14ac:dyDescent="0.25">
      <c r="A7" s="2">
        <v>45775</v>
      </c>
      <c r="B7" t="s">
        <v>76</v>
      </c>
      <c r="C7" t="s">
        <v>84</v>
      </c>
      <c r="D7" t="s">
        <v>87</v>
      </c>
      <c r="E7">
        <v>1905</v>
      </c>
      <c r="F7">
        <v>5</v>
      </c>
      <c r="G7" t="s">
        <v>404</v>
      </c>
      <c r="H7" t="s">
        <v>409</v>
      </c>
      <c r="I7">
        <v>406</v>
      </c>
      <c r="J7">
        <f t="shared" si="0"/>
        <v>2.2360679774997898</v>
      </c>
      <c r="K7">
        <f t="shared" si="1"/>
        <v>2.2000000000000002</v>
      </c>
      <c r="L7">
        <f>SUM(basicformulas[[#This Row],[sqrt]:[roung]])</f>
        <v>4.43606797749979</v>
      </c>
      <c r="M7" t="str">
        <f t="shared" si="2"/>
        <v>M</v>
      </c>
      <c r="N7" t="str">
        <f>RIGHT(basicformulas[[#This Row],[Product]],5)</f>
        <v>owave</v>
      </c>
      <c r="O7">
        <f t="shared" si="3"/>
        <v>9.9700000000000006</v>
      </c>
      <c r="P7">
        <f t="shared" si="4"/>
        <v>1</v>
      </c>
      <c r="Q7">
        <f t="shared" si="5"/>
        <v>20</v>
      </c>
      <c r="R7">
        <f t="shared" si="6"/>
        <v>4299</v>
      </c>
      <c r="S7">
        <f>RANK(basicformulas[[#This Row],[Quantity Sold]],F:F)</f>
        <v>72</v>
      </c>
      <c r="T7">
        <f t="shared" si="7"/>
        <v>9</v>
      </c>
      <c r="W7" t="s">
        <v>101</v>
      </c>
      <c r="X7">
        <v>20</v>
      </c>
      <c r="Z7">
        <f t="shared" ref="Z7:Z9" si="8">RANK(X7,X7:X11)</f>
        <v>4</v>
      </c>
      <c r="AB7">
        <f t="shared" ref="AB7:AB8" si="9">LEN(W8)</f>
        <v>6</v>
      </c>
    </row>
    <row r="8" spans="1:28" x14ac:dyDescent="0.25">
      <c r="A8" s="2">
        <v>45720</v>
      </c>
      <c r="B8" t="s">
        <v>77</v>
      </c>
      <c r="C8" t="s">
        <v>83</v>
      </c>
      <c r="D8" t="s">
        <v>86</v>
      </c>
      <c r="E8">
        <v>6948</v>
      </c>
      <c r="F8">
        <v>18</v>
      </c>
      <c r="G8" t="s">
        <v>403</v>
      </c>
      <c r="H8" t="s">
        <v>407</v>
      </c>
      <c r="I8">
        <v>461</v>
      </c>
      <c r="J8">
        <f t="shared" si="0"/>
        <v>4.2426406871192848</v>
      </c>
      <c r="K8">
        <f t="shared" si="1"/>
        <v>4.2</v>
      </c>
      <c r="L8">
        <f>SUM(basicformulas[[#This Row],[sqrt]:[roung]])</f>
        <v>8.4426406871192849</v>
      </c>
      <c r="M8" t="str">
        <f t="shared" si="2"/>
        <v>T</v>
      </c>
      <c r="N8" t="str">
        <f>RIGHT(basicformulas[[#This Row],[Product]],5)</f>
        <v>users</v>
      </c>
      <c r="O8">
        <f t="shared" si="3"/>
        <v>9.9700000000000006</v>
      </c>
      <c r="P8">
        <f t="shared" si="4"/>
        <v>1</v>
      </c>
      <c r="Q8">
        <f t="shared" si="5"/>
        <v>20</v>
      </c>
      <c r="R8">
        <f t="shared" si="6"/>
        <v>4299</v>
      </c>
      <c r="S8">
        <f>RANK(basicformulas[[#This Row],[Quantity Sold]],F:F)</f>
        <v>10</v>
      </c>
      <c r="T8">
        <f t="shared" si="7"/>
        <v>8</v>
      </c>
      <c r="W8" t="s">
        <v>102</v>
      </c>
      <c r="X8">
        <v>35.5</v>
      </c>
      <c r="Z8">
        <f t="shared" si="8"/>
        <v>3</v>
      </c>
      <c r="AB8">
        <f t="shared" si="9"/>
        <v>4</v>
      </c>
    </row>
    <row r="9" spans="1:28" x14ac:dyDescent="0.25">
      <c r="A9" s="2">
        <v>45764</v>
      </c>
      <c r="B9" t="s">
        <v>77</v>
      </c>
      <c r="C9" t="s">
        <v>83</v>
      </c>
      <c r="D9" t="s">
        <v>85</v>
      </c>
      <c r="E9">
        <v>1944</v>
      </c>
      <c r="F9">
        <v>18</v>
      </c>
      <c r="G9" t="s">
        <v>404</v>
      </c>
      <c r="H9" t="s">
        <v>409</v>
      </c>
      <c r="I9">
        <v>417</v>
      </c>
      <c r="J9">
        <f t="shared" si="0"/>
        <v>4.2426406871192848</v>
      </c>
      <c r="K9">
        <f t="shared" si="1"/>
        <v>4.2</v>
      </c>
      <c r="L9">
        <f>SUM(basicformulas[[#This Row],[sqrt]:[roung]])</f>
        <v>8.4426406871192849</v>
      </c>
      <c r="M9" t="str">
        <f t="shared" si="2"/>
        <v>T</v>
      </c>
      <c r="N9" t="str">
        <f>RIGHT(basicformulas[[#This Row],[Product]],5)</f>
        <v>users</v>
      </c>
      <c r="O9">
        <f t="shared" si="3"/>
        <v>9.9700000000000006</v>
      </c>
      <c r="P9">
        <f t="shared" si="4"/>
        <v>1</v>
      </c>
      <c r="Q9">
        <f t="shared" si="5"/>
        <v>20</v>
      </c>
      <c r="R9">
        <f t="shared" si="6"/>
        <v>4299</v>
      </c>
      <c r="S9">
        <f>RANK(basicformulas[[#This Row],[Quantity Sold]],F:F)</f>
        <v>10</v>
      </c>
      <c r="T9">
        <f t="shared" si="7"/>
        <v>8</v>
      </c>
      <c r="W9" t="s">
        <v>103</v>
      </c>
      <c r="X9">
        <v>50</v>
      </c>
      <c r="Z9">
        <f t="shared" si="8"/>
        <v>1</v>
      </c>
      <c r="AB9">
        <f>LEN(W9)</f>
        <v>4</v>
      </c>
    </row>
    <row r="10" spans="1:28" x14ac:dyDescent="0.25">
      <c r="A10" s="2">
        <v>45735</v>
      </c>
      <c r="B10" t="s">
        <v>78</v>
      </c>
      <c r="C10" t="s">
        <v>84</v>
      </c>
      <c r="D10" t="s">
        <v>85</v>
      </c>
      <c r="E10">
        <v>7776</v>
      </c>
      <c r="F10">
        <v>8</v>
      </c>
      <c r="G10" t="s">
        <v>404</v>
      </c>
      <c r="H10" t="s">
        <v>407</v>
      </c>
      <c r="I10">
        <v>446</v>
      </c>
      <c r="J10">
        <f t="shared" si="0"/>
        <v>2.8284271247461903</v>
      </c>
      <c r="K10">
        <f t="shared" si="1"/>
        <v>2.8</v>
      </c>
      <c r="L10">
        <f>SUM(basicformulas[[#This Row],[sqrt]:[roung]])</f>
        <v>5.6284271247461906</v>
      </c>
      <c r="M10" t="str">
        <f t="shared" si="2"/>
        <v>B</v>
      </c>
      <c r="N10" t="str">
        <f>RIGHT(basicformulas[[#This Row],[Product]],5)</f>
        <v>ender</v>
      </c>
      <c r="O10">
        <f t="shared" si="3"/>
        <v>9.9700000000000006</v>
      </c>
      <c r="P10">
        <f t="shared" si="4"/>
        <v>1</v>
      </c>
      <c r="Q10">
        <f t="shared" si="5"/>
        <v>20</v>
      </c>
      <c r="R10">
        <f t="shared" si="6"/>
        <v>4299</v>
      </c>
      <c r="S10">
        <f>RANK(basicformulas[[#This Row],[Quantity Sold]],F:F)</f>
        <v>56</v>
      </c>
      <c r="T10">
        <f t="shared" si="7"/>
        <v>7</v>
      </c>
      <c r="W10" t="s">
        <v>104</v>
      </c>
      <c r="X10">
        <v>50</v>
      </c>
      <c r="Z10">
        <f>RANK(X10,X10:X14)</f>
        <v>1</v>
      </c>
      <c r="AB10">
        <f>LEN(W10)</f>
        <v>7</v>
      </c>
    </row>
    <row r="11" spans="1:28" x14ac:dyDescent="0.25">
      <c r="A11" s="2">
        <v>45778</v>
      </c>
      <c r="B11" t="s">
        <v>74</v>
      </c>
      <c r="C11" t="s">
        <v>82</v>
      </c>
      <c r="D11" t="s">
        <v>86</v>
      </c>
      <c r="E11">
        <v>2790</v>
      </c>
      <c r="F11">
        <v>18</v>
      </c>
      <c r="G11" t="s">
        <v>404</v>
      </c>
      <c r="H11" t="s">
        <v>410</v>
      </c>
      <c r="I11">
        <v>403</v>
      </c>
      <c r="J11">
        <f t="shared" si="0"/>
        <v>4.2426406871192848</v>
      </c>
      <c r="K11">
        <f t="shared" si="1"/>
        <v>4.2</v>
      </c>
      <c r="L11">
        <f>SUM(basicformulas[[#This Row],[sqrt]:[roung]])</f>
        <v>8.4426406871192849</v>
      </c>
      <c r="M11" t="str">
        <f t="shared" si="2"/>
        <v>S</v>
      </c>
      <c r="N11" t="str">
        <f>RIGHT(basicformulas[[#This Row],[Product]],5)</f>
        <v>phone</v>
      </c>
      <c r="O11">
        <f t="shared" si="3"/>
        <v>9.9700000000000006</v>
      </c>
      <c r="P11">
        <f t="shared" si="4"/>
        <v>1</v>
      </c>
      <c r="Q11">
        <f t="shared" si="5"/>
        <v>20</v>
      </c>
      <c r="R11">
        <f t="shared" si="6"/>
        <v>4299</v>
      </c>
      <c r="S11">
        <f>RANK(basicformulas[[#This Row],[Quantity Sold]],F:F)</f>
        <v>10</v>
      </c>
      <c r="T11">
        <f t="shared" si="7"/>
        <v>10</v>
      </c>
    </row>
    <row r="12" spans="1:28" x14ac:dyDescent="0.25">
      <c r="A12" s="2">
        <v>45693</v>
      </c>
      <c r="B12" t="s">
        <v>75</v>
      </c>
      <c r="C12" t="s">
        <v>83</v>
      </c>
      <c r="D12" t="s">
        <v>86</v>
      </c>
      <c r="E12">
        <v>7995</v>
      </c>
      <c r="F12">
        <v>13</v>
      </c>
      <c r="G12" t="s">
        <v>403</v>
      </c>
      <c r="H12" t="s">
        <v>406</v>
      </c>
      <c r="I12">
        <v>488</v>
      </c>
      <c r="J12">
        <f t="shared" si="0"/>
        <v>3.6055512754639891</v>
      </c>
      <c r="K12">
        <f t="shared" si="1"/>
        <v>3.6</v>
      </c>
      <c r="L12">
        <f>SUM(basicformulas[[#This Row],[sqrt]:[roung]])</f>
        <v>7.2055512754639892</v>
      </c>
      <c r="M12" t="str">
        <f t="shared" si="2"/>
        <v>S</v>
      </c>
      <c r="N12" t="str">
        <f>RIGHT(basicformulas[[#This Row],[Product]],5)</f>
        <v>Shirt</v>
      </c>
      <c r="O12">
        <f t="shared" si="3"/>
        <v>9.9700000000000006</v>
      </c>
      <c r="P12">
        <f t="shared" si="4"/>
        <v>1</v>
      </c>
      <c r="Q12">
        <f t="shared" si="5"/>
        <v>20</v>
      </c>
      <c r="R12">
        <f t="shared" si="6"/>
        <v>4299</v>
      </c>
      <c r="S12">
        <f>RANK(basicformulas[[#This Row],[Quantity Sold]],F:F)</f>
        <v>29</v>
      </c>
      <c r="T12">
        <f t="shared" si="7"/>
        <v>5</v>
      </c>
      <c r="W12" s="3" t="s">
        <v>95</v>
      </c>
      <c r="X12">
        <f>MIN(X6:X10)</f>
        <v>10</v>
      </c>
      <c r="AA12" s="3" t="s">
        <v>107</v>
      </c>
      <c r="AB12" s="3" t="s">
        <v>108</v>
      </c>
    </row>
    <row r="13" spans="1:28" x14ac:dyDescent="0.25">
      <c r="A13" s="2">
        <v>45677</v>
      </c>
      <c r="B13" t="s">
        <v>75</v>
      </c>
      <c r="C13" t="s">
        <v>83</v>
      </c>
      <c r="D13" t="s">
        <v>85</v>
      </c>
      <c r="E13">
        <v>9984</v>
      </c>
      <c r="F13">
        <v>13</v>
      </c>
      <c r="G13" t="s">
        <v>405</v>
      </c>
      <c r="H13" t="s">
        <v>408</v>
      </c>
      <c r="I13">
        <v>504</v>
      </c>
      <c r="J13">
        <f t="shared" si="0"/>
        <v>3.6055512754639891</v>
      </c>
      <c r="K13">
        <f t="shared" si="1"/>
        <v>3.6</v>
      </c>
      <c r="L13">
        <f>SUM(basicformulas[[#This Row],[sqrt]:[roung]])</f>
        <v>7.2055512754639892</v>
      </c>
      <c r="M13" t="str">
        <f t="shared" si="2"/>
        <v>S</v>
      </c>
      <c r="N13" t="str">
        <f>RIGHT(basicformulas[[#This Row],[Product]],5)</f>
        <v>Shirt</v>
      </c>
      <c r="O13">
        <f t="shared" si="3"/>
        <v>9.9700000000000006</v>
      </c>
      <c r="P13">
        <f t="shared" si="4"/>
        <v>1</v>
      </c>
      <c r="Q13">
        <f t="shared" si="5"/>
        <v>20</v>
      </c>
      <c r="R13">
        <f t="shared" si="6"/>
        <v>4299</v>
      </c>
      <c r="S13">
        <f>RANK(basicformulas[[#This Row],[Quantity Sold]],F:F)</f>
        <v>29</v>
      </c>
      <c r="T13">
        <f t="shared" si="7"/>
        <v>5</v>
      </c>
      <c r="W13" s="3" t="s">
        <v>96</v>
      </c>
      <c r="X13">
        <f>MAX(X6:X10)</f>
        <v>50</v>
      </c>
      <c r="AA13" t="str">
        <f>LEFT(W6,1)</f>
        <v>s</v>
      </c>
      <c r="AB13" t="str">
        <f>RIGHT(W6,1)</f>
        <v>h</v>
      </c>
    </row>
    <row r="14" spans="1:28" x14ac:dyDescent="0.25">
      <c r="A14" s="2">
        <v>45739</v>
      </c>
      <c r="B14" t="s">
        <v>75</v>
      </c>
      <c r="C14" t="s">
        <v>83</v>
      </c>
      <c r="D14" t="s">
        <v>87</v>
      </c>
      <c r="E14">
        <v>7683</v>
      </c>
      <c r="F14">
        <v>13</v>
      </c>
      <c r="G14" t="s">
        <v>404</v>
      </c>
      <c r="H14" t="s">
        <v>407</v>
      </c>
      <c r="I14">
        <v>442</v>
      </c>
      <c r="J14">
        <f t="shared" si="0"/>
        <v>3.6055512754639891</v>
      </c>
      <c r="K14">
        <f t="shared" si="1"/>
        <v>3.6</v>
      </c>
      <c r="L14">
        <f>SUM(basicformulas[[#This Row],[sqrt]:[roung]])</f>
        <v>7.2055512754639892</v>
      </c>
      <c r="M14" t="str">
        <f t="shared" si="2"/>
        <v>S</v>
      </c>
      <c r="N14" t="str">
        <f>RIGHT(basicformulas[[#This Row],[Product]],5)</f>
        <v>Shirt</v>
      </c>
      <c r="O14">
        <f t="shared" si="3"/>
        <v>9.9700000000000006</v>
      </c>
      <c r="P14">
        <f t="shared" si="4"/>
        <v>1</v>
      </c>
      <c r="Q14">
        <f t="shared" si="5"/>
        <v>20</v>
      </c>
      <c r="R14">
        <f t="shared" si="6"/>
        <v>4299</v>
      </c>
      <c r="S14">
        <f>RANK(basicformulas[[#This Row],[Quantity Sold]],F:F)</f>
        <v>29</v>
      </c>
      <c r="T14">
        <f t="shared" si="7"/>
        <v>5</v>
      </c>
      <c r="W14" s="3" t="s">
        <v>94</v>
      </c>
      <c r="X14">
        <f>AVERAGE(X6:X10)</f>
        <v>33.1</v>
      </c>
      <c r="AA14" t="str">
        <f t="shared" ref="AA14:AA17" si="10">LEFT(W7,1)</f>
        <v>v</v>
      </c>
      <c r="AB14" t="str">
        <f t="shared" ref="AB14:AB17" si="11">RIGHT(W7,1)</f>
        <v>y</v>
      </c>
    </row>
    <row r="15" spans="1:28" x14ac:dyDescent="0.25">
      <c r="A15" s="2">
        <v>45699</v>
      </c>
      <c r="B15" t="s">
        <v>76</v>
      </c>
      <c r="C15" t="s">
        <v>84</v>
      </c>
      <c r="D15" t="s">
        <v>88</v>
      </c>
      <c r="E15">
        <v>6885</v>
      </c>
      <c r="F15">
        <v>9</v>
      </c>
      <c r="G15" t="s">
        <v>403</v>
      </c>
      <c r="H15" t="s">
        <v>406</v>
      </c>
      <c r="I15">
        <v>482</v>
      </c>
      <c r="J15">
        <f t="shared" si="0"/>
        <v>3</v>
      </c>
      <c r="K15">
        <f t="shared" si="1"/>
        <v>3</v>
      </c>
      <c r="L15">
        <f>SUM(basicformulas[[#This Row],[sqrt]:[roung]])</f>
        <v>6</v>
      </c>
      <c r="M15" t="str">
        <f t="shared" si="2"/>
        <v>M</v>
      </c>
      <c r="N15" t="str">
        <f>RIGHT(basicformulas[[#This Row],[Product]],5)</f>
        <v>owave</v>
      </c>
      <c r="O15">
        <f t="shared" si="3"/>
        <v>9.9700000000000006</v>
      </c>
      <c r="P15">
        <f t="shared" si="4"/>
        <v>1</v>
      </c>
      <c r="Q15">
        <f t="shared" si="5"/>
        <v>20</v>
      </c>
      <c r="R15">
        <f t="shared" si="6"/>
        <v>4299</v>
      </c>
      <c r="S15">
        <f>RANK(basicformulas[[#This Row],[Quantity Sold]],F:F)</f>
        <v>49</v>
      </c>
      <c r="T15">
        <f t="shared" si="7"/>
        <v>9</v>
      </c>
      <c r="W15" s="3" t="s">
        <v>105</v>
      </c>
      <c r="X15">
        <f>MEDIAN(X6:X10)</f>
        <v>35.5</v>
      </c>
      <c r="AA15" t="str">
        <f t="shared" si="10"/>
        <v>n</v>
      </c>
      <c r="AB15" t="str">
        <f t="shared" si="11"/>
        <v>a</v>
      </c>
    </row>
    <row r="16" spans="1:28" x14ac:dyDescent="0.25">
      <c r="A16" s="2">
        <v>45767</v>
      </c>
      <c r="B16" t="s">
        <v>79</v>
      </c>
      <c r="C16" t="s">
        <v>81</v>
      </c>
      <c r="D16" t="s">
        <v>87</v>
      </c>
      <c r="E16">
        <v>229</v>
      </c>
      <c r="F16">
        <v>1</v>
      </c>
      <c r="G16" t="s">
        <v>404</v>
      </c>
      <c r="H16" t="s">
        <v>409</v>
      </c>
      <c r="I16">
        <v>414</v>
      </c>
      <c r="J16">
        <f t="shared" si="0"/>
        <v>1</v>
      </c>
      <c r="K16">
        <f t="shared" si="1"/>
        <v>1</v>
      </c>
      <c r="L16">
        <f>SUM(basicformulas[[#This Row],[sqrt]:[roung]])</f>
        <v>2</v>
      </c>
      <c r="M16" t="str">
        <f t="shared" si="2"/>
        <v>B</v>
      </c>
      <c r="N16" t="str">
        <f>RIGHT(basicformulas[[#This Row],[Product]],5)</f>
        <v>Boots</v>
      </c>
      <c r="O16">
        <f t="shared" si="3"/>
        <v>9.9700000000000006</v>
      </c>
      <c r="P16">
        <f t="shared" si="4"/>
        <v>1</v>
      </c>
      <c r="Q16">
        <f t="shared" si="5"/>
        <v>20</v>
      </c>
      <c r="R16">
        <f t="shared" si="6"/>
        <v>4299</v>
      </c>
      <c r="S16">
        <f>RANK(basicformulas[[#This Row],[Quantity Sold]],F:F)</f>
        <v>97</v>
      </c>
      <c r="T16">
        <f t="shared" si="7"/>
        <v>5</v>
      </c>
      <c r="W16" s="3" t="s">
        <v>106</v>
      </c>
      <c r="X16">
        <f>ROUND(X14,0)</f>
        <v>33</v>
      </c>
      <c r="AA16" t="str">
        <f t="shared" si="10"/>
        <v>u</v>
      </c>
      <c r="AB16" t="str">
        <f t="shared" si="11"/>
        <v>y</v>
      </c>
    </row>
    <row r="17" spans="1:28" x14ac:dyDescent="0.25">
      <c r="A17" s="2">
        <v>45735</v>
      </c>
      <c r="B17" t="s">
        <v>80</v>
      </c>
      <c r="C17" t="s">
        <v>82</v>
      </c>
      <c r="D17" t="s">
        <v>87</v>
      </c>
      <c r="E17">
        <v>6104</v>
      </c>
      <c r="F17">
        <v>7</v>
      </c>
      <c r="G17" t="s">
        <v>404</v>
      </c>
      <c r="H17" t="s">
        <v>407</v>
      </c>
      <c r="I17">
        <v>446</v>
      </c>
      <c r="J17">
        <f t="shared" si="0"/>
        <v>2.6457513110645907</v>
      </c>
      <c r="K17">
        <f t="shared" si="1"/>
        <v>2.6</v>
      </c>
      <c r="L17">
        <f>SUM(basicformulas[[#This Row],[sqrt]:[roung]])</f>
        <v>5.2457513110645912</v>
      </c>
      <c r="M17" t="str">
        <f t="shared" si="2"/>
        <v>L</v>
      </c>
      <c r="N17" t="str">
        <f>RIGHT(basicformulas[[#This Row],[Product]],5)</f>
        <v>aptop</v>
      </c>
      <c r="O17">
        <f t="shared" si="3"/>
        <v>9.9700000000000006</v>
      </c>
      <c r="P17">
        <f t="shared" si="4"/>
        <v>1</v>
      </c>
      <c r="Q17">
        <f t="shared" si="5"/>
        <v>20</v>
      </c>
      <c r="R17">
        <f t="shared" si="6"/>
        <v>4299</v>
      </c>
      <c r="S17">
        <f>RANK(basicformulas[[#This Row],[Quantity Sold]],F:F)</f>
        <v>63</v>
      </c>
      <c r="T17">
        <f t="shared" si="7"/>
        <v>6</v>
      </c>
      <c r="AA17" t="str">
        <f t="shared" si="10"/>
        <v>v</v>
      </c>
      <c r="AB17" t="str">
        <f t="shared" si="11"/>
        <v>h</v>
      </c>
    </row>
    <row r="18" spans="1:28" x14ac:dyDescent="0.25">
      <c r="A18" s="2">
        <v>45722</v>
      </c>
      <c r="B18" t="s">
        <v>78</v>
      </c>
      <c r="C18" t="s">
        <v>84</v>
      </c>
      <c r="D18" t="s">
        <v>85</v>
      </c>
      <c r="E18">
        <v>558</v>
      </c>
      <c r="F18">
        <v>1</v>
      </c>
      <c r="G18" t="s">
        <v>403</v>
      </c>
      <c r="H18" t="s">
        <v>407</v>
      </c>
      <c r="I18">
        <v>459</v>
      </c>
      <c r="J18">
        <f t="shared" si="0"/>
        <v>1</v>
      </c>
      <c r="K18">
        <f t="shared" si="1"/>
        <v>1</v>
      </c>
      <c r="L18">
        <f>SUM(basicformulas[[#This Row],[sqrt]:[roung]])</f>
        <v>2</v>
      </c>
      <c r="M18" t="str">
        <f t="shared" si="2"/>
        <v>B</v>
      </c>
      <c r="N18" t="str">
        <f>RIGHT(basicformulas[[#This Row],[Product]],5)</f>
        <v>ender</v>
      </c>
      <c r="O18">
        <f t="shared" si="3"/>
        <v>9.9700000000000006</v>
      </c>
      <c r="P18">
        <f t="shared" si="4"/>
        <v>1</v>
      </c>
      <c r="Q18">
        <f t="shared" si="5"/>
        <v>20</v>
      </c>
      <c r="R18">
        <f t="shared" si="6"/>
        <v>4299</v>
      </c>
      <c r="S18">
        <f>RANK(basicformulas[[#This Row],[Quantity Sold]],F:F)</f>
        <v>97</v>
      </c>
      <c r="T18">
        <f t="shared" si="7"/>
        <v>7</v>
      </c>
      <c r="W18" s="3" t="s">
        <v>90</v>
      </c>
      <c r="X18">
        <f>SQRT(X16)</f>
        <v>5.7445626465380286</v>
      </c>
    </row>
    <row r="19" spans="1:28" x14ac:dyDescent="0.25">
      <c r="A19" s="2">
        <v>45741</v>
      </c>
      <c r="B19" t="s">
        <v>76</v>
      </c>
      <c r="C19" t="s">
        <v>84</v>
      </c>
      <c r="D19" t="s">
        <v>85</v>
      </c>
      <c r="E19">
        <v>6413</v>
      </c>
      <c r="F19">
        <v>11</v>
      </c>
      <c r="G19" t="s">
        <v>404</v>
      </c>
      <c r="H19" t="s">
        <v>407</v>
      </c>
      <c r="I19">
        <v>440</v>
      </c>
      <c r="J19">
        <f t="shared" si="0"/>
        <v>3.3166247903553998</v>
      </c>
      <c r="K19">
        <f t="shared" si="1"/>
        <v>3.3</v>
      </c>
      <c r="L19">
        <f>SUM(basicformulas[[#This Row],[sqrt]:[roung]])</f>
        <v>6.6166247903553996</v>
      </c>
      <c r="M19" t="str">
        <f t="shared" si="2"/>
        <v>M</v>
      </c>
      <c r="N19" t="str">
        <f>RIGHT(basicformulas[[#This Row],[Product]],5)</f>
        <v>owave</v>
      </c>
      <c r="O19">
        <f t="shared" si="3"/>
        <v>9.9700000000000006</v>
      </c>
      <c r="P19">
        <f t="shared" si="4"/>
        <v>1</v>
      </c>
      <c r="Q19">
        <f t="shared" si="5"/>
        <v>20</v>
      </c>
      <c r="R19">
        <f t="shared" si="6"/>
        <v>4299</v>
      </c>
      <c r="S19">
        <f>RANK(basicformulas[[#This Row],[Quantity Sold]],F:F)</f>
        <v>39</v>
      </c>
      <c r="T19">
        <f t="shared" si="7"/>
        <v>9</v>
      </c>
    </row>
    <row r="20" spans="1:28" x14ac:dyDescent="0.25">
      <c r="A20" s="2">
        <v>45732</v>
      </c>
      <c r="B20" t="s">
        <v>74</v>
      </c>
      <c r="C20" t="s">
        <v>82</v>
      </c>
      <c r="D20" t="s">
        <v>88</v>
      </c>
      <c r="E20">
        <v>1017</v>
      </c>
      <c r="F20">
        <v>9</v>
      </c>
      <c r="G20" t="s">
        <v>404</v>
      </c>
      <c r="H20" t="s">
        <v>407</v>
      </c>
      <c r="I20">
        <v>449</v>
      </c>
      <c r="J20">
        <f t="shared" si="0"/>
        <v>3</v>
      </c>
      <c r="K20">
        <f t="shared" si="1"/>
        <v>3</v>
      </c>
      <c r="L20">
        <f>SUM(basicformulas[[#This Row],[sqrt]:[roung]])</f>
        <v>6</v>
      </c>
      <c r="M20" t="str">
        <f t="shared" si="2"/>
        <v>S</v>
      </c>
      <c r="N20" t="str">
        <f>RIGHT(basicformulas[[#This Row],[Product]],5)</f>
        <v>phone</v>
      </c>
      <c r="O20">
        <f t="shared" si="3"/>
        <v>9.9700000000000006</v>
      </c>
      <c r="P20">
        <f t="shared" si="4"/>
        <v>1</v>
      </c>
      <c r="Q20">
        <f t="shared" si="5"/>
        <v>20</v>
      </c>
      <c r="R20">
        <f t="shared" si="6"/>
        <v>4299</v>
      </c>
      <c r="S20">
        <f>RANK(basicformulas[[#This Row],[Quantity Sold]],F:F)</f>
        <v>49</v>
      </c>
      <c r="T20">
        <f t="shared" si="7"/>
        <v>10</v>
      </c>
    </row>
    <row r="21" spans="1:28" x14ac:dyDescent="0.25">
      <c r="A21" s="2">
        <v>45721</v>
      </c>
      <c r="B21" t="s">
        <v>80</v>
      </c>
      <c r="C21" t="s">
        <v>82</v>
      </c>
      <c r="D21" t="s">
        <v>86</v>
      </c>
      <c r="E21">
        <v>9310</v>
      </c>
      <c r="F21">
        <v>10</v>
      </c>
      <c r="G21" t="s">
        <v>403</v>
      </c>
      <c r="H21" t="s">
        <v>407</v>
      </c>
      <c r="I21">
        <v>460</v>
      </c>
      <c r="J21">
        <f t="shared" si="0"/>
        <v>3.1622776601683795</v>
      </c>
      <c r="K21">
        <f t="shared" si="1"/>
        <v>3.2</v>
      </c>
      <c r="L21">
        <f>SUM(basicformulas[[#This Row],[sqrt]:[roung]])</f>
        <v>6.3622776601683793</v>
      </c>
      <c r="M21" t="str">
        <f t="shared" si="2"/>
        <v>L</v>
      </c>
      <c r="N21" t="str">
        <f>RIGHT(basicformulas[[#This Row],[Product]],5)</f>
        <v>aptop</v>
      </c>
      <c r="O21">
        <f t="shared" si="3"/>
        <v>9.9700000000000006</v>
      </c>
      <c r="P21">
        <f t="shared" si="4"/>
        <v>1</v>
      </c>
      <c r="Q21">
        <f t="shared" si="5"/>
        <v>20</v>
      </c>
      <c r="R21">
        <f t="shared" si="6"/>
        <v>4299</v>
      </c>
      <c r="S21">
        <f>RANK(basicformulas[[#This Row],[Quantity Sold]],F:F)</f>
        <v>43</v>
      </c>
      <c r="T21">
        <f t="shared" si="7"/>
        <v>6</v>
      </c>
      <c r="W21" s="3" t="s">
        <v>89</v>
      </c>
      <c r="X21">
        <f>SUM(X6:X10)</f>
        <v>165.5</v>
      </c>
      <c r="Z21" t="s">
        <v>110</v>
      </c>
    </row>
    <row r="22" spans="1:28" x14ac:dyDescent="0.25">
      <c r="A22" s="2">
        <v>45703</v>
      </c>
      <c r="B22" t="s">
        <v>75</v>
      </c>
      <c r="C22" t="s">
        <v>83</v>
      </c>
      <c r="D22" t="s">
        <v>87</v>
      </c>
      <c r="E22">
        <v>2560</v>
      </c>
      <c r="F22">
        <v>4</v>
      </c>
      <c r="G22" t="s">
        <v>403</v>
      </c>
      <c r="H22" t="s">
        <v>406</v>
      </c>
      <c r="I22">
        <v>478</v>
      </c>
      <c r="J22">
        <f t="shared" si="0"/>
        <v>2</v>
      </c>
      <c r="K22">
        <f t="shared" si="1"/>
        <v>2</v>
      </c>
      <c r="L22">
        <f>SUM(basicformulas[[#This Row],[sqrt]:[roung]])</f>
        <v>4</v>
      </c>
      <c r="M22" t="str">
        <f t="shared" si="2"/>
        <v>S</v>
      </c>
      <c r="N22" t="str">
        <f>RIGHT(basicformulas[[#This Row],[Product]],5)</f>
        <v>Shirt</v>
      </c>
      <c r="O22">
        <f t="shared" si="3"/>
        <v>9.9700000000000006</v>
      </c>
      <c r="P22">
        <f t="shared" si="4"/>
        <v>1</v>
      </c>
      <c r="Q22">
        <f t="shared" si="5"/>
        <v>20</v>
      </c>
      <c r="R22">
        <f t="shared" si="6"/>
        <v>4299</v>
      </c>
      <c r="S22">
        <f>RANK(basicformulas[[#This Row],[Quantity Sold]],F:F)</f>
        <v>82</v>
      </c>
      <c r="T22">
        <f t="shared" si="7"/>
        <v>5</v>
      </c>
      <c r="Z22" t="b">
        <f>Y6=_xlfn.RANK.AVG(X6,X6:X10)</f>
        <v>0</v>
      </c>
    </row>
    <row r="23" spans="1:28" x14ac:dyDescent="0.25">
      <c r="A23" s="2">
        <v>45681</v>
      </c>
      <c r="B23" t="s">
        <v>76</v>
      </c>
      <c r="C23" t="s">
        <v>84</v>
      </c>
      <c r="D23" t="s">
        <v>86</v>
      </c>
      <c r="E23">
        <v>6855</v>
      </c>
      <c r="F23">
        <v>15</v>
      </c>
      <c r="G23" t="s">
        <v>403</v>
      </c>
      <c r="H23" t="s">
        <v>408</v>
      </c>
      <c r="I23">
        <v>500</v>
      </c>
      <c r="J23">
        <f t="shared" si="0"/>
        <v>3.872983346207417</v>
      </c>
      <c r="K23">
        <f t="shared" si="1"/>
        <v>3.9</v>
      </c>
      <c r="L23">
        <f>SUM(basicformulas[[#This Row],[sqrt]:[roung]])</f>
        <v>7.7729833462074165</v>
      </c>
      <c r="M23" t="str">
        <f t="shared" si="2"/>
        <v>M</v>
      </c>
      <c r="N23" t="str">
        <f>RIGHT(basicformulas[[#This Row],[Product]],5)</f>
        <v>owave</v>
      </c>
      <c r="O23">
        <f t="shared" si="3"/>
        <v>9.9700000000000006</v>
      </c>
      <c r="P23">
        <f t="shared" si="4"/>
        <v>1</v>
      </c>
      <c r="Q23">
        <f t="shared" si="5"/>
        <v>20</v>
      </c>
      <c r="R23">
        <f t="shared" si="6"/>
        <v>4299</v>
      </c>
      <c r="S23">
        <f>RANK(basicformulas[[#This Row],[Quantity Sold]],F:F)</f>
        <v>21</v>
      </c>
      <c r="T23">
        <f t="shared" si="7"/>
        <v>9</v>
      </c>
    </row>
    <row r="24" spans="1:28" x14ac:dyDescent="0.25">
      <c r="A24" s="2">
        <v>45663</v>
      </c>
      <c r="B24" t="s">
        <v>78</v>
      </c>
      <c r="C24" t="s">
        <v>84</v>
      </c>
      <c r="D24" t="s">
        <v>86</v>
      </c>
      <c r="E24">
        <v>7398</v>
      </c>
      <c r="F24">
        <v>9</v>
      </c>
      <c r="G24" t="s">
        <v>405</v>
      </c>
      <c r="H24" t="s">
        <v>408</v>
      </c>
      <c r="I24">
        <v>518</v>
      </c>
      <c r="J24">
        <f t="shared" si="0"/>
        <v>3</v>
      </c>
      <c r="K24">
        <f t="shared" si="1"/>
        <v>3</v>
      </c>
      <c r="L24">
        <f>SUM(basicformulas[[#This Row],[sqrt]:[roung]])</f>
        <v>6</v>
      </c>
      <c r="M24" t="str">
        <f t="shared" si="2"/>
        <v>B</v>
      </c>
      <c r="N24" t="str">
        <f>RIGHT(basicformulas[[#This Row],[Product]],5)</f>
        <v>ender</v>
      </c>
      <c r="O24">
        <f t="shared" si="3"/>
        <v>9.9700000000000006</v>
      </c>
      <c r="P24">
        <f t="shared" si="4"/>
        <v>1</v>
      </c>
      <c r="Q24">
        <f t="shared" si="5"/>
        <v>20</v>
      </c>
      <c r="R24">
        <f t="shared" si="6"/>
        <v>4299</v>
      </c>
      <c r="S24">
        <f>RANK(basicformulas[[#This Row],[Quantity Sold]],F:F)</f>
        <v>49</v>
      </c>
      <c r="T24">
        <f t="shared" si="7"/>
        <v>7</v>
      </c>
    </row>
    <row r="25" spans="1:28" x14ac:dyDescent="0.25">
      <c r="A25" s="2">
        <v>45660</v>
      </c>
      <c r="B25" t="s">
        <v>74</v>
      </c>
      <c r="C25" t="s">
        <v>82</v>
      </c>
      <c r="D25" t="s">
        <v>85</v>
      </c>
      <c r="E25">
        <v>2094</v>
      </c>
      <c r="F25">
        <v>6</v>
      </c>
      <c r="G25" t="s">
        <v>405</v>
      </c>
      <c r="H25" t="s">
        <v>408</v>
      </c>
      <c r="I25">
        <v>521</v>
      </c>
      <c r="J25">
        <f t="shared" si="0"/>
        <v>2.4494897427831779</v>
      </c>
      <c r="K25">
        <f t="shared" si="1"/>
        <v>2.4</v>
      </c>
      <c r="L25">
        <f>SUM(basicformulas[[#This Row],[sqrt]:[roung]])</f>
        <v>4.8494897427831773</v>
      </c>
      <c r="M25" t="str">
        <f t="shared" si="2"/>
        <v>S</v>
      </c>
      <c r="N25" t="str">
        <f>RIGHT(basicformulas[[#This Row],[Product]],5)</f>
        <v>phone</v>
      </c>
      <c r="O25">
        <f t="shared" si="3"/>
        <v>9.9700000000000006</v>
      </c>
      <c r="P25">
        <f t="shared" si="4"/>
        <v>1</v>
      </c>
      <c r="Q25">
        <f t="shared" si="5"/>
        <v>20</v>
      </c>
      <c r="R25">
        <f t="shared" si="6"/>
        <v>4299</v>
      </c>
      <c r="S25">
        <f>RANK(basicformulas[[#This Row],[Quantity Sold]],F:F)</f>
        <v>68</v>
      </c>
      <c r="T25">
        <f t="shared" si="7"/>
        <v>10</v>
      </c>
      <c r="V25" s="3" t="s">
        <v>112</v>
      </c>
      <c r="W25" t="str" cm="1">
        <f t="array" ref="W25">_xlfn._xlws.FILTER(W6:W10,LEFT(W6:W10,1)="n")</f>
        <v>nandha</v>
      </c>
    </row>
    <row r="26" spans="1:28" x14ac:dyDescent="0.25">
      <c r="A26" s="2">
        <v>45701</v>
      </c>
      <c r="B26" t="s">
        <v>74</v>
      </c>
      <c r="C26" t="s">
        <v>82</v>
      </c>
      <c r="D26" t="s">
        <v>88</v>
      </c>
      <c r="E26">
        <v>3996</v>
      </c>
      <c r="F26">
        <v>4</v>
      </c>
      <c r="G26" t="s">
        <v>403</v>
      </c>
      <c r="H26" t="s">
        <v>406</v>
      </c>
      <c r="I26">
        <v>480</v>
      </c>
      <c r="J26">
        <f t="shared" si="0"/>
        <v>2</v>
      </c>
      <c r="K26">
        <f t="shared" si="1"/>
        <v>2</v>
      </c>
      <c r="L26">
        <f>SUM(basicformulas[[#This Row],[sqrt]:[roung]])</f>
        <v>4</v>
      </c>
      <c r="M26" t="str">
        <f t="shared" si="2"/>
        <v>S</v>
      </c>
      <c r="N26" t="str">
        <f>RIGHT(basicformulas[[#This Row],[Product]],5)</f>
        <v>phone</v>
      </c>
      <c r="O26">
        <f t="shared" si="3"/>
        <v>9.9700000000000006</v>
      </c>
      <c r="P26">
        <f t="shared" si="4"/>
        <v>1</v>
      </c>
      <c r="Q26">
        <f t="shared" si="5"/>
        <v>20</v>
      </c>
      <c r="R26">
        <f t="shared" si="6"/>
        <v>4299</v>
      </c>
      <c r="S26">
        <f>RANK(basicformulas[[#This Row],[Quantity Sold]],F:F)</f>
        <v>82</v>
      </c>
      <c r="T26">
        <f t="shared" si="7"/>
        <v>10</v>
      </c>
    </row>
    <row r="27" spans="1:28" x14ac:dyDescent="0.25">
      <c r="A27" s="2">
        <v>45679</v>
      </c>
      <c r="B27" t="s">
        <v>78</v>
      </c>
      <c r="C27" t="s">
        <v>84</v>
      </c>
      <c r="D27" t="s">
        <v>87</v>
      </c>
      <c r="E27">
        <v>4884</v>
      </c>
      <c r="F27">
        <v>6</v>
      </c>
      <c r="G27" t="s">
        <v>405</v>
      </c>
      <c r="H27" t="s">
        <v>408</v>
      </c>
      <c r="I27">
        <v>502</v>
      </c>
      <c r="J27">
        <f t="shared" si="0"/>
        <v>2.4494897427831779</v>
      </c>
      <c r="K27">
        <f t="shared" si="1"/>
        <v>2.4</v>
      </c>
      <c r="L27">
        <f>SUM(basicformulas[[#This Row],[sqrt]:[roung]])</f>
        <v>4.8494897427831773</v>
      </c>
      <c r="M27" t="str">
        <f t="shared" si="2"/>
        <v>B</v>
      </c>
      <c r="N27" t="str">
        <f>RIGHT(basicformulas[[#This Row],[Product]],5)</f>
        <v>ender</v>
      </c>
      <c r="O27">
        <f t="shared" si="3"/>
        <v>9.9700000000000006</v>
      </c>
      <c r="P27">
        <f t="shared" si="4"/>
        <v>1</v>
      </c>
      <c r="Q27">
        <f t="shared" si="5"/>
        <v>20</v>
      </c>
      <c r="R27">
        <f t="shared" si="6"/>
        <v>4299</v>
      </c>
      <c r="S27">
        <f>RANK(basicformulas[[#This Row],[Quantity Sold]],F:F)</f>
        <v>68</v>
      </c>
      <c r="T27">
        <f t="shared" si="7"/>
        <v>7</v>
      </c>
    </row>
    <row r="28" spans="1:28" x14ac:dyDescent="0.25">
      <c r="A28" s="2">
        <v>45693</v>
      </c>
      <c r="B28" t="s">
        <v>77</v>
      </c>
      <c r="C28" t="s">
        <v>83</v>
      </c>
      <c r="D28" t="s">
        <v>88</v>
      </c>
      <c r="E28">
        <v>1767</v>
      </c>
      <c r="F28">
        <v>3</v>
      </c>
      <c r="G28" t="s">
        <v>403</v>
      </c>
      <c r="H28" t="s">
        <v>406</v>
      </c>
      <c r="I28">
        <v>488</v>
      </c>
      <c r="J28">
        <f t="shared" si="0"/>
        <v>1.7320508075688772</v>
      </c>
      <c r="K28">
        <f t="shared" si="1"/>
        <v>1.7</v>
      </c>
      <c r="L28">
        <f>SUM(basicformulas[[#This Row],[sqrt]:[roung]])</f>
        <v>3.4320508075688769</v>
      </c>
      <c r="M28" t="str">
        <f t="shared" si="2"/>
        <v>T</v>
      </c>
      <c r="N28" t="str">
        <f>RIGHT(basicformulas[[#This Row],[Product]],5)</f>
        <v>users</v>
      </c>
      <c r="O28">
        <f t="shared" si="3"/>
        <v>9.9700000000000006</v>
      </c>
      <c r="P28">
        <f t="shared" si="4"/>
        <v>1</v>
      </c>
      <c r="Q28">
        <f t="shared" si="5"/>
        <v>20</v>
      </c>
      <c r="R28">
        <f t="shared" si="6"/>
        <v>4299</v>
      </c>
      <c r="S28">
        <f>RANK(basicformulas[[#This Row],[Quantity Sold]],F:F)</f>
        <v>88</v>
      </c>
      <c r="T28">
        <f t="shared" si="7"/>
        <v>8</v>
      </c>
    </row>
    <row r="29" spans="1:28" x14ac:dyDescent="0.25">
      <c r="A29" s="2">
        <v>45744</v>
      </c>
      <c r="B29" t="s">
        <v>78</v>
      </c>
      <c r="C29" t="s">
        <v>84</v>
      </c>
      <c r="D29" t="s">
        <v>85</v>
      </c>
      <c r="E29">
        <v>7840</v>
      </c>
      <c r="F29">
        <v>14</v>
      </c>
      <c r="G29" t="s">
        <v>404</v>
      </c>
      <c r="H29" t="s">
        <v>407</v>
      </c>
      <c r="I29">
        <v>437</v>
      </c>
      <c r="J29">
        <f t="shared" si="0"/>
        <v>3.7416573867739413</v>
      </c>
      <c r="K29">
        <f t="shared" si="1"/>
        <v>3.7</v>
      </c>
      <c r="L29">
        <f>SUM(basicformulas[[#This Row],[sqrt]:[roung]])</f>
        <v>7.441657386773942</v>
      </c>
      <c r="M29" t="str">
        <f t="shared" si="2"/>
        <v>B</v>
      </c>
      <c r="N29" t="str">
        <f>RIGHT(basicformulas[[#This Row],[Product]],5)</f>
        <v>ender</v>
      </c>
      <c r="O29">
        <f t="shared" si="3"/>
        <v>9.9700000000000006</v>
      </c>
      <c r="P29">
        <f t="shared" si="4"/>
        <v>1</v>
      </c>
      <c r="Q29">
        <f t="shared" si="5"/>
        <v>20</v>
      </c>
      <c r="R29">
        <f t="shared" si="6"/>
        <v>4299</v>
      </c>
      <c r="S29">
        <f>RANK(basicformulas[[#This Row],[Quantity Sold]],F:F)</f>
        <v>27</v>
      </c>
      <c r="T29">
        <f t="shared" si="7"/>
        <v>7</v>
      </c>
    </row>
    <row r="30" spans="1:28" x14ac:dyDescent="0.25">
      <c r="A30" s="2">
        <v>45670</v>
      </c>
      <c r="B30" t="s">
        <v>78</v>
      </c>
      <c r="C30" t="s">
        <v>84</v>
      </c>
      <c r="D30" t="s">
        <v>86</v>
      </c>
      <c r="E30">
        <v>4806</v>
      </c>
      <c r="F30">
        <v>6</v>
      </c>
      <c r="G30" t="s">
        <v>405</v>
      </c>
      <c r="H30" t="s">
        <v>408</v>
      </c>
      <c r="I30">
        <v>511</v>
      </c>
      <c r="J30">
        <f t="shared" si="0"/>
        <v>2.4494897427831779</v>
      </c>
      <c r="K30">
        <f t="shared" si="1"/>
        <v>2.4</v>
      </c>
      <c r="L30">
        <f>SUM(basicformulas[[#This Row],[sqrt]:[roung]])</f>
        <v>4.8494897427831773</v>
      </c>
      <c r="M30" t="str">
        <f t="shared" si="2"/>
        <v>B</v>
      </c>
      <c r="N30" t="str">
        <f>RIGHT(basicformulas[[#This Row],[Product]],5)</f>
        <v>ender</v>
      </c>
      <c r="O30">
        <f t="shared" si="3"/>
        <v>9.9700000000000006</v>
      </c>
      <c r="P30">
        <f t="shared" si="4"/>
        <v>1</v>
      </c>
      <c r="Q30">
        <f t="shared" si="5"/>
        <v>20</v>
      </c>
      <c r="R30">
        <f t="shared" si="6"/>
        <v>4299</v>
      </c>
      <c r="S30">
        <f>RANK(basicformulas[[#This Row],[Quantity Sold]],F:F)</f>
        <v>68</v>
      </c>
      <c r="T30">
        <f t="shared" si="7"/>
        <v>7</v>
      </c>
    </row>
    <row r="31" spans="1:28" x14ac:dyDescent="0.25">
      <c r="A31" s="2">
        <v>45716</v>
      </c>
      <c r="B31" t="s">
        <v>78</v>
      </c>
      <c r="C31" t="s">
        <v>84</v>
      </c>
      <c r="D31" t="s">
        <v>88</v>
      </c>
      <c r="E31">
        <v>2598</v>
      </c>
      <c r="F31">
        <v>3</v>
      </c>
      <c r="G31" t="s">
        <v>403</v>
      </c>
      <c r="H31" t="s">
        <v>406</v>
      </c>
      <c r="I31">
        <v>465</v>
      </c>
      <c r="J31">
        <f t="shared" si="0"/>
        <v>1.7320508075688772</v>
      </c>
      <c r="K31">
        <f t="shared" si="1"/>
        <v>1.7</v>
      </c>
      <c r="L31">
        <f>SUM(basicformulas[[#This Row],[sqrt]:[roung]])</f>
        <v>3.4320508075688769</v>
      </c>
      <c r="M31" t="str">
        <f t="shared" si="2"/>
        <v>B</v>
      </c>
      <c r="N31" t="str">
        <f>RIGHT(basicformulas[[#This Row],[Product]],5)</f>
        <v>ender</v>
      </c>
      <c r="O31">
        <f t="shared" si="3"/>
        <v>9.9700000000000006</v>
      </c>
      <c r="P31">
        <f t="shared" si="4"/>
        <v>1</v>
      </c>
      <c r="Q31">
        <f t="shared" si="5"/>
        <v>20</v>
      </c>
      <c r="R31">
        <f t="shared" si="6"/>
        <v>4299</v>
      </c>
      <c r="S31">
        <f>RANK(basicformulas[[#This Row],[Quantity Sold]],F:F)</f>
        <v>88</v>
      </c>
      <c r="T31">
        <f t="shared" si="7"/>
        <v>7</v>
      </c>
    </row>
    <row r="32" spans="1:28" x14ac:dyDescent="0.25">
      <c r="A32" s="2">
        <v>45762</v>
      </c>
      <c r="B32" t="s">
        <v>73</v>
      </c>
      <c r="C32" t="s">
        <v>81</v>
      </c>
      <c r="D32" t="s">
        <v>88</v>
      </c>
      <c r="E32">
        <v>12920</v>
      </c>
      <c r="F32">
        <v>17</v>
      </c>
      <c r="G32" t="s">
        <v>404</v>
      </c>
      <c r="H32" t="s">
        <v>409</v>
      </c>
      <c r="I32">
        <v>419</v>
      </c>
      <c r="J32">
        <f t="shared" si="0"/>
        <v>4.1231056256176606</v>
      </c>
      <c r="K32">
        <f t="shared" si="1"/>
        <v>4.0999999999999996</v>
      </c>
      <c r="L32">
        <f>SUM(basicformulas[[#This Row],[sqrt]:[roung]])</f>
        <v>8.2231056256176593</v>
      </c>
      <c r="M32" t="str">
        <f t="shared" si="2"/>
        <v>S</v>
      </c>
      <c r="N32" t="str">
        <f>RIGHT(basicformulas[[#This Row],[Product]],5)</f>
        <v>akers</v>
      </c>
      <c r="O32">
        <f t="shared" si="3"/>
        <v>9.9700000000000006</v>
      </c>
      <c r="P32">
        <f t="shared" si="4"/>
        <v>1</v>
      </c>
      <c r="Q32">
        <f t="shared" si="5"/>
        <v>20</v>
      </c>
      <c r="R32">
        <f t="shared" si="6"/>
        <v>4299</v>
      </c>
      <c r="S32">
        <f>RANK(basicformulas[[#This Row],[Quantity Sold]],F:F)</f>
        <v>16</v>
      </c>
      <c r="T32">
        <f t="shared" si="7"/>
        <v>8</v>
      </c>
    </row>
    <row r="33" spans="1:20" x14ac:dyDescent="0.25">
      <c r="A33" s="2">
        <v>45692</v>
      </c>
      <c r="B33" t="s">
        <v>77</v>
      </c>
      <c r="C33" t="s">
        <v>83</v>
      </c>
      <c r="D33" t="s">
        <v>85</v>
      </c>
      <c r="E33">
        <v>2134</v>
      </c>
      <c r="F33">
        <v>11</v>
      </c>
      <c r="G33" t="s">
        <v>403</v>
      </c>
      <c r="H33" t="s">
        <v>406</v>
      </c>
      <c r="I33">
        <v>489</v>
      </c>
      <c r="J33">
        <f t="shared" si="0"/>
        <v>3.3166247903553998</v>
      </c>
      <c r="K33">
        <f t="shared" si="1"/>
        <v>3.3</v>
      </c>
      <c r="L33">
        <f>SUM(basicformulas[[#This Row],[sqrt]:[roung]])</f>
        <v>6.6166247903553996</v>
      </c>
      <c r="M33" t="str">
        <f t="shared" si="2"/>
        <v>T</v>
      </c>
      <c r="N33" t="str">
        <f>RIGHT(basicformulas[[#This Row],[Product]],5)</f>
        <v>users</v>
      </c>
      <c r="O33">
        <f t="shared" si="3"/>
        <v>9.9700000000000006</v>
      </c>
      <c r="P33">
        <f t="shared" si="4"/>
        <v>1</v>
      </c>
      <c r="Q33">
        <f t="shared" si="5"/>
        <v>20</v>
      </c>
      <c r="R33">
        <f t="shared" si="6"/>
        <v>4299</v>
      </c>
      <c r="S33">
        <f>RANK(basicformulas[[#This Row],[Quantity Sold]],F:F)</f>
        <v>39</v>
      </c>
      <c r="T33">
        <f t="shared" si="7"/>
        <v>8</v>
      </c>
    </row>
    <row r="34" spans="1:20" x14ac:dyDescent="0.25">
      <c r="A34" s="2">
        <v>45747</v>
      </c>
      <c r="B34" t="s">
        <v>79</v>
      </c>
      <c r="C34" t="s">
        <v>81</v>
      </c>
      <c r="D34" t="s">
        <v>86</v>
      </c>
      <c r="E34">
        <v>311</v>
      </c>
      <c r="F34">
        <v>1</v>
      </c>
      <c r="G34" t="s">
        <v>404</v>
      </c>
      <c r="H34" t="s">
        <v>407</v>
      </c>
      <c r="I34">
        <v>434</v>
      </c>
      <c r="J34">
        <f t="shared" ref="J34:J65" si="12">SQRT(F:F)</f>
        <v>1</v>
      </c>
      <c r="K34">
        <f t="shared" ref="K34:K65" si="13">ROUND(J:J,1)</f>
        <v>1</v>
      </c>
      <c r="L34">
        <f>SUM(basicformulas[[#This Row],[sqrt]:[roung]])</f>
        <v>2</v>
      </c>
      <c r="M34" t="str">
        <f t="shared" ref="M34:M65" si="14">LEFT(B:B,1)</f>
        <v>B</v>
      </c>
      <c r="N34" t="str">
        <f>RIGHT(basicformulas[[#This Row],[Product]],5)</f>
        <v>Boots</v>
      </c>
      <c r="O34">
        <f t="shared" ref="O34:O65" si="15">AVERAGE(F:F)</f>
        <v>9.9700000000000006</v>
      </c>
      <c r="P34">
        <f t="shared" ref="P34:P65" si="16">MIN(F:F)</f>
        <v>1</v>
      </c>
      <c r="Q34">
        <f t="shared" ref="Q34:Q65" si="17">MAX(F:F)</f>
        <v>20</v>
      </c>
      <c r="R34">
        <f t="shared" ref="R34:R65" si="18">MEDIAN(E:E)</f>
        <v>4299</v>
      </c>
      <c r="S34">
        <f>RANK(basicformulas[[#This Row],[Quantity Sold]],F:F)</f>
        <v>97</v>
      </c>
      <c r="T34">
        <f t="shared" ref="T34:T65" si="19">LEN(B:B)</f>
        <v>5</v>
      </c>
    </row>
    <row r="35" spans="1:20" x14ac:dyDescent="0.25">
      <c r="A35" s="2">
        <v>45714</v>
      </c>
      <c r="B35" t="s">
        <v>73</v>
      </c>
      <c r="C35" t="s">
        <v>81</v>
      </c>
      <c r="D35" t="s">
        <v>85</v>
      </c>
      <c r="E35">
        <v>2388</v>
      </c>
      <c r="F35">
        <v>3</v>
      </c>
      <c r="G35" t="s">
        <v>403</v>
      </c>
      <c r="H35" t="s">
        <v>406</v>
      </c>
      <c r="I35">
        <v>467</v>
      </c>
      <c r="J35">
        <f t="shared" si="12"/>
        <v>1.7320508075688772</v>
      </c>
      <c r="K35">
        <f t="shared" si="13"/>
        <v>1.7</v>
      </c>
      <c r="L35">
        <f>SUM(basicformulas[[#This Row],[sqrt]:[roung]])</f>
        <v>3.4320508075688769</v>
      </c>
      <c r="M35" t="str">
        <f t="shared" si="14"/>
        <v>S</v>
      </c>
      <c r="N35" t="str">
        <f>RIGHT(basicformulas[[#This Row],[Product]],5)</f>
        <v>akers</v>
      </c>
      <c r="O35">
        <f t="shared" si="15"/>
        <v>9.9700000000000006</v>
      </c>
      <c r="P35">
        <f t="shared" si="16"/>
        <v>1</v>
      </c>
      <c r="Q35">
        <f t="shared" si="17"/>
        <v>20</v>
      </c>
      <c r="R35">
        <f t="shared" si="18"/>
        <v>4299</v>
      </c>
      <c r="S35">
        <f>RANK(basicformulas[[#This Row],[Quantity Sold]],F:F)</f>
        <v>88</v>
      </c>
      <c r="T35">
        <f t="shared" si="19"/>
        <v>8</v>
      </c>
    </row>
    <row r="36" spans="1:20" x14ac:dyDescent="0.25">
      <c r="A36" s="2">
        <v>45748</v>
      </c>
      <c r="B36" t="s">
        <v>76</v>
      </c>
      <c r="C36" t="s">
        <v>84</v>
      </c>
      <c r="D36" t="s">
        <v>85</v>
      </c>
      <c r="E36">
        <v>2853</v>
      </c>
      <c r="F36">
        <v>9</v>
      </c>
      <c r="G36" t="s">
        <v>404</v>
      </c>
      <c r="H36" t="s">
        <v>409</v>
      </c>
      <c r="I36">
        <v>433</v>
      </c>
      <c r="J36">
        <f t="shared" si="12"/>
        <v>3</v>
      </c>
      <c r="K36">
        <f t="shared" si="13"/>
        <v>3</v>
      </c>
      <c r="L36">
        <f>SUM(basicformulas[[#This Row],[sqrt]:[roung]])</f>
        <v>6</v>
      </c>
      <c r="M36" t="str">
        <f t="shared" si="14"/>
        <v>M</v>
      </c>
      <c r="N36" t="str">
        <f>RIGHT(basicformulas[[#This Row],[Product]],5)</f>
        <v>owave</v>
      </c>
      <c r="O36">
        <f t="shared" si="15"/>
        <v>9.9700000000000006</v>
      </c>
      <c r="P36">
        <f t="shared" si="16"/>
        <v>1</v>
      </c>
      <c r="Q36">
        <f t="shared" si="17"/>
        <v>20</v>
      </c>
      <c r="R36">
        <f t="shared" si="18"/>
        <v>4299</v>
      </c>
      <c r="S36">
        <f>RANK(basicformulas[[#This Row],[Quantity Sold]],F:F)</f>
        <v>49</v>
      </c>
      <c r="T36">
        <f t="shared" si="19"/>
        <v>9</v>
      </c>
    </row>
    <row r="37" spans="1:20" x14ac:dyDescent="0.25">
      <c r="A37" s="2">
        <v>45677</v>
      </c>
      <c r="B37" t="s">
        <v>80</v>
      </c>
      <c r="C37" t="s">
        <v>82</v>
      </c>
      <c r="D37" t="s">
        <v>88</v>
      </c>
      <c r="E37">
        <v>4382</v>
      </c>
      <c r="F37">
        <v>7</v>
      </c>
      <c r="G37" t="s">
        <v>405</v>
      </c>
      <c r="H37" t="s">
        <v>408</v>
      </c>
      <c r="I37">
        <v>504</v>
      </c>
      <c r="J37">
        <f t="shared" si="12"/>
        <v>2.6457513110645907</v>
      </c>
      <c r="K37">
        <f t="shared" si="13"/>
        <v>2.6</v>
      </c>
      <c r="L37">
        <f>SUM(basicformulas[[#This Row],[sqrt]:[roung]])</f>
        <v>5.2457513110645912</v>
      </c>
      <c r="M37" t="str">
        <f t="shared" si="14"/>
        <v>L</v>
      </c>
      <c r="N37" t="str">
        <f>RIGHT(basicformulas[[#This Row],[Product]],5)</f>
        <v>aptop</v>
      </c>
      <c r="O37">
        <f t="shared" si="15"/>
        <v>9.9700000000000006</v>
      </c>
      <c r="P37">
        <f t="shared" si="16"/>
        <v>1</v>
      </c>
      <c r="Q37">
        <f t="shared" si="17"/>
        <v>20</v>
      </c>
      <c r="R37">
        <f t="shared" si="18"/>
        <v>4299</v>
      </c>
      <c r="S37">
        <f>RANK(basicformulas[[#This Row],[Quantity Sold]],F:F)</f>
        <v>63</v>
      </c>
      <c r="T37">
        <f t="shared" si="19"/>
        <v>6</v>
      </c>
    </row>
    <row r="38" spans="1:20" x14ac:dyDescent="0.25">
      <c r="A38" s="2">
        <v>45749</v>
      </c>
      <c r="B38" t="s">
        <v>73</v>
      </c>
      <c r="C38" t="s">
        <v>81</v>
      </c>
      <c r="D38" t="s">
        <v>85</v>
      </c>
      <c r="E38">
        <v>2690</v>
      </c>
      <c r="F38">
        <v>5</v>
      </c>
      <c r="G38" t="s">
        <v>404</v>
      </c>
      <c r="H38" t="s">
        <v>409</v>
      </c>
      <c r="I38">
        <v>432</v>
      </c>
      <c r="J38">
        <f t="shared" si="12"/>
        <v>2.2360679774997898</v>
      </c>
      <c r="K38">
        <f t="shared" si="13"/>
        <v>2.2000000000000002</v>
      </c>
      <c r="L38">
        <f>SUM(basicformulas[[#This Row],[sqrt]:[roung]])</f>
        <v>4.43606797749979</v>
      </c>
      <c r="M38" t="str">
        <f t="shared" si="14"/>
        <v>S</v>
      </c>
      <c r="N38" t="str">
        <f>RIGHT(basicformulas[[#This Row],[Product]],5)</f>
        <v>akers</v>
      </c>
      <c r="O38">
        <f t="shared" si="15"/>
        <v>9.9700000000000006</v>
      </c>
      <c r="P38">
        <f t="shared" si="16"/>
        <v>1</v>
      </c>
      <c r="Q38">
        <f t="shared" si="17"/>
        <v>20</v>
      </c>
      <c r="R38">
        <f t="shared" si="18"/>
        <v>4299</v>
      </c>
      <c r="S38">
        <f>RANK(basicformulas[[#This Row],[Quantity Sold]],F:F)</f>
        <v>72</v>
      </c>
      <c r="T38">
        <f t="shared" si="19"/>
        <v>8</v>
      </c>
    </row>
    <row r="39" spans="1:20" x14ac:dyDescent="0.25">
      <c r="A39" s="2">
        <v>45697</v>
      </c>
      <c r="B39" t="s">
        <v>77</v>
      </c>
      <c r="C39" t="s">
        <v>83</v>
      </c>
      <c r="D39" t="s">
        <v>87</v>
      </c>
      <c r="E39">
        <v>399</v>
      </c>
      <c r="F39">
        <v>3</v>
      </c>
      <c r="G39" t="s">
        <v>403</v>
      </c>
      <c r="H39" t="s">
        <v>406</v>
      </c>
      <c r="I39">
        <v>484</v>
      </c>
      <c r="J39">
        <f t="shared" si="12"/>
        <v>1.7320508075688772</v>
      </c>
      <c r="K39">
        <f t="shared" si="13"/>
        <v>1.7</v>
      </c>
      <c r="L39">
        <f>SUM(basicformulas[[#This Row],[sqrt]:[roung]])</f>
        <v>3.4320508075688769</v>
      </c>
      <c r="M39" t="str">
        <f t="shared" si="14"/>
        <v>T</v>
      </c>
      <c r="N39" t="str">
        <f>RIGHT(basicformulas[[#This Row],[Product]],5)</f>
        <v>users</v>
      </c>
      <c r="O39">
        <f t="shared" si="15"/>
        <v>9.9700000000000006</v>
      </c>
      <c r="P39">
        <f t="shared" si="16"/>
        <v>1</v>
      </c>
      <c r="Q39">
        <f t="shared" si="17"/>
        <v>20</v>
      </c>
      <c r="R39">
        <f t="shared" si="18"/>
        <v>4299</v>
      </c>
      <c r="S39">
        <f>RANK(basicformulas[[#This Row],[Quantity Sold]],F:F)</f>
        <v>88</v>
      </c>
      <c r="T39">
        <f t="shared" si="19"/>
        <v>8</v>
      </c>
    </row>
    <row r="40" spans="1:20" x14ac:dyDescent="0.25">
      <c r="A40" s="2">
        <v>45670</v>
      </c>
      <c r="B40" t="s">
        <v>74</v>
      </c>
      <c r="C40" t="s">
        <v>82</v>
      </c>
      <c r="D40" t="s">
        <v>85</v>
      </c>
      <c r="E40">
        <v>4459</v>
      </c>
      <c r="F40">
        <v>7</v>
      </c>
      <c r="G40" t="s">
        <v>405</v>
      </c>
      <c r="H40" t="s">
        <v>408</v>
      </c>
      <c r="I40">
        <v>511</v>
      </c>
      <c r="J40">
        <f t="shared" si="12"/>
        <v>2.6457513110645907</v>
      </c>
      <c r="K40">
        <f t="shared" si="13"/>
        <v>2.6</v>
      </c>
      <c r="L40">
        <f>SUM(basicformulas[[#This Row],[sqrt]:[roung]])</f>
        <v>5.2457513110645912</v>
      </c>
      <c r="M40" t="str">
        <f t="shared" si="14"/>
        <v>S</v>
      </c>
      <c r="N40" t="str">
        <f>RIGHT(basicformulas[[#This Row],[Product]],5)</f>
        <v>phone</v>
      </c>
      <c r="O40">
        <f t="shared" si="15"/>
        <v>9.9700000000000006</v>
      </c>
      <c r="P40">
        <f t="shared" si="16"/>
        <v>1</v>
      </c>
      <c r="Q40">
        <f t="shared" si="17"/>
        <v>20</v>
      </c>
      <c r="R40">
        <f t="shared" si="18"/>
        <v>4299</v>
      </c>
      <c r="S40">
        <f>RANK(basicformulas[[#This Row],[Quantity Sold]],F:F)</f>
        <v>63</v>
      </c>
      <c r="T40">
        <f t="shared" si="19"/>
        <v>10</v>
      </c>
    </row>
    <row r="41" spans="1:20" x14ac:dyDescent="0.25">
      <c r="A41" s="2">
        <v>45704</v>
      </c>
      <c r="B41" t="s">
        <v>74</v>
      </c>
      <c r="C41" t="s">
        <v>82</v>
      </c>
      <c r="D41" t="s">
        <v>85</v>
      </c>
      <c r="E41">
        <v>2274</v>
      </c>
      <c r="F41">
        <v>3</v>
      </c>
      <c r="G41" t="s">
        <v>403</v>
      </c>
      <c r="H41" t="s">
        <v>406</v>
      </c>
      <c r="I41">
        <v>477</v>
      </c>
      <c r="J41">
        <f t="shared" si="12"/>
        <v>1.7320508075688772</v>
      </c>
      <c r="K41">
        <f t="shared" si="13"/>
        <v>1.7</v>
      </c>
      <c r="L41">
        <f>SUM(basicformulas[[#This Row],[sqrt]:[roung]])</f>
        <v>3.4320508075688769</v>
      </c>
      <c r="M41" t="str">
        <f t="shared" si="14"/>
        <v>S</v>
      </c>
      <c r="N41" t="str">
        <f>RIGHT(basicformulas[[#This Row],[Product]],5)</f>
        <v>phone</v>
      </c>
      <c r="O41">
        <f t="shared" si="15"/>
        <v>9.9700000000000006</v>
      </c>
      <c r="P41">
        <f t="shared" si="16"/>
        <v>1</v>
      </c>
      <c r="Q41">
        <f t="shared" si="17"/>
        <v>20</v>
      </c>
      <c r="R41">
        <f t="shared" si="18"/>
        <v>4299</v>
      </c>
      <c r="S41">
        <f>RANK(basicformulas[[#This Row],[Quantity Sold]],F:F)</f>
        <v>88</v>
      </c>
      <c r="T41">
        <f t="shared" si="19"/>
        <v>10</v>
      </c>
    </row>
    <row r="42" spans="1:20" x14ac:dyDescent="0.25">
      <c r="A42" s="2">
        <v>45725</v>
      </c>
      <c r="B42" t="s">
        <v>77</v>
      </c>
      <c r="C42" t="s">
        <v>83</v>
      </c>
      <c r="D42" t="s">
        <v>87</v>
      </c>
      <c r="E42">
        <v>11552</v>
      </c>
      <c r="F42">
        <v>19</v>
      </c>
      <c r="G42" t="s">
        <v>403</v>
      </c>
      <c r="H42" t="s">
        <v>407</v>
      </c>
      <c r="I42">
        <v>456</v>
      </c>
      <c r="J42">
        <f t="shared" si="12"/>
        <v>4.358898943540674</v>
      </c>
      <c r="K42">
        <f t="shared" si="13"/>
        <v>4.4000000000000004</v>
      </c>
      <c r="L42">
        <f>SUM(basicformulas[[#This Row],[sqrt]:[roung]])</f>
        <v>8.7588989435406752</v>
      </c>
      <c r="M42" t="str">
        <f t="shared" si="14"/>
        <v>T</v>
      </c>
      <c r="N42" t="str">
        <f>RIGHT(basicformulas[[#This Row],[Product]],5)</f>
        <v>users</v>
      </c>
      <c r="O42">
        <f t="shared" si="15"/>
        <v>9.9700000000000006</v>
      </c>
      <c r="P42">
        <f t="shared" si="16"/>
        <v>1</v>
      </c>
      <c r="Q42">
        <f t="shared" si="17"/>
        <v>20</v>
      </c>
      <c r="R42">
        <f t="shared" si="18"/>
        <v>4299</v>
      </c>
      <c r="S42">
        <f>RANK(basicformulas[[#This Row],[Quantity Sold]],F:F)</f>
        <v>5</v>
      </c>
      <c r="T42">
        <f t="shared" si="19"/>
        <v>8</v>
      </c>
    </row>
    <row r="43" spans="1:20" x14ac:dyDescent="0.25">
      <c r="A43" s="2">
        <v>45749</v>
      </c>
      <c r="B43" t="s">
        <v>73</v>
      </c>
      <c r="C43" t="s">
        <v>81</v>
      </c>
      <c r="D43" t="s">
        <v>87</v>
      </c>
      <c r="E43">
        <v>4540</v>
      </c>
      <c r="F43">
        <v>5</v>
      </c>
      <c r="G43" t="s">
        <v>404</v>
      </c>
      <c r="H43" t="s">
        <v>409</v>
      </c>
      <c r="I43">
        <v>432</v>
      </c>
      <c r="J43">
        <f t="shared" si="12"/>
        <v>2.2360679774997898</v>
      </c>
      <c r="K43">
        <f t="shared" si="13"/>
        <v>2.2000000000000002</v>
      </c>
      <c r="L43">
        <f>SUM(basicformulas[[#This Row],[sqrt]:[roung]])</f>
        <v>4.43606797749979</v>
      </c>
      <c r="M43" t="str">
        <f t="shared" si="14"/>
        <v>S</v>
      </c>
      <c r="N43" t="str">
        <f>RIGHT(basicformulas[[#This Row],[Product]],5)</f>
        <v>akers</v>
      </c>
      <c r="O43">
        <f t="shared" si="15"/>
        <v>9.9700000000000006</v>
      </c>
      <c r="P43">
        <f t="shared" si="16"/>
        <v>1</v>
      </c>
      <c r="Q43">
        <f t="shared" si="17"/>
        <v>20</v>
      </c>
      <c r="R43">
        <f t="shared" si="18"/>
        <v>4299</v>
      </c>
      <c r="S43">
        <f>RANK(basicformulas[[#This Row],[Quantity Sold]],F:F)</f>
        <v>72</v>
      </c>
      <c r="T43">
        <f t="shared" si="19"/>
        <v>8</v>
      </c>
    </row>
    <row r="44" spans="1:20" x14ac:dyDescent="0.25">
      <c r="A44" s="2">
        <v>45695</v>
      </c>
      <c r="B44" t="s">
        <v>77</v>
      </c>
      <c r="C44" t="s">
        <v>83</v>
      </c>
      <c r="D44" t="s">
        <v>85</v>
      </c>
      <c r="E44">
        <v>4216</v>
      </c>
      <c r="F44">
        <v>8</v>
      </c>
      <c r="G44" t="s">
        <v>403</v>
      </c>
      <c r="H44" t="s">
        <v>406</v>
      </c>
      <c r="I44">
        <v>486</v>
      </c>
      <c r="J44">
        <f t="shared" si="12"/>
        <v>2.8284271247461903</v>
      </c>
      <c r="K44">
        <f t="shared" si="13"/>
        <v>2.8</v>
      </c>
      <c r="L44">
        <f>SUM(basicformulas[[#This Row],[sqrt]:[roung]])</f>
        <v>5.6284271247461906</v>
      </c>
      <c r="M44" t="str">
        <f t="shared" si="14"/>
        <v>T</v>
      </c>
      <c r="N44" t="str">
        <f>RIGHT(basicformulas[[#This Row],[Product]],5)</f>
        <v>users</v>
      </c>
      <c r="O44">
        <f t="shared" si="15"/>
        <v>9.9700000000000006</v>
      </c>
      <c r="P44">
        <f t="shared" si="16"/>
        <v>1</v>
      </c>
      <c r="Q44">
        <f t="shared" si="17"/>
        <v>20</v>
      </c>
      <c r="R44">
        <f t="shared" si="18"/>
        <v>4299</v>
      </c>
      <c r="S44">
        <f>RANK(basicformulas[[#This Row],[Quantity Sold]],F:F)</f>
        <v>56</v>
      </c>
      <c r="T44">
        <f t="shared" si="19"/>
        <v>8</v>
      </c>
    </row>
    <row r="45" spans="1:20" x14ac:dyDescent="0.25">
      <c r="A45" s="2">
        <v>45705</v>
      </c>
      <c r="B45" t="s">
        <v>75</v>
      </c>
      <c r="C45" t="s">
        <v>83</v>
      </c>
      <c r="D45" t="s">
        <v>85</v>
      </c>
      <c r="E45">
        <v>4140</v>
      </c>
      <c r="F45">
        <v>18</v>
      </c>
      <c r="G45" t="s">
        <v>403</v>
      </c>
      <c r="H45" t="s">
        <v>406</v>
      </c>
      <c r="I45">
        <v>476</v>
      </c>
      <c r="J45">
        <f t="shared" si="12"/>
        <v>4.2426406871192848</v>
      </c>
      <c r="K45">
        <f t="shared" si="13"/>
        <v>4.2</v>
      </c>
      <c r="L45">
        <f>SUM(basicformulas[[#This Row],[sqrt]:[roung]])</f>
        <v>8.4426406871192849</v>
      </c>
      <c r="M45" t="str">
        <f t="shared" si="14"/>
        <v>S</v>
      </c>
      <c r="N45" t="str">
        <f>RIGHT(basicformulas[[#This Row],[Product]],5)</f>
        <v>Shirt</v>
      </c>
      <c r="O45">
        <f t="shared" si="15"/>
        <v>9.9700000000000006</v>
      </c>
      <c r="P45">
        <f t="shared" si="16"/>
        <v>1</v>
      </c>
      <c r="Q45">
        <f t="shared" si="17"/>
        <v>20</v>
      </c>
      <c r="R45">
        <f t="shared" si="18"/>
        <v>4299</v>
      </c>
      <c r="S45">
        <f>RANK(basicformulas[[#This Row],[Quantity Sold]],F:F)</f>
        <v>10</v>
      </c>
      <c r="T45">
        <f t="shared" si="19"/>
        <v>5</v>
      </c>
    </row>
    <row r="46" spans="1:20" x14ac:dyDescent="0.25">
      <c r="A46" s="2">
        <v>45728</v>
      </c>
      <c r="B46" t="s">
        <v>74</v>
      </c>
      <c r="C46" t="s">
        <v>82</v>
      </c>
      <c r="D46" t="s">
        <v>88</v>
      </c>
      <c r="E46">
        <v>8610</v>
      </c>
      <c r="F46">
        <v>10</v>
      </c>
      <c r="G46" t="s">
        <v>403</v>
      </c>
      <c r="H46" t="s">
        <v>407</v>
      </c>
      <c r="I46">
        <v>453</v>
      </c>
      <c r="J46">
        <f t="shared" si="12"/>
        <v>3.1622776601683795</v>
      </c>
      <c r="K46">
        <f t="shared" si="13"/>
        <v>3.2</v>
      </c>
      <c r="L46">
        <f>SUM(basicformulas[[#This Row],[sqrt]:[roung]])</f>
        <v>6.3622776601683793</v>
      </c>
      <c r="M46" t="str">
        <f t="shared" si="14"/>
        <v>S</v>
      </c>
      <c r="N46" t="str">
        <f>RIGHT(basicformulas[[#This Row],[Product]],5)</f>
        <v>phone</v>
      </c>
      <c r="O46">
        <f t="shared" si="15"/>
        <v>9.9700000000000006</v>
      </c>
      <c r="P46">
        <f t="shared" si="16"/>
        <v>1</v>
      </c>
      <c r="Q46">
        <f t="shared" si="17"/>
        <v>20</v>
      </c>
      <c r="R46">
        <f t="shared" si="18"/>
        <v>4299</v>
      </c>
      <c r="S46">
        <f>RANK(basicformulas[[#This Row],[Quantity Sold]],F:F)</f>
        <v>43</v>
      </c>
      <c r="T46">
        <f t="shared" si="19"/>
        <v>10</v>
      </c>
    </row>
    <row r="47" spans="1:20" x14ac:dyDescent="0.25">
      <c r="A47" s="2">
        <v>45719</v>
      </c>
      <c r="B47" t="s">
        <v>74</v>
      </c>
      <c r="C47" t="s">
        <v>82</v>
      </c>
      <c r="D47" t="s">
        <v>88</v>
      </c>
      <c r="E47">
        <v>7200</v>
      </c>
      <c r="F47">
        <v>8</v>
      </c>
      <c r="G47" t="s">
        <v>403</v>
      </c>
      <c r="H47" t="s">
        <v>407</v>
      </c>
      <c r="I47">
        <v>462</v>
      </c>
      <c r="J47">
        <f t="shared" si="12"/>
        <v>2.8284271247461903</v>
      </c>
      <c r="K47">
        <f t="shared" si="13"/>
        <v>2.8</v>
      </c>
      <c r="L47">
        <f>SUM(basicformulas[[#This Row],[sqrt]:[roung]])</f>
        <v>5.6284271247461906</v>
      </c>
      <c r="M47" t="str">
        <f t="shared" si="14"/>
        <v>S</v>
      </c>
      <c r="N47" t="str">
        <f>RIGHT(basicformulas[[#This Row],[Product]],5)</f>
        <v>phone</v>
      </c>
      <c r="O47">
        <f t="shared" si="15"/>
        <v>9.9700000000000006</v>
      </c>
      <c r="P47">
        <f t="shared" si="16"/>
        <v>1</v>
      </c>
      <c r="Q47">
        <f t="shared" si="17"/>
        <v>20</v>
      </c>
      <c r="R47">
        <f t="shared" si="18"/>
        <v>4299</v>
      </c>
      <c r="S47">
        <f>RANK(basicformulas[[#This Row],[Quantity Sold]],F:F)</f>
        <v>56</v>
      </c>
      <c r="T47">
        <f t="shared" si="19"/>
        <v>10</v>
      </c>
    </row>
    <row r="48" spans="1:20" x14ac:dyDescent="0.25">
      <c r="A48" s="2">
        <v>45746</v>
      </c>
      <c r="B48" t="s">
        <v>79</v>
      </c>
      <c r="C48" t="s">
        <v>81</v>
      </c>
      <c r="D48" t="s">
        <v>85</v>
      </c>
      <c r="E48">
        <v>10849</v>
      </c>
      <c r="F48">
        <v>19</v>
      </c>
      <c r="G48" t="s">
        <v>404</v>
      </c>
      <c r="H48" t="s">
        <v>407</v>
      </c>
      <c r="I48">
        <v>435</v>
      </c>
      <c r="J48">
        <f t="shared" si="12"/>
        <v>4.358898943540674</v>
      </c>
      <c r="K48">
        <f t="shared" si="13"/>
        <v>4.4000000000000004</v>
      </c>
      <c r="L48">
        <f>SUM(basicformulas[[#This Row],[sqrt]:[roung]])</f>
        <v>8.7588989435406752</v>
      </c>
      <c r="M48" t="str">
        <f t="shared" si="14"/>
        <v>B</v>
      </c>
      <c r="N48" t="str">
        <f>RIGHT(basicformulas[[#This Row],[Product]],5)</f>
        <v>Boots</v>
      </c>
      <c r="O48">
        <f t="shared" si="15"/>
        <v>9.9700000000000006</v>
      </c>
      <c r="P48">
        <f t="shared" si="16"/>
        <v>1</v>
      </c>
      <c r="Q48">
        <f t="shared" si="17"/>
        <v>20</v>
      </c>
      <c r="R48">
        <f t="shared" si="18"/>
        <v>4299</v>
      </c>
      <c r="S48">
        <f>RANK(basicformulas[[#This Row],[Quantity Sold]],F:F)</f>
        <v>5</v>
      </c>
      <c r="T48">
        <f t="shared" si="19"/>
        <v>5</v>
      </c>
    </row>
    <row r="49" spans="1:20" x14ac:dyDescent="0.25">
      <c r="A49" s="2">
        <v>45660</v>
      </c>
      <c r="B49" t="s">
        <v>78</v>
      </c>
      <c r="C49" t="s">
        <v>84</v>
      </c>
      <c r="D49" t="s">
        <v>85</v>
      </c>
      <c r="E49">
        <v>14256</v>
      </c>
      <c r="F49">
        <v>16</v>
      </c>
      <c r="G49" t="s">
        <v>405</v>
      </c>
      <c r="H49" t="s">
        <v>408</v>
      </c>
      <c r="I49">
        <v>521</v>
      </c>
      <c r="J49">
        <f t="shared" si="12"/>
        <v>4</v>
      </c>
      <c r="K49">
        <f t="shared" si="13"/>
        <v>4</v>
      </c>
      <c r="L49">
        <f>SUM(basicformulas[[#This Row],[sqrt]:[roung]])</f>
        <v>8</v>
      </c>
      <c r="M49" t="str">
        <f t="shared" si="14"/>
        <v>B</v>
      </c>
      <c r="N49" t="str">
        <f>RIGHT(basicformulas[[#This Row],[Product]],5)</f>
        <v>ender</v>
      </c>
      <c r="O49">
        <f t="shared" si="15"/>
        <v>9.9700000000000006</v>
      </c>
      <c r="P49">
        <f t="shared" si="16"/>
        <v>1</v>
      </c>
      <c r="Q49">
        <f t="shared" si="17"/>
        <v>20</v>
      </c>
      <c r="R49">
        <f t="shared" si="18"/>
        <v>4299</v>
      </c>
      <c r="S49">
        <f>RANK(basicformulas[[#This Row],[Quantity Sold]],F:F)</f>
        <v>20</v>
      </c>
      <c r="T49">
        <f t="shared" si="19"/>
        <v>7</v>
      </c>
    </row>
    <row r="50" spans="1:20" x14ac:dyDescent="0.25">
      <c r="A50" s="2">
        <v>45701</v>
      </c>
      <c r="B50" t="s">
        <v>74</v>
      </c>
      <c r="C50" t="s">
        <v>82</v>
      </c>
      <c r="D50" t="s">
        <v>88</v>
      </c>
      <c r="E50">
        <v>1464</v>
      </c>
      <c r="F50">
        <v>2</v>
      </c>
      <c r="G50" t="s">
        <v>403</v>
      </c>
      <c r="H50" t="s">
        <v>406</v>
      </c>
      <c r="I50">
        <v>480</v>
      </c>
      <c r="J50">
        <f t="shared" si="12"/>
        <v>1.4142135623730951</v>
      </c>
      <c r="K50">
        <f t="shared" si="13"/>
        <v>1.4</v>
      </c>
      <c r="L50">
        <f>SUM(basicformulas[[#This Row],[sqrt]:[roung]])</f>
        <v>2.8142135623730953</v>
      </c>
      <c r="M50" t="str">
        <f t="shared" si="14"/>
        <v>S</v>
      </c>
      <c r="N50" t="str">
        <f>RIGHT(basicformulas[[#This Row],[Product]],5)</f>
        <v>phone</v>
      </c>
      <c r="O50">
        <f t="shared" si="15"/>
        <v>9.9700000000000006</v>
      </c>
      <c r="P50">
        <f t="shared" si="16"/>
        <v>1</v>
      </c>
      <c r="Q50">
        <f t="shared" si="17"/>
        <v>20</v>
      </c>
      <c r="R50">
        <f t="shared" si="18"/>
        <v>4299</v>
      </c>
      <c r="S50">
        <f>RANK(basicformulas[[#This Row],[Quantity Sold]],F:F)</f>
        <v>94</v>
      </c>
      <c r="T50">
        <f t="shared" si="19"/>
        <v>10</v>
      </c>
    </row>
    <row r="51" spans="1:20" x14ac:dyDescent="0.25">
      <c r="A51" s="2">
        <v>45732</v>
      </c>
      <c r="B51" t="s">
        <v>78</v>
      </c>
      <c r="C51" t="s">
        <v>84</v>
      </c>
      <c r="D51" t="s">
        <v>88</v>
      </c>
      <c r="E51">
        <v>9622</v>
      </c>
      <c r="F51">
        <v>17</v>
      </c>
      <c r="G51" t="s">
        <v>404</v>
      </c>
      <c r="H51" t="s">
        <v>407</v>
      </c>
      <c r="I51">
        <v>449</v>
      </c>
      <c r="J51">
        <f t="shared" si="12"/>
        <v>4.1231056256176606</v>
      </c>
      <c r="K51">
        <f t="shared" si="13"/>
        <v>4.0999999999999996</v>
      </c>
      <c r="L51">
        <f>SUM(basicformulas[[#This Row],[sqrt]:[roung]])</f>
        <v>8.2231056256176593</v>
      </c>
      <c r="M51" t="str">
        <f t="shared" si="14"/>
        <v>B</v>
      </c>
      <c r="N51" t="str">
        <f>RIGHT(basicformulas[[#This Row],[Product]],5)</f>
        <v>ender</v>
      </c>
      <c r="O51">
        <f t="shared" si="15"/>
        <v>9.9700000000000006</v>
      </c>
      <c r="P51">
        <f t="shared" si="16"/>
        <v>1</v>
      </c>
      <c r="Q51">
        <f t="shared" si="17"/>
        <v>20</v>
      </c>
      <c r="R51">
        <f t="shared" si="18"/>
        <v>4299</v>
      </c>
      <c r="S51">
        <f>RANK(basicformulas[[#This Row],[Quantity Sold]],F:F)</f>
        <v>16</v>
      </c>
      <c r="T51">
        <f t="shared" si="19"/>
        <v>7</v>
      </c>
    </row>
    <row r="52" spans="1:20" x14ac:dyDescent="0.25">
      <c r="A52" s="2">
        <v>45707</v>
      </c>
      <c r="B52" t="s">
        <v>75</v>
      </c>
      <c r="C52" t="s">
        <v>83</v>
      </c>
      <c r="D52" t="s">
        <v>87</v>
      </c>
      <c r="E52">
        <v>13420</v>
      </c>
      <c r="F52">
        <v>20</v>
      </c>
      <c r="G52" t="s">
        <v>403</v>
      </c>
      <c r="H52" t="s">
        <v>406</v>
      </c>
      <c r="I52">
        <v>474</v>
      </c>
      <c r="J52">
        <f t="shared" si="12"/>
        <v>4.4721359549995796</v>
      </c>
      <c r="K52">
        <f t="shared" si="13"/>
        <v>4.5</v>
      </c>
      <c r="L52">
        <f>SUM(basicformulas[[#This Row],[sqrt]:[roung]])</f>
        <v>8.9721359549995796</v>
      </c>
      <c r="M52" t="str">
        <f t="shared" si="14"/>
        <v>S</v>
      </c>
      <c r="N52" t="str">
        <f>RIGHT(basicformulas[[#This Row],[Product]],5)</f>
        <v>Shirt</v>
      </c>
      <c r="O52">
        <f t="shared" si="15"/>
        <v>9.9700000000000006</v>
      </c>
      <c r="P52">
        <f t="shared" si="16"/>
        <v>1</v>
      </c>
      <c r="Q52">
        <f t="shared" si="17"/>
        <v>20</v>
      </c>
      <c r="R52">
        <f t="shared" si="18"/>
        <v>4299</v>
      </c>
      <c r="S52">
        <f>RANK(basicformulas[[#This Row],[Quantity Sold]],F:F)</f>
        <v>1</v>
      </c>
      <c r="T52">
        <f t="shared" si="19"/>
        <v>5</v>
      </c>
    </row>
    <row r="53" spans="1:20" x14ac:dyDescent="0.25">
      <c r="A53" s="2">
        <v>45705</v>
      </c>
      <c r="B53" t="s">
        <v>75</v>
      </c>
      <c r="C53" t="s">
        <v>83</v>
      </c>
      <c r="D53" t="s">
        <v>87</v>
      </c>
      <c r="E53">
        <v>3004</v>
      </c>
      <c r="F53">
        <v>4</v>
      </c>
      <c r="G53" t="s">
        <v>403</v>
      </c>
      <c r="H53" t="s">
        <v>406</v>
      </c>
      <c r="I53">
        <v>476</v>
      </c>
      <c r="J53">
        <f t="shared" si="12"/>
        <v>2</v>
      </c>
      <c r="K53">
        <f t="shared" si="13"/>
        <v>2</v>
      </c>
      <c r="L53">
        <f>SUM(basicformulas[[#This Row],[sqrt]:[roung]])</f>
        <v>4</v>
      </c>
      <c r="M53" t="str">
        <f t="shared" si="14"/>
        <v>S</v>
      </c>
      <c r="N53" t="str">
        <f>RIGHT(basicformulas[[#This Row],[Product]],5)</f>
        <v>Shirt</v>
      </c>
      <c r="O53">
        <f t="shared" si="15"/>
        <v>9.9700000000000006</v>
      </c>
      <c r="P53">
        <f t="shared" si="16"/>
        <v>1</v>
      </c>
      <c r="Q53">
        <f t="shared" si="17"/>
        <v>20</v>
      </c>
      <c r="R53">
        <f t="shared" si="18"/>
        <v>4299</v>
      </c>
      <c r="S53">
        <f>RANK(basicformulas[[#This Row],[Quantity Sold]],F:F)</f>
        <v>82</v>
      </c>
      <c r="T53">
        <f t="shared" si="19"/>
        <v>5</v>
      </c>
    </row>
    <row r="54" spans="1:20" x14ac:dyDescent="0.25">
      <c r="A54" s="2">
        <v>45754</v>
      </c>
      <c r="B54" t="s">
        <v>76</v>
      </c>
      <c r="C54" t="s">
        <v>84</v>
      </c>
      <c r="D54" t="s">
        <v>88</v>
      </c>
      <c r="E54">
        <v>11865</v>
      </c>
      <c r="F54">
        <v>15</v>
      </c>
      <c r="G54" t="s">
        <v>404</v>
      </c>
      <c r="H54" t="s">
        <v>409</v>
      </c>
      <c r="I54">
        <v>427</v>
      </c>
      <c r="J54">
        <f t="shared" si="12"/>
        <v>3.872983346207417</v>
      </c>
      <c r="K54">
        <f t="shared" si="13"/>
        <v>3.9</v>
      </c>
      <c r="L54">
        <f>SUM(basicformulas[[#This Row],[sqrt]:[roung]])</f>
        <v>7.7729833462074165</v>
      </c>
      <c r="M54" t="str">
        <f t="shared" si="14"/>
        <v>M</v>
      </c>
      <c r="N54" t="str">
        <f>RIGHT(basicformulas[[#This Row],[Product]],5)</f>
        <v>owave</v>
      </c>
      <c r="O54">
        <f t="shared" si="15"/>
        <v>9.9700000000000006</v>
      </c>
      <c r="P54">
        <f t="shared" si="16"/>
        <v>1</v>
      </c>
      <c r="Q54">
        <f t="shared" si="17"/>
        <v>20</v>
      </c>
      <c r="R54">
        <f t="shared" si="18"/>
        <v>4299</v>
      </c>
      <c r="S54">
        <f>RANK(basicformulas[[#This Row],[Quantity Sold]],F:F)</f>
        <v>21</v>
      </c>
      <c r="T54">
        <f t="shared" si="19"/>
        <v>9</v>
      </c>
    </row>
    <row r="55" spans="1:20" x14ac:dyDescent="0.25">
      <c r="A55" s="2">
        <v>45719</v>
      </c>
      <c r="B55" t="s">
        <v>80</v>
      </c>
      <c r="C55" t="s">
        <v>82</v>
      </c>
      <c r="D55" t="s">
        <v>87</v>
      </c>
      <c r="E55">
        <v>7395</v>
      </c>
      <c r="F55">
        <v>17</v>
      </c>
      <c r="G55" t="s">
        <v>403</v>
      </c>
      <c r="H55" t="s">
        <v>407</v>
      </c>
      <c r="I55">
        <v>462</v>
      </c>
      <c r="J55">
        <f t="shared" si="12"/>
        <v>4.1231056256176606</v>
      </c>
      <c r="K55">
        <f t="shared" si="13"/>
        <v>4.0999999999999996</v>
      </c>
      <c r="L55">
        <f>SUM(basicformulas[[#This Row],[sqrt]:[roung]])</f>
        <v>8.2231056256176593</v>
      </c>
      <c r="M55" t="str">
        <f t="shared" si="14"/>
        <v>L</v>
      </c>
      <c r="N55" t="str">
        <f>RIGHT(basicformulas[[#This Row],[Product]],5)</f>
        <v>aptop</v>
      </c>
      <c r="O55">
        <f t="shared" si="15"/>
        <v>9.9700000000000006</v>
      </c>
      <c r="P55">
        <f t="shared" si="16"/>
        <v>1</v>
      </c>
      <c r="Q55">
        <f t="shared" si="17"/>
        <v>20</v>
      </c>
      <c r="R55">
        <f t="shared" si="18"/>
        <v>4299</v>
      </c>
      <c r="S55">
        <f>RANK(basicformulas[[#This Row],[Quantity Sold]],F:F)</f>
        <v>16</v>
      </c>
      <c r="T55">
        <f t="shared" si="19"/>
        <v>6</v>
      </c>
    </row>
    <row r="56" spans="1:20" x14ac:dyDescent="0.25">
      <c r="A56" s="2">
        <v>45704</v>
      </c>
      <c r="B56" t="s">
        <v>73</v>
      </c>
      <c r="C56" t="s">
        <v>81</v>
      </c>
      <c r="D56" t="s">
        <v>85</v>
      </c>
      <c r="E56">
        <v>12701</v>
      </c>
      <c r="F56">
        <v>13</v>
      </c>
      <c r="G56" t="s">
        <v>403</v>
      </c>
      <c r="H56" t="s">
        <v>406</v>
      </c>
      <c r="I56">
        <v>477</v>
      </c>
      <c r="J56">
        <f t="shared" si="12"/>
        <v>3.6055512754639891</v>
      </c>
      <c r="K56">
        <f t="shared" si="13"/>
        <v>3.6</v>
      </c>
      <c r="L56">
        <f>SUM(basicformulas[[#This Row],[sqrt]:[roung]])</f>
        <v>7.2055512754639892</v>
      </c>
      <c r="M56" t="str">
        <f t="shared" si="14"/>
        <v>S</v>
      </c>
      <c r="N56" t="str">
        <f>RIGHT(basicformulas[[#This Row],[Product]],5)</f>
        <v>akers</v>
      </c>
      <c r="O56">
        <f t="shared" si="15"/>
        <v>9.9700000000000006</v>
      </c>
      <c r="P56">
        <f t="shared" si="16"/>
        <v>1</v>
      </c>
      <c r="Q56">
        <f t="shared" si="17"/>
        <v>20</v>
      </c>
      <c r="R56">
        <f t="shared" si="18"/>
        <v>4299</v>
      </c>
      <c r="S56">
        <f>RANK(basicformulas[[#This Row],[Quantity Sold]],F:F)</f>
        <v>29</v>
      </c>
      <c r="T56">
        <f t="shared" si="19"/>
        <v>8</v>
      </c>
    </row>
    <row r="57" spans="1:20" x14ac:dyDescent="0.25">
      <c r="A57" s="2">
        <v>45766</v>
      </c>
      <c r="B57" t="s">
        <v>75</v>
      </c>
      <c r="C57" t="s">
        <v>83</v>
      </c>
      <c r="D57" t="s">
        <v>85</v>
      </c>
      <c r="E57">
        <v>8697</v>
      </c>
      <c r="F57">
        <v>13</v>
      </c>
      <c r="G57" t="s">
        <v>404</v>
      </c>
      <c r="H57" t="s">
        <v>409</v>
      </c>
      <c r="I57">
        <v>415</v>
      </c>
      <c r="J57">
        <f t="shared" si="12"/>
        <v>3.6055512754639891</v>
      </c>
      <c r="K57">
        <f t="shared" si="13"/>
        <v>3.6</v>
      </c>
      <c r="L57">
        <f>SUM(basicformulas[[#This Row],[sqrt]:[roung]])</f>
        <v>7.2055512754639892</v>
      </c>
      <c r="M57" t="str">
        <f t="shared" si="14"/>
        <v>S</v>
      </c>
      <c r="N57" t="str">
        <f>RIGHT(basicformulas[[#This Row],[Product]],5)</f>
        <v>Shirt</v>
      </c>
      <c r="O57">
        <f t="shared" si="15"/>
        <v>9.9700000000000006</v>
      </c>
      <c r="P57">
        <f t="shared" si="16"/>
        <v>1</v>
      </c>
      <c r="Q57">
        <f t="shared" si="17"/>
        <v>20</v>
      </c>
      <c r="R57">
        <f t="shared" si="18"/>
        <v>4299</v>
      </c>
      <c r="S57">
        <f>RANK(basicformulas[[#This Row],[Quantity Sold]],F:F)</f>
        <v>29</v>
      </c>
      <c r="T57">
        <f t="shared" si="19"/>
        <v>5</v>
      </c>
    </row>
    <row r="58" spans="1:20" x14ac:dyDescent="0.25">
      <c r="A58" s="2">
        <v>45693</v>
      </c>
      <c r="B58" t="s">
        <v>76</v>
      </c>
      <c r="C58" t="s">
        <v>84</v>
      </c>
      <c r="D58" t="s">
        <v>88</v>
      </c>
      <c r="E58">
        <v>2728</v>
      </c>
      <c r="F58">
        <v>11</v>
      </c>
      <c r="G58" t="s">
        <v>403</v>
      </c>
      <c r="H58" t="s">
        <v>406</v>
      </c>
      <c r="I58">
        <v>488</v>
      </c>
      <c r="J58">
        <f t="shared" si="12"/>
        <v>3.3166247903553998</v>
      </c>
      <c r="K58">
        <f t="shared" si="13"/>
        <v>3.3</v>
      </c>
      <c r="L58">
        <f>SUM(basicformulas[[#This Row],[sqrt]:[roung]])</f>
        <v>6.6166247903553996</v>
      </c>
      <c r="M58" t="str">
        <f t="shared" si="14"/>
        <v>M</v>
      </c>
      <c r="N58" t="str">
        <f>RIGHT(basicformulas[[#This Row],[Product]],5)</f>
        <v>owave</v>
      </c>
      <c r="O58">
        <f t="shared" si="15"/>
        <v>9.9700000000000006</v>
      </c>
      <c r="P58">
        <f t="shared" si="16"/>
        <v>1</v>
      </c>
      <c r="Q58">
        <f t="shared" si="17"/>
        <v>20</v>
      </c>
      <c r="R58">
        <f t="shared" si="18"/>
        <v>4299</v>
      </c>
      <c r="S58">
        <f>RANK(basicformulas[[#This Row],[Quantity Sold]],F:F)</f>
        <v>39</v>
      </c>
      <c r="T58">
        <f t="shared" si="19"/>
        <v>9</v>
      </c>
    </row>
    <row r="59" spans="1:20" x14ac:dyDescent="0.25">
      <c r="A59" s="2">
        <v>45658</v>
      </c>
      <c r="B59" t="s">
        <v>78</v>
      </c>
      <c r="C59" t="s">
        <v>84</v>
      </c>
      <c r="D59" t="s">
        <v>86</v>
      </c>
      <c r="E59">
        <v>7395</v>
      </c>
      <c r="F59">
        <v>17</v>
      </c>
      <c r="G59" t="s">
        <v>405</v>
      </c>
      <c r="H59" t="s">
        <v>408</v>
      </c>
      <c r="I59">
        <v>523</v>
      </c>
      <c r="J59">
        <f t="shared" si="12"/>
        <v>4.1231056256176606</v>
      </c>
      <c r="K59">
        <f t="shared" si="13"/>
        <v>4.0999999999999996</v>
      </c>
      <c r="L59">
        <f>SUM(basicformulas[[#This Row],[sqrt]:[roung]])</f>
        <v>8.2231056256176593</v>
      </c>
      <c r="M59" t="str">
        <f t="shared" si="14"/>
        <v>B</v>
      </c>
      <c r="N59" t="str">
        <f>RIGHT(basicformulas[[#This Row],[Product]],5)</f>
        <v>ender</v>
      </c>
      <c r="O59">
        <f t="shared" si="15"/>
        <v>9.9700000000000006</v>
      </c>
      <c r="P59">
        <f t="shared" si="16"/>
        <v>1</v>
      </c>
      <c r="Q59">
        <f t="shared" si="17"/>
        <v>20</v>
      </c>
      <c r="R59">
        <f t="shared" si="18"/>
        <v>4299</v>
      </c>
      <c r="S59">
        <f>RANK(basicformulas[[#This Row],[Quantity Sold]],F:F)</f>
        <v>16</v>
      </c>
      <c r="T59">
        <f t="shared" si="19"/>
        <v>7</v>
      </c>
    </row>
    <row r="60" spans="1:20" x14ac:dyDescent="0.25">
      <c r="A60" s="2">
        <v>45744</v>
      </c>
      <c r="B60" t="s">
        <v>80</v>
      </c>
      <c r="C60" t="s">
        <v>82</v>
      </c>
      <c r="D60" t="s">
        <v>85</v>
      </c>
      <c r="E60">
        <v>632</v>
      </c>
      <c r="F60">
        <v>1</v>
      </c>
      <c r="G60" t="s">
        <v>404</v>
      </c>
      <c r="H60" t="s">
        <v>407</v>
      </c>
      <c r="I60">
        <v>437</v>
      </c>
      <c r="J60">
        <f t="shared" si="12"/>
        <v>1</v>
      </c>
      <c r="K60">
        <f t="shared" si="13"/>
        <v>1</v>
      </c>
      <c r="L60">
        <f>SUM(basicformulas[[#This Row],[sqrt]:[roung]])</f>
        <v>2</v>
      </c>
      <c r="M60" t="str">
        <f t="shared" si="14"/>
        <v>L</v>
      </c>
      <c r="N60" t="str">
        <f>RIGHT(basicformulas[[#This Row],[Product]],5)</f>
        <v>aptop</v>
      </c>
      <c r="O60">
        <f t="shared" si="15"/>
        <v>9.9700000000000006</v>
      </c>
      <c r="P60">
        <f t="shared" si="16"/>
        <v>1</v>
      </c>
      <c r="Q60">
        <f t="shared" si="17"/>
        <v>20</v>
      </c>
      <c r="R60">
        <f t="shared" si="18"/>
        <v>4299</v>
      </c>
      <c r="S60">
        <f>RANK(basicformulas[[#This Row],[Quantity Sold]],F:F)</f>
        <v>97</v>
      </c>
      <c r="T60">
        <f t="shared" si="19"/>
        <v>6</v>
      </c>
    </row>
    <row r="61" spans="1:20" x14ac:dyDescent="0.25">
      <c r="A61" s="2">
        <v>45732</v>
      </c>
      <c r="B61" t="s">
        <v>77</v>
      </c>
      <c r="C61" t="s">
        <v>83</v>
      </c>
      <c r="D61" t="s">
        <v>88</v>
      </c>
      <c r="E61">
        <v>1044</v>
      </c>
      <c r="F61">
        <v>3</v>
      </c>
      <c r="G61" t="s">
        <v>404</v>
      </c>
      <c r="H61" t="s">
        <v>407</v>
      </c>
      <c r="I61">
        <v>449</v>
      </c>
      <c r="J61">
        <f t="shared" si="12"/>
        <v>1.7320508075688772</v>
      </c>
      <c r="K61">
        <f t="shared" si="13"/>
        <v>1.7</v>
      </c>
      <c r="L61">
        <f>SUM(basicformulas[[#This Row],[sqrt]:[roung]])</f>
        <v>3.4320508075688769</v>
      </c>
      <c r="M61" t="str">
        <f t="shared" si="14"/>
        <v>T</v>
      </c>
      <c r="N61" t="str">
        <f>RIGHT(basicformulas[[#This Row],[Product]],5)</f>
        <v>users</v>
      </c>
      <c r="O61">
        <f t="shared" si="15"/>
        <v>9.9700000000000006</v>
      </c>
      <c r="P61">
        <f t="shared" si="16"/>
        <v>1</v>
      </c>
      <c r="Q61">
        <f t="shared" si="17"/>
        <v>20</v>
      </c>
      <c r="R61">
        <f t="shared" si="18"/>
        <v>4299</v>
      </c>
      <c r="S61">
        <f>RANK(basicformulas[[#This Row],[Quantity Sold]],F:F)</f>
        <v>88</v>
      </c>
      <c r="T61">
        <f t="shared" si="19"/>
        <v>8</v>
      </c>
    </row>
    <row r="62" spans="1:20" x14ac:dyDescent="0.25">
      <c r="A62" s="2">
        <v>45713</v>
      </c>
      <c r="B62" t="s">
        <v>75</v>
      </c>
      <c r="C62" t="s">
        <v>83</v>
      </c>
      <c r="D62" t="s">
        <v>85</v>
      </c>
      <c r="E62">
        <v>4779</v>
      </c>
      <c r="F62">
        <v>9</v>
      </c>
      <c r="G62" t="s">
        <v>403</v>
      </c>
      <c r="H62" t="s">
        <v>406</v>
      </c>
      <c r="I62">
        <v>468</v>
      </c>
      <c r="J62">
        <f t="shared" si="12"/>
        <v>3</v>
      </c>
      <c r="K62">
        <f t="shared" si="13"/>
        <v>3</v>
      </c>
      <c r="L62">
        <f>SUM(basicformulas[[#This Row],[sqrt]:[roung]])</f>
        <v>6</v>
      </c>
      <c r="M62" t="str">
        <f t="shared" si="14"/>
        <v>S</v>
      </c>
      <c r="N62" t="str">
        <f>RIGHT(basicformulas[[#This Row],[Product]],5)</f>
        <v>Shirt</v>
      </c>
      <c r="O62">
        <f t="shared" si="15"/>
        <v>9.9700000000000006</v>
      </c>
      <c r="P62">
        <f t="shared" si="16"/>
        <v>1</v>
      </c>
      <c r="Q62">
        <f t="shared" si="17"/>
        <v>20</v>
      </c>
      <c r="R62">
        <f t="shared" si="18"/>
        <v>4299</v>
      </c>
      <c r="S62">
        <f>RANK(basicformulas[[#This Row],[Quantity Sold]],F:F)</f>
        <v>49</v>
      </c>
      <c r="T62">
        <f t="shared" si="19"/>
        <v>5</v>
      </c>
    </row>
    <row r="63" spans="1:20" x14ac:dyDescent="0.25">
      <c r="A63" s="2">
        <v>45669</v>
      </c>
      <c r="B63" t="s">
        <v>73</v>
      </c>
      <c r="C63" t="s">
        <v>81</v>
      </c>
      <c r="D63" t="s">
        <v>85</v>
      </c>
      <c r="E63">
        <v>636</v>
      </c>
      <c r="F63">
        <v>2</v>
      </c>
      <c r="G63" t="s">
        <v>405</v>
      </c>
      <c r="H63" t="s">
        <v>408</v>
      </c>
      <c r="I63">
        <v>512</v>
      </c>
      <c r="J63">
        <f t="shared" si="12"/>
        <v>1.4142135623730951</v>
      </c>
      <c r="K63">
        <f t="shared" si="13"/>
        <v>1.4</v>
      </c>
      <c r="L63">
        <f>SUM(basicformulas[[#This Row],[sqrt]:[roung]])</f>
        <v>2.8142135623730953</v>
      </c>
      <c r="M63" t="str">
        <f t="shared" si="14"/>
        <v>S</v>
      </c>
      <c r="N63" t="str">
        <f>RIGHT(basicformulas[[#This Row],[Product]],5)</f>
        <v>akers</v>
      </c>
      <c r="O63">
        <f t="shared" si="15"/>
        <v>9.9700000000000006</v>
      </c>
      <c r="P63">
        <f t="shared" si="16"/>
        <v>1</v>
      </c>
      <c r="Q63">
        <f t="shared" si="17"/>
        <v>20</v>
      </c>
      <c r="R63">
        <f t="shared" si="18"/>
        <v>4299</v>
      </c>
      <c r="S63">
        <f>RANK(basicformulas[[#This Row],[Quantity Sold]],F:F)</f>
        <v>94</v>
      </c>
      <c r="T63">
        <f t="shared" si="19"/>
        <v>8</v>
      </c>
    </row>
    <row r="64" spans="1:20" x14ac:dyDescent="0.25">
      <c r="A64" s="2">
        <v>45702</v>
      </c>
      <c r="B64" t="s">
        <v>80</v>
      </c>
      <c r="C64" t="s">
        <v>82</v>
      </c>
      <c r="D64" t="s">
        <v>86</v>
      </c>
      <c r="E64">
        <v>7800</v>
      </c>
      <c r="F64">
        <v>10</v>
      </c>
      <c r="G64" t="s">
        <v>403</v>
      </c>
      <c r="H64" t="s">
        <v>406</v>
      </c>
      <c r="I64">
        <v>479</v>
      </c>
      <c r="J64">
        <f t="shared" si="12"/>
        <v>3.1622776601683795</v>
      </c>
      <c r="K64">
        <f t="shared" si="13"/>
        <v>3.2</v>
      </c>
      <c r="L64">
        <f>SUM(basicformulas[[#This Row],[sqrt]:[roung]])</f>
        <v>6.3622776601683793</v>
      </c>
      <c r="M64" t="str">
        <f t="shared" si="14"/>
        <v>L</v>
      </c>
      <c r="N64" t="str">
        <f>RIGHT(basicformulas[[#This Row],[Product]],5)</f>
        <v>aptop</v>
      </c>
      <c r="O64">
        <f t="shared" si="15"/>
        <v>9.9700000000000006</v>
      </c>
      <c r="P64">
        <f t="shared" si="16"/>
        <v>1</v>
      </c>
      <c r="Q64">
        <f t="shared" si="17"/>
        <v>20</v>
      </c>
      <c r="R64">
        <f t="shared" si="18"/>
        <v>4299</v>
      </c>
      <c r="S64">
        <f>RANK(basicformulas[[#This Row],[Quantity Sold]],F:F)</f>
        <v>43</v>
      </c>
      <c r="T64">
        <f t="shared" si="19"/>
        <v>6</v>
      </c>
    </row>
    <row r="65" spans="1:20" x14ac:dyDescent="0.25">
      <c r="A65" s="2">
        <v>45686</v>
      </c>
      <c r="B65" t="s">
        <v>73</v>
      </c>
      <c r="C65" t="s">
        <v>81</v>
      </c>
      <c r="D65" t="s">
        <v>88</v>
      </c>
      <c r="E65">
        <v>545</v>
      </c>
      <c r="F65">
        <v>5</v>
      </c>
      <c r="G65" t="s">
        <v>403</v>
      </c>
      <c r="H65" t="s">
        <v>408</v>
      </c>
      <c r="I65">
        <v>495</v>
      </c>
      <c r="J65">
        <f t="shared" si="12"/>
        <v>2.2360679774997898</v>
      </c>
      <c r="K65">
        <f t="shared" si="13"/>
        <v>2.2000000000000002</v>
      </c>
      <c r="L65">
        <f>SUM(basicformulas[[#This Row],[sqrt]:[roung]])</f>
        <v>4.43606797749979</v>
      </c>
      <c r="M65" t="str">
        <f t="shared" si="14"/>
        <v>S</v>
      </c>
      <c r="N65" t="str">
        <f>RIGHT(basicformulas[[#This Row],[Product]],5)</f>
        <v>akers</v>
      </c>
      <c r="O65">
        <f t="shared" si="15"/>
        <v>9.9700000000000006</v>
      </c>
      <c r="P65">
        <f t="shared" si="16"/>
        <v>1</v>
      </c>
      <c r="Q65">
        <f t="shared" si="17"/>
        <v>20</v>
      </c>
      <c r="R65">
        <f t="shared" si="18"/>
        <v>4299</v>
      </c>
      <c r="S65">
        <f>RANK(basicformulas[[#This Row],[Quantity Sold]],F:F)</f>
        <v>72</v>
      </c>
      <c r="T65">
        <f t="shared" si="19"/>
        <v>8</v>
      </c>
    </row>
    <row r="66" spans="1:20" x14ac:dyDescent="0.25">
      <c r="A66" s="2">
        <v>45706</v>
      </c>
      <c r="B66" t="s">
        <v>75</v>
      </c>
      <c r="C66" t="s">
        <v>83</v>
      </c>
      <c r="D66" t="s">
        <v>85</v>
      </c>
      <c r="E66">
        <v>6040</v>
      </c>
      <c r="F66">
        <v>20</v>
      </c>
      <c r="G66" t="s">
        <v>403</v>
      </c>
      <c r="H66" t="s">
        <v>406</v>
      </c>
      <c r="I66">
        <v>475</v>
      </c>
      <c r="J66">
        <f t="shared" ref="J66:J101" si="20">SQRT(F:F)</f>
        <v>4.4721359549995796</v>
      </c>
      <c r="K66">
        <f t="shared" ref="K66:K97" si="21">ROUND(J:J,1)</f>
        <v>4.5</v>
      </c>
      <c r="L66">
        <f>SUM(basicformulas[[#This Row],[sqrt]:[roung]])</f>
        <v>8.9721359549995796</v>
      </c>
      <c r="M66" t="str">
        <f t="shared" ref="M66:M101" si="22">LEFT(B:B,1)</f>
        <v>S</v>
      </c>
      <c r="N66" t="str">
        <f>RIGHT(basicformulas[[#This Row],[Product]],5)</f>
        <v>Shirt</v>
      </c>
      <c r="O66">
        <f t="shared" ref="O66:O101" si="23">AVERAGE(F:F)</f>
        <v>9.9700000000000006</v>
      </c>
      <c r="P66">
        <f t="shared" ref="P66:P101" si="24">MIN(F:F)</f>
        <v>1</v>
      </c>
      <c r="Q66">
        <f t="shared" ref="Q66:Q101" si="25">MAX(F:F)</f>
        <v>20</v>
      </c>
      <c r="R66">
        <f t="shared" ref="R66:R101" si="26">MEDIAN(E:E)</f>
        <v>4299</v>
      </c>
      <c r="S66">
        <f>RANK(basicformulas[[#This Row],[Quantity Sold]],F:F)</f>
        <v>1</v>
      </c>
      <c r="T66">
        <f t="shared" ref="T66:T101" si="27">LEN(B:B)</f>
        <v>5</v>
      </c>
    </row>
    <row r="67" spans="1:20" x14ac:dyDescent="0.25">
      <c r="A67" s="2">
        <v>45724</v>
      </c>
      <c r="B67" t="s">
        <v>74</v>
      </c>
      <c r="C67" t="s">
        <v>82</v>
      </c>
      <c r="D67" t="s">
        <v>88</v>
      </c>
      <c r="E67">
        <v>8136</v>
      </c>
      <c r="F67">
        <v>9</v>
      </c>
      <c r="G67" t="s">
        <v>403</v>
      </c>
      <c r="H67" t="s">
        <v>407</v>
      </c>
      <c r="I67">
        <v>457</v>
      </c>
      <c r="J67">
        <f t="shared" si="20"/>
        <v>3</v>
      </c>
      <c r="K67">
        <f t="shared" si="21"/>
        <v>3</v>
      </c>
      <c r="L67">
        <f>SUM(basicformulas[[#This Row],[sqrt]:[roung]])</f>
        <v>6</v>
      </c>
      <c r="M67" t="str">
        <f t="shared" si="22"/>
        <v>S</v>
      </c>
      <c r="N67" t="str">
        <f>RIGHT(basicformulas[[#This Row],[Product]],5)</f>
        <v>phone</v>
      </c>
      <c r="O67">
        <f t="shared" si="23"/>
        <v>9.9700000000000006</v>
      </c>
      <c r="P67">
        <f t="shared" si="24"/>
        <v>1</v>
      </c>
      <c r="Q67">
        <f t="shared" si="25"/>
        <v>20</v>
      </c>
      <c r="R67">
        <f t="shared" si="26"/>
        <v>4299</v>
      </c>
      <c r="S67">
        <f>RANK(basicformulas[[#This Row],[Quantity Sold]],F:F)</f>
        <v>49</v>
      </c>
      <c r="T67">
        <f t="shared" si="27"/>
        <v>10</v>
      </c>
    </row>
    <row r="68" spans="1:20" x14ac:dyDescent="0.25">
      <c r="A68" s="2">
        <v>45659</v>
      </c>
      <c r="B68" t="s">
        <v>80</v>
      </c>
      <c r="C68" t="s">
        <v>82</v>
      </c>
      <c r="D68" t="s">
        <v>88</v>
      </c>
      <c r="E68">
        <v>3928</v>
      </c>
      <c r="F68">
        <v>4</v>
      </c>
      <c r="G68" t="s">
        <v>405</v>
      </c>
      <c r="H68" t="s">
        <v>408</v>
      </c>
      <c r="I68">
        <v>522</v>
      </c>
      <c r="J68">
        <f t="shared" si="20"/>
        <v>2</v>
      </c>
      <c r="K68">
        <f t="shared" si="21"/>
        <v>2</v>
      </c>
      <c r="L68">
        <f>SUM(basicformulas[[#This Row],[sqrt]:[roung]])</f>
        <v>4</v>
      </c>
      <c r="M68" t="str">
        <f t="shared" si="22"/>
        <v>L</v>
      </c>
      <c r="N68" t="str">
        <f>RIGHT(basicformulas[[#This Row],[Product]],5)</f>
        <v>aptop</v>
      </c>
      <c r="O68">
        <f t="shared" si="23"/>
        <v>9.9700000000000006</v>
      </c>
      <c r="P68">
        <f t="shared" si="24"/>
        <v>1</v>
      </c>
      <c r="Q68">
        <f t="shared" si="25"/>
        <v>20</v>
      </c>
      <c r="R68">
        <f t="shared" si="26"/>
        <v>4299</v>
      </c>
      <c r="S68">
        <f>RANK(basicformulas[[#This Row],[Quantity Sold]],F:F)</f>
        <v>82</v>
      </c>
      <c r="T68">
        <f t="shared" si="27"/>
        <v>6</v>
      </c>
    </row>
    <row r="69" spans="1:20" x14ac:dyDescent="0.25">
      <c r="A69" s="2">
        <v>45680</v>
      </c>
      <c r="B69" t="s">
        <v>80</v>
      </c>
      <c r="C69" t="s">
        <v>82</v>
      </c>
      <c r="D69" t="s">
        <v>87</v>
      </c>
      <c r="E69">
        <v>2968</v>
      </c>
      <c r="F69">
        <v>14</v>
      </c>
      <c r="G69" t="s">
        <v>405</v>
      </c>
      <c r="H69" t="s">
        <v>408</v>
      </c>
      <c r="I69">
        <v>501</v>
      </c>
      <c r="J69">
        <f t="shared" si="20"/>
        <v>3.7416573867739413</v>
      </c>
      <c r="K69">
        <f t="shared" si="21"/>
        <v>3.7</v>
      </c>
      <c r="L69">
        <f>SUM(basicformulas[[#This Row],[sqrt]:[roung]])</f>
        <v>7.441657386773942</v>
      </c>
      <c r="M69" t="str">
        <f t="shared" si="22"/>
        <v>L</v>
      </c>
      <c r="N69" t="str">
        <f>RIGHT(basicformulas[[#This Row],[Product]],5)</f>
        <v>aptop</v>
      </c>
      <c r="O69">
        <f t="shared" si="23"/>
        <v>9.9700000000000006</v>
      </c>
      <c r="P69">
        <f t="shared" si="24"/>
        <v>1</v>
      </c>
      <c r="Q69">
        <f t="shared" si="25"/>
        <v>20</v>
      </c>
      <c r="R69">
        <f t="shared" si="26"/>
        <v>4299</v>
      </c>
      <c r="S69">
        <f>RANK(basicformulas[[#This Row],[Quantity Sold]],F:F)</f>
        <v>27</v>
      </c>
      <c r="T69">
        <f t="shared" si="27"/>
        <v>6</v>
      </c>
    </row>
    <row r="70" spans="1:20" x14ac:dyDescent="0.25">
      <c r="A70" s="2">
        <v>45689</v>
      </c>
      <c r="B70" t="s">
        <v>74</v>
      </c>
      <c r="C70" t="s">
        <v>82</v>
      </c>
      <c r="D70" t="s">
        <v>87</v>
      </c>
      <c r="E70">
        <v>3955</v>
      </c>
      <c r="F70">
        <v>5</v>
      </c>
      <c r="G70" t="s">
        <v>403</v>
      </c>
      <c r="H70" t="s">
        <v>406</v>
      </c>
      <c r="I70">
        <v>492</v>
      </c>
      <c r="J70">
        <f t="shared" si="20"/>
        <v>2.2360679774997898</v>
      </c>
      <c r="K70">
        <f t="shared" si="21"/>
        <v>2.2000000000000002</v>
      </c>
      <c r="L70">
        <f>SUM(basicformulas[[#This Row],[sqrt]:[roung]])</f>
        <v>4.43606797749979</v>
      </c>
      <c r="M70" t="str">
        <f t="shared" si="22"/>
        <v>S</v>
      </c>
      <c r="N70" t="str">
        <f>RIGHT(basicformulas[[#This Row],[Product]],5)</f>
        <v>phone</v>
      </c>
      <c r="O70">
        <f t="shared" si="23"/>
        <v>9.9700000000000006</v>
      </c>
      <c r="P70">
        <f t="shared" si="24"/>
        <v>1</v>
      </c>
      <c r="Q70">
        <f t="shared" si="25"/>
        <v>20</v>
      </c>
      <c r="R70">
        <f t="shared" si="26"/>
        <v>4299</v>
      </c>
      <c r="S70">
        <f>RANK(basicformulas[[#This Row],[Quantity Sold]],F:F)</f>
        <v>72</v>
      </c>
      <c r="T70">
        <f t="shared" si="27"/>
        <v>10</v>
      </c>
    </row>
    <row r="71" spans="1:20" x14ac:dyDescent="0.25">
      <c r="A71" s="2">
        <v>45702</v>
      </c>
      <c r="B71" t="s">
        <v>75</v>
      </c>
      <c r="C71" t="s">
        <v>83</v>
      </c>
      <c r="D71" t="s">
        <v>85</v>
      </c>
      <c r="E71">
        <v>4048</v>
      </c>
      <c r="F71">
        <v>8</v>
      </c>
      <c r="G71" t="s">
        <v>403</v>
      </c>
      <c r="H71" t="s">
        <v>406</v>
      </c>
      <c r="I71">
        <v>479</v>
      </c>
      <c r="J71">
        <f t="shared" si="20"/>
        <v>2.8284271247461903</v>
      </c>
      <c r="K71">
        <f t="shared" si="21"/>
        <v>2.8</v>
      </c>
      <c r="L71">
        <f>SUM(basicformulas[[#This Row],[sqrt]:[roung]])</f>
        <v>5.6284271247461906</v>
      </c>
      <c r="M71" t="str">
        <f t="shared" si="22"/>
        <v>S</v>
      </c>
      <c r="N71" t="str">
        <f>RIGHT(basicformulas[[#This Row],[Product]],5)</f>
        <v>Shirt</v>
      </c>
      <c r="O71">
        <f t="shared" si="23"/>
        <v>9.9700000000000006</v>
      </c>
      <c r="P71">
        <f t="shared" si="24"/>
        <v>1</v>
      </c>
      <c r="Q71">
        <f t="shared" si="25"/>
        <v>20</v>
      </c>
      <c r="R71">
        <f t="shared" si="26"/>
        <v>4299</v>
      </c>
      <c r="S71">
        <f>RANK(basicformulas[[#This Row],[Quantity Sold]],F:F)</f>
        <v>56</v>
      </c>
      <c r="T71">
        <f t="shared" si="27"/>
        <v>5</v>
      </c>
    </row>
    <row r="72" spans="1:20" x14ac:dyDescent="0.25">
      <c r="A72" s="2">
        <v>45727</v>
      </c>
      <c r="B72" t="s">
        <v>78</v>
      </c>
      <c r="C72" t="s">
        <v>84</v>
      </c>
      <c r="D72" t="s">
        <v>87</v>
      </c>
      <c r="E72">
        <v>6464</v>
      </c>
      <c r="F72">
        <v>8</v>
      </c>
      <c r="G72" t="s">
        <v>403</v>
      </c>
      <c r="H72" t="s">
        <v>407</v>
      </c>
      <c r="I72">
        <v>454</v>
      </c>
      <c r="J72">
        <f t="shared" si="20"/>
        <v>2.8284271247461903</v>
      </c>
      <c r="K72">
        <f t="shared" si="21"/>
        <v>2.8</v>
      </c>
      <c r="L72">
        <f>SUM(basicformulas[[#This Row],[sqrt]:[roung]])</f>
        <v>5.6284271247461906</v>
      </c>
      <c r="M72" t="str">
        <f t="shared" si="22"/>
        <v>B</v>
      </c>
      <c r="N72" t="str">
        <f>RIGHT(basicformulas[[#This Row],[Product]],5)</f>
        <v>ender</v>
      </c>
      <c r="O72">
        <f t="shared" si="23"/>
        <v>9.9700000000000006</v>
      </c>
      <c r="P72">
        <f t="shared" si="24"/>
        <v>1</v>
      </c>
      <c r="Q72">
        <f t="shared" si="25"/>
        <v>20</v>
      </c>
      <c r="R72">
        <f t="shared" si="26"/>
        <v>4299</v>
      </c>
      <c r="S72">
        <f>RANK(basicformulas[[#This Row],[Quantity Sold]],F:F)</f>
        <v>56</v>
      </c>
      <c r="T72">
        <f t="shared" si="27"/>
        <v>7</v>
      </c>
    </row>
    <row r="73" spans="1:20" x14ac:dyDescent="0.25">
      <c r="A73" s="2">
        <v>45710</v>
      </c>
      <c r="B73" t="s">
        <v>73</v>
      </c>
      <c r="C73" t="s">
        <v>81</v>
      </c>
      <c r="D73" t="s">
        <v>88</v>
      </c>
      <c r="E73">
        <v>3042</v>
      </c>
      <c r="F73">
        <v>13</v>
      </c>
      <c r="G73" t="s">
        <v>403</v>
      </c>
      <c r="H73" t="s">
        <v>406</v>
      </c>
      <c r="I73">
        <v>471</v>
      </c>
      <c r="J73">
        <f t="shared" si="20"/>
        <v>3.6055512754639891</v>
      </c>
      <c r="K73">
        <f t="shared" si="21"/>
        <v>3.6</v>
      </c>
      <c r="L73">
        <f>SUM(basicformulas[[#This Row],[sqrt]:[roung]])</f>
        <v>7.2055512754639892</v>
      </c>
      <c r="M73" t="str">
        <f t="shared" si="22"/>
        <v>S</v>
      </c>
      <c r="N73" t="str">
        <f>RIGHT(basicformulas[[#This Row],[Product]],5)</f>
        <v>akers</v>
      </c>
      <c r="O73">
        <f t="shared" si="23"/>
        <v>9.9700000000000006</v>
      </c>
      <c r="P73">
        <f t="shared" si="24"/>
        <v>1</v>
      </c>
      <c r="Q73">
        <f t="shared" si="25"/>
        <v>20</v>
      </c>
      <c r="R73">
        <f t="shared" si="26"/>
        <v>4299</v>
      </c>
      <c r="S73">
        <f>RANK(basicformulas[[#This Row],[Quantity Sold]],F:F)</f>
        <v>29</v>
      </c>
      <c r="T73">
        <f t="shared" si="27"/>
        <v>8</v>
      </c>
    </row>
    <row r="74" spans="1:20" x14ac:dyDescent="0.25">
      <c r="A74" s="2">
        <v>45761</v>
      </c>
      <c r="B74" t="s">
        <v>80</v>
      </c>
      <c r="C74" t="s">
        <v>82</v>
      </c>
      <c r="D74" t="s">
        <v>88</v>
      </c>
      <c r="E74">
        <v>9480</v>
      </c>
      <c r="F74">
        <v>15</v>
      </c>
      <c r="G74" t="s">
        <v>404</v>
      </c>
      <c r="H74" t="s">
        <v>409</v>
      </c>
      <c r="I74">
        <v>420</v>
      </c>
      <c r="J74">
        <f t="shared" si="20"/>
        <v>3.872983346207417</v>
      </c>
      <c r="K74">
        <f t="shared" si="21"/>
        <v>3.9</v>
      </c>
      <c r="L74">
        <f>SUM(basicformulas[[#This Row],[sqrt]:[roung]])</f>
        <v>7.7729833462074165</v>
      </c>
      <c r="M74" t="str">
        <f t="shared" si="22"/>
        <v>L</v>
      </c>
      <c r="N74" t="str">
        <f>RIGHT(basicformulas[[#This Row],[Product]],5)</f>
        <v>aptop</v>
      </c>
      <c r="O74">
        <f t="shared" si="23"/>
        <v>9.9700000000000006</v>
      </c>
      <c r="P74">
        <f t="shared" si="24"/>
        <v>1</v>
      </c>
      <c r="Q74">
        <f t="shared" si="25"/>
        <v>20</v>
      </c>
      <c r="R74">
        <f t="shared" si="26"/>
        <v>4299</v>
      </c>
      <c r="S74">
        <f>RANK(basicformulas[[#This Row],[Quantity Sold]],F:F)</f>
        <v>21</v>
      </c>
      <c r="T74">
        <f t="shared" si="27"/>
        <v>6</v>
      </c>
    </row>
    <row r="75" spans="1:20" x14ac:dyDescent="0.25">
      <c r="A75" s="2">
        <v>45666</v>
      </c>
      <c r="B75" t="s">
        <v>75</v>
      </c>
      <c r="C75" t="s">
        <v>83</v>
      </c>
      <c r="D75" t="s">
        <v>88</v>
      </c>
      <c r="E75">
        <v>16321</v>
      </c>
      <c r="F75">
        <v>19</v>
      </c>
      <c r="G75" t="s">
        <v>405</v>
      </c>
      <c r="H75" t="s">
        <v>408</v>
      </c>
      <c r="I75">
        <v>515</v>
      </c>
      <c r="J75">
        <f t="shared" si="20"/>
        <v>4.358898943540674</v>
      </c>
      <c r="K75">
        <f t="shared" si="21"/>
        <v>4.4000000000000004</v>
      </c>
      <c r="L75">
        <f>SUM(basicformulas[[#This Row],[sqrt]:[roung]])</f>
        <v>8.7588989435406752</v>
      </c>
      <c r="M75" t="str">
        <f t="shared" si="22"/>
        <v>S</v>
      </c>
      <c r="N75" t="str">
        <f>RIGHT(basicformulas[[#This Row],[Product]],5)</f>
        <v>Shirt</v>
      </c>
      <c r="O75">
        <f t="shared" si="23"/>
        <v>9.9700000000000006</v>
      </c>
      <c r="P75">
        <f t="shared" si="24"/>
        <v>1</v>
      </c>
      <c r="Q75">
        <f t="shared" si="25"/>
        <v>20</v>
      </c>
      <c r="R75">
        <f t="shared" si="26"/>
        <v>4299</v>
      </c>
      <c r="S75">
        <f>RANK(basicformulas[[#This Row],[Quantity Sold]],F:F)</f>
        <v>5</v>
      </c>
      <c r="T75">
        <f t="shared" si="27"/>
        <v>5</v>
      </c>
    </row>
    <row r="76" spans="1:20" x14ac:dyDescent="0.25">
      <c r="A76" s="2">
        <v>45756</v>
      </c>
      <c r="B76" t="s">
        <v>74</v>
      </c>
      <c r="C76" t="s">
        <v>82</v>
      </c>
      <c r="D76" t="s">
        <v>87</v>
      </c>
      <c r="E76">
        <v>8436</v>
      </c>
      <c r="F76">
        <v>19</v>
      </c>
      <c r="G76" t="s">
        <v>404</v>
      </c>
      <c r="H76" t="s">
        <v>409</v>
      </c>
      <c r="I76">
        <v>425</v>
      </c>
      <c r="J76">
        <f t="shared" si="20"/>
        <v>4.358898943540674</v>
      </c>
      <c r="K76">
        <f t="shared" si="21"/>
        <v>4.4000000000000004</v>
      </c>
      <c r="L76">
        <f>SUM(basicformulas[[#This Row],[sqrt]:[roung]])</f>
        <v>8.7588989435406752</v>
      </c>
      <c r="M76" t="str">
        <f t="shared" si="22"/>
        <v>S</v>
      </c>
      <c r="N76" t="str">
        <f>RIGHT(basicformulas[[#This Row],[Product]],5)</f>
        <v>phone</v>
      </c>
      <c r="O76">
        <f t="shared" si="23"/>
        <v>9.9700000000000006</v>
      </c>
      <c r="P76">
        <f t="shared" si="24"/>
        <v>1</v>
      </c>
      <c r="Q76">
        <f t="shared" si="25"/>
        <v>20</v>
      </c>
      <c r="R76">
        <f t="shared" si="26"/>
        <v>4299</v>
      </c>
      <c r="S76">
        <f>RANK(basicformulas[[#This Row],[Quantity Sold]],F:F)</f>
        <v>5</v>
      </c>
      <c r="T76">
        <f t="shared" si="27"/>
        <v>10</v>
      </c>
    </row>
    <row r="77" spans="1:20" x14ac:dyDescent="0.25">
      <c r="A77" s="2">
        <v>45747</v>
      </c>
      <c r="B77" t="s">
        <v>74</v>
      </c>
      <c r="C77" t="s">
        <v>82</v>
      </c>
      <c r="D77" t="s">
        <v>85</v>
      </c>
      <c r="E77">
        <v>2832</v>
      </c>
      <c r="F77">
        <v>8</v>
      </c>
      <c r="G77" t="s">
        <v>404</v>
      </c>
      <c r="H77" t="s">
        <v>407</v>
      </c>
      <c r="I77">
        <v>434</v>
      </c>
      <c r="J77">
        <f t="shared" si="20"/>
        <v>2.8284271247461903</v>
      </c>
      <c r="K77">
        <f t="shared" si="21"/>
        <v>2.8</v>
      </c>
      <c r="L77">
        <f>SUM(basicformulas[[#This Row],[sqrt]:[roung]])</f>
        <v>5.6284271247461906</v>
      </c>
      <c r="M77" t="str">
        <f t="shared" si="22"/>
        <v>S</v>
      </c>
      <c r="N77" t="str">
        <f>RIGHT(basicformulas[[#This Row],[Product]],5)</f>
        <v>phone</v>
      </c>
      <c r="O77">
        <f t="shared" si="23"/>
        <v>9.9700000000000006</v>
      </c>
      <c r="P77">
        <f t="shared" si="24"/>
        <v>1</v>
      </c>
      <c r="Q77">
        <f t="shared" si="25"/>
        <v>20</v>
      </c>
      <c r="R77">
        <f t="shared" si="26"/>
        <v>4299</v>
      </c>
      <c r="S77">
        <f>RANK(basicformulas[[#This Row],[Quantity Sold]],F:F)</f>
        <v>56</v>
      </c>
      <c r="T77">
        <f t="shared" si="27"/>
        <v>10</v>
      </c>
    </row>
    <row r="78" spans="1:20" x14ac:dyDescent="0.25">
      <c r="A78" s="2">
        <v>45693</v>
      </c>
      <c r="B78" t="s">
        <v>79</v>
      </c>
      <c r="C78" t="s">
        <v>81</v>
      </c>
      <c r="D78" t="s">
        <v>86</v>
      </c>
      <c r="E78">
        <v>8604</v>
      </c>
      <c r="F78">
        <v>18</v>
      </c>
      <c r="G78" t="s">
        <v>403</v>
      </c>
      <c r="H78" t="s">
        <v>406</v>
      </c>
      <c r="I78">
        <v>488</v>
      </c>
      <c r="J78">
        <f t="shared" si="20"/>
        <v>4.2426406871192848</v>
      </c>
      <c r="K78">
        <f t="shared" si="21"/>
        <v>4.2</v>
      </c>
      <c r="L78">
        <f>SUM(basicformulas[[#This Row],[sqrt]:[roung]])</f>
        <v>8.4426406871192849</v>
      </c>
      <c r="M78" t="str">
        <f t="shared" si="22"/>
        <v>B</v>
      </c>
      <c r="N78" t="str">
        <f>RIGHT(basicformulas[[#This Row],[Product]],5)</f>
        <v>Boots</v>
      </c>
      <c r="O78">
        <f t="shared" si="23"/>
        <v>9.9700000000000006</v>
      </c>
      <c r="P78">
        <f t="shared" si="24"/>
        <v>1</v>
      </c>
      <c r="Q78">
        <f t="shared" si="25"/>
        <v>20</v>
      </c>
      <c r="R78">
        <f t="shared" si="26"/>
        <v>4299</v>
      </c>
      <c r="S78">
        <f>RANK(basicformulas[[#This Row],[Quantity Sold]],F:F)</f>
        <v>10</v>
      </c>
      <c r="T78">
        <f t="shared" si="27"/>
        <v>5</v>
      </c>
    </row>
    <row r="79" spans="1:20" x14ac:dyDescent="0.25">
      <c r="A79" s="2">
        <v>45665</v>
      </c>
      <c r="B79" t="s">
        <v>73</v>
      </c>
      <c r="C79" t="s">
        <v>81</v>
      </c>
      <c r="D79" t="s">
        <v>86</v>
      </c>
      <c r="E79">
        <v>2805</v>
      </c>
      <c r="F79">
        <v>5</v>
      </c>
      <c r="G79" t="s">
        <v>405</v>
      </c>
      <c r="H79" t="s">
        <v>408</v>
      </c>
      <c r="I79">
        <v>516</v>
      </c>
      <c r="J79">
        <f t="shared" si="20"/>
        <v>2.2360679774997898</v>
      </c>
      <c r="K79">
        <f t="shared" si="21"/>
        <v>2.2000000000000002</v>
      </c>
      <c r="L79">
        <f>SUM(basicformulas[[#This Row],[sqrt]:[roung]])</f>
        <v>4.43606797749979</v>
      </c>
      <c r="M79" t="str">
        <f t="shared" si="22"/>
        <v>S</v>
      </c>
      <c r="N79" t="str">
        <f>RIGHT(basicformulas[[#This Row],[Product]],5)</f>
        <v>akers</v>
      </c>
      <c r="O79">
        <f t="shared" si="23"/>
        <v>9.9700000000000006</v>
      </c>
      <c r="P79">
        <f t="shared" si="24"/>
        <v>1</v>
      </c>
      <c r="Q79">
        <f t="shared" si="25"/>
        <v>20</v>
      </c>
      <c r="R79">
        <f t="shared" si="26"/>
        <v>4299</v>
      </c>
      <c r="S79">
        <f>RANK(basicformulas[[#This Row],[Quantity Sold]],F:F)</f>
        <v>72</v>
      </c>
      <c r="T79">
        <f t="shared" si="27"/>
        <v>8</v>
      </c>
    </row>
    <row r="80" spans="1:20" x14ac:dyDescent="0.25">
      <c r="A80" s="2">
        <v>45690</v>
      </c>
      <c r="B80" t="s">
        <v>79</v>
      </c>
      <c r="C80" t="s">
        <v>81</v>
      </c>
      <c r="D80" t="s">
        <v>87</v>
      </c>
      <c r="E80">
        <v>5544</v>
      </c>
      <c r="F80">
        <v>7</v>
      </c>
      <c r="G80" t="s">
        <v>403</v>
      </c>
      <c r="H80" t="s">
        <v>406</v>
      </c>
      <c r="I80">
        <v>491</v>
      </c>
      <c r="J80">
        <f t="shared" si="20"/>
        <v>2.6457513110645907</v>
      </c>
      <c r="K80">
        <f t="shared" si="21"/>
        <v>2.6</v>
      </c>
      <c r="L80">
        <f>SUM(basicformulas[[#This Row],[sqrt]:[roung]])</f>
        <v>5.2457513110645912</v>
      </c>
      <c r="M80" t="str">
        <f t="shared" si="22"/>
        <v>B</v>
      </c>
      <c r="N80" t="str">
        <f>RIGHT(basicformulas[[#This Row],[Product]],5)</f>
        <v>Boots</v>
      </c>
      <c r="O80">
        <f t="shared" si="23"/>
        <v>9.9700000000000006</v>
      </c>
      <c r="P80">
        <f t="shared" si="24"/>
        <v>1</v>
      </c>
      <c r="Q80">
        <f t="shared" si="25"/>
        <v>20</v>
      </c>
      <c r="R80">
        <f t="shared" si="26"/>
        <v>4299</v>
      </c>
      <c r="S80">
        <f>RANK(basicformulas[[#This Row],[Quantity Sold]],F:F)</f>
        <v>63</v>
      </c>
      <c r="T80">
        <f t="shared" si="27"/>
        <v>5</v>
      </c>
    </row>
    <row r="81" spans="1:20" x14ac:dyDescent="0.25">
      <c r="A81" s="2">
        <v>45667</v>
      </c>
      <c r="B81" t="s">
        <v>77</v>
      </c>
      <c r="C81" t="s">
        <v>83</v>
      </c>
      <c r="D81" t="s">
        <v>88</v>
      </c>
      <c r="E81">
        <v>1694</v>
      </c>
      <c r="F81">
        <v>11</v>
      </c>
      <c r="G81" t="s">
        <v>405</v>
      </c>
      <c r="H81" t="s">
        <v>408</v>
      </c>
      <c r="I81">
        <v>514</v>
      </c>
      <c r="J81">
        <f t="shared" si="20"/>
        <v>3.3166247903553998</v>
      </c>
      <c r="K81">
        <f t="shared" si="21"/>
        <v>3.3</v>
      </c>
      <c r="L81">
        <f>SUM(basicformulas[[#This Row],[sqrt]:[roung]])</f>
        <v>6.6166247903553996</v>
      </c>
      <c r="M81" t="str">
        <f t="shared" si="22"/>
        <v>T</v>
      </c>
      <c r="N81" t="str">
        <f>RIGHT(basicformulas[[#This Row],[Product]],5)</f>
        <v>users</v>
      </c>
      <c r="O81">
        <f t="shared" si="23"/>
        <v>9.9700000000000006</v>
      </c>
      <c r="P81">
        <f t="shared" si="24"/>
        <v>1</v>
      </c>
      <c r="Q81">
        <f t="shared" si="25"/>
        <v>20</v>
      </c>
      <c r="R81">
        <f t="shared" si="26"/>
        <v>4299</v>
      </c>
      <c r="S81">
        <f>RANK(basicformulas[[#This Row],[Quantity Sold]],F:F)</f>
        <v>39</v>
      </c>
      <c r="T81">
        <f t="shared" si="27"/>
        <v>8</v>
      </c>
    </row>
    <row r="82" spans="1:20" x14ac:dyDescent="0.25">
      <c r="A82" s="2">
        <v>45665</v>
      </c>
      <c r="B82" t="s">
        <v>75</v>
      </c>
      <c r="C82" t="s">
        <v>83</v>
      </c>
      <c r="D82" t="s">
        <v>86</v>
      </c>
      <c r="E82">
        <v>5760</v>
      </c>
      <c r="F82">
        <v>9</v>
      </c>
      <c r="G82" t="s">
        <v>405</v>
      </c>
      <c r="H82" t="s">
        <v>408</v>
      </c>
      <c r="I82">
        <v>516</v>
      </c>
      <c r="J82">
        <f t="shared" si="20"/>
        <v>3</v>
      </c>
      <c r="K82">
        <f t="shared" si="21"/>
        <v>3</v>
      </c>
      <c r="L82">
        <f>SUM(basicformulas[[#This Row],[sqrt]:[roung]])</f>
        <v>6</v>
      </c>
      <c r="M82" t="str">
        <f t="shared" si="22"/>
        <v>S</v>
      </c>
      <c r="N82" t="str">
        <f>RIGHT(basicformulas[[#This Row],[Product]],5)</f>
        <v>Shirt</v>
      </c>
      <c r="O82">
        <f t="shared" si="23"/>
        <v>9.9700000000000006</v>
      </c>
      <c r="P82">
        <f t="shared" si="24"/>
        <v>1</v>
      </c>
      <c r="Q82">
        <f t="shared" si="25"/>
        <v>20</v>
      </c>
      <c r="R82">
        <f t="shared" si="26"/>
        <v>4299</v>
      </c>
      <c r="S82">
        <f>RANK(basicformulas[[#This Row],[Quantity Sold]],F:F)</f>
        <v>49</v>
      </c>
      <c r="T82">
        <f t="shared" si="27"/>
        <v>5</v>
      </c>
    </row>
    <row r="83" spans="1:20" x14ac:dyDescent="0.25">
      <c r="A83" s="2">
        <v>45712</v>
      </c>
      <c r="B83" t="s">
        <v>78</v>
      </c>
      <c r="C83" t="s">
        <v>84</v>
      </c>
      <c r="D83" t="s">
        <v>85</v>
      </c>
      <c r="E83">
        <v>8550</v>
      </c>
      <c r="F83">
        <v>10</v>
      </c>
      <c r="G83" t="s">
        <v>403</v>
      </c>
      <c r="H83" t="s">
        <v>406</v>
      </c>
      <c r="I83">
        <v>469</v>
      </c>
      <c r="J83">
        <f t="shared" si="20"/>
        <v>3.1622776601683795</v>
      </c>
      <c r="K83">
        <f t="shared" si="21"/>
        <v>3.2</v>
      </c>
      <c r="L83">
        <f>SUM(basicformulas[[#This Row],[sqrt]:[roung]])</f>
        <v>6.3622776601683793</v>
      </c>
      <c r="M83" t="str">
        <f t="shared" si="22"/>
        <v>B</v>
      </c>
      <c r="N83" t="str">
        <f>RIGHT(basicformulas[[#This Row],[Product]],5)</f>
        <v>ender</v>
      </c>
      <c r="O83">
        <f t="shared" si="23"/>
        <v>9.9700000000000006</v>
      </c>
      <c r="P83">
        <f t="shared" si="24"/>
        <v>1</v>
      </c>
      <c r="Q83">
        <f t="shared" si="25"/>
        <v>20</v>
      </c>
      <c r="R83">
        <f t="shared" si="26"/>
        <v>4299</v>
      </c>
      <c r="S83">
        <f>RANK(basicformulas[[#This Row],[Quantity Sold]],F:F)</f>
        <v>43</v>
      </c>
      <c r="T83">
        <f t="shared" si="27"/>
        <v>7</v>
      </c>
    </row>
    <row r="84" spans="1:20" x14ac:dyDescent="0.25">
      <c r="A84" s="2">
        <v>45668</v>
      </c>
      <c r="B84" t="s">
        <v>79</v>
      </c>
      <c r="C84" t="s">
        <v>81</v>
      </c>
      <c r="D84" t="s">
        <v>86</v>
      </c>
      <c r="E84">
        <v>1220</v>
      </c>
      <c r="F84">
        <v>5</v>
      </c>
      <c r="G84" t="s">
        <v>405</v>
      </c>
      <c r="H84" t="s">
        <v>408</v>
      </c>
      <c r="I84">
        <v>513</v>
      </c>
      <c r="J84">
        <f t="shared" si="20"/>
        <v>2.2360679774997898</v>
      </c>
      <c r="K84">
        <f t="shared" si="21"/>
        <v>2.2000000000000002</v>
      </c>
      <c r="L84">
        <f>SUM(basicformulas[[#This Row],[sqrt]:[roung]])</f>
        <v>4.43606797749979</v>
      </c>
      <c r="M84" t="str">
        <f t="shared" si="22"/>
        <v>B</v>
      </c>
      <c r="N84" t="str">
        <f>RIGHT(basicformulas[[#This Row],[Product]],5)</f>
        <v>Boots</v>
      </c>
      <c r="O84">
        <f t="shared" si="23"/>
        <v>9.9700000000000006</v>
      </c>
      <c r="P84">
        <f t="shared" si="24"/>
        <v>1</v>
      </c>
      <c r="Q84">
        <f t="shared" si="25"/>
        <v>20</v>
      </c>
      <c r="R84">
        <f t="shared" si="26"/>
        <v>4299</v>
      </c>
      <c r="S84">
        <f>RANK(basicformulas[[#This Row],[Quantity Sold]],F:F)</f>
        <v>72</v>
      </c>
      <c r="T84">
        <f t="shared" si="27"/>
        <v>5</v>
      </c>
    </row>
    <row r="85" spans="1:20" x14ac:dyDescent="0.25">
      <c r="A85" s="2">
        <v>45777</v>
      </c>
      <c r="B85" t="s">
        <v>77</v>
      </c>
      <c r="C85" t="s">
        <v>83</v>
      </c>
      <c r="D85" t="s">
        <v>88</v>
      </c>
      <c r="E85">
        <v>2490</v>
      </c>
      <c r="F85">
        <v>15</v>
      </c>
      <c r="G85" t="s">
        <v>404</v>
      </c>
      <c r="H85" t="s">
        <v>409</v>
      </c>
      <c r="I85">
        <v>404</v>
      </c>
      <c r="J85">
        <f t="shared" si="20"/>
        <v>3.872983346207417</v>
      </c>
      <c r="K85">
        <f t="shared" si="21"/>
        <v>3.9</v>
      </c>
      <c r="L85">
        <f>SUM(basicformulas[[#This Row],[sqrt]:[roung]])</f>
        <v>7.7729833462074165</v>
      </c>
      <c r="M85" t="str">
        <f t="shared" si="22"/>
        <v>T</v>
      </c>
      <c r="N85" t="str">
        <f>RIGHT(basicformulas[[#This Row],[Product]],5)</f>
        <v>users</v>
      </c>
      <c r="O85">
        <f t="shared" si="23"/>
        <v>9.9700000000000006</v>
      </c>
      <c r="P85">
        <f t="shared" si="24"/>
        <v>1</v>
      </c>
      <c r="Q85">
        <f t="shared" si="25"/>
        <v>20</v>
      </c>
      <c r="R85">
        <f t="shared" si="26"/>
        <v>4299</v>
      </c>
      <c r="S85">
        <f>RANK(basicformulas[[#This Row],[Quantity Sold]],F:F)</f>
        <v>21</v>
      </c>
      <c r="T85">
        <f t="shared" si="27"/>
        <v>8</v>
      </c>
    </row>
    <row r="86" spans="1:20" x14ac:dyDescent="0.25">
      <c r="A86" s="2">
        <v>45731</v>
      </c>
      <c r="B86" t="s">
        <v>73</v>
      </c>
      <c r="C86" t="s">
        <v>81</v>
      </c>
      <c r="D86" t="s">
        <v>88</v>
      </c>
      <c r="E86">
        <v>3225</v>
      </c>
      <c r="F86">
        <v>15</v>
      </c>
      <c r="G86" t="s">
        <v>404</v>
      </c>
      <c r="H86" t="s">
        <v>407</v>
      </c>
      <c r="I86">
        <v>450</v>
      </c>
      <c r="J86">
        <f t="shared" si="20"/>
        <v>3.872983346207417</v>
      </c>
      <c r="K86">
        <f t="shared" si="21"/>
        <v>3.9</v>
      </c>
      <c r="L86">
        <f>SUM(basicformulas[[#This Row],[sqrt]:[roung]])</f>
        <v>7.7729833462074165</v>
      </c>
      <c r="M86" t="str">
        <f t="shared" si="22"/>
        <v>S</v>
      </c>
      <c r="N86" t="str">
        <f>RIGHT(basicformulas[[#This Row],[Product]],5)</f>
        <v>akers</v>
      </c>
      <c r="O86">
        <f t="shared" si="23"/>
        <v>9.9700000000000006</v>
      </c>
      <c r="P86">
        <f t="shared" si="24"/>
        <v>1</v>
      </c>
      <c r="Q86">
        <f t="shared" si="25"/>
        <v>20</v>
      </c>
      <c r="R86">
        <f t="shared" si="26"/>
        <v>4299</v>
      </c>
      <c r="S86">
        <f>RANK(basicformulas[[#This Row],[Quantity Sold]],F:F)</f>
        <v>21</v>
      </c>
      <c r="T86">
        <f t="shared" si="27"/>
        <v>8</v>
      </c>
    </row>
    <row r="87" spans="1:20" x14ac:dyDescent="0.25">
      <c r="A87" s="2">
        <v>45725</v>
      </c>
      <c r="B87" t="s">
        <v>79</v>
      </c>
      <c r="C87" t="s">
        <v>81</v>
      </c>
      <c r="D87" t="s">
        <v>88</v>
      </c>
      <c r="E87">
        <v>7930</v>
      </c>
      <c r="F87">
        <v>13</v>
      </c>
      <c r="G87" t="s">
        <v>403</v>
      </c>
      <c r="H87" t="s">
        <v>407</v>
      </c>
      <c r="I87">
        <v>456</v>
      </c>
      <c r="J87">
        <f t="shared" si="20"/>
        <v>3.6055512754639891</v>
      </c>
      <c r="K87">
        <f t="shared" si="21"/>
        <v>3.6</v>
      </c>
      <c r="L87">
        <f>SUM(basicformulas[[#This Row],[sqrt]:[roung]])</f>
        <v>7.2055512754639892</v>
      </c>
      <c r="M87" t="str">
        <f t="shared" si="22"/>
        <v>B</v>
      </c>
      <c r="N87" t="str">
        <f>RIGHT(basicformulas[[#This Row],[Product]],5)</f>
        <v>Boots</v>
      </c>
      <c r="O87">
        <f t="shared" si="23"/>
        <v>9.9700000000000006</v>
      </c>
      <c r="P87">
        <f t="shared" si="24"/>
        <v>1</v>
      </c>
      <c r="Q87">
        <f t="shared" si="25"/>
        <v>20</v>
      </c>
      <c r="R87">
        <f t="shared" si="26"/>
        <v>4299</v>
      </c>
      <c r="S87">
        <f>RANK(basicformulas[[#This Row],[Quantity Sold]],F:F)</f>
        <v>29</v>
      </c>
      <c r="T87">
        <f t="shared" si="27"/>
        <v>5</v>
      </c>
    </row>
    <row r="88" spans="1:20" x14ac:dyDescent="0.25">
      <c r="A88" s="2">
        <v>45756</v>
      </c>
      <c r="B88" t="s">
        <v>78</v>
      </c>
      <c r="C88" t="s">
        <v>84</v>
      </c>
      <c r="D88" t="s">
        <v>85</v>
      </c>
      <c r="E88">
        <v>12920</v>
      </c>
      <c r="F88">
        <v>19</v>
      </c>
      <c r="G88" t="s">
        <v>404</v>
      </c>
      <c r="H88" t="s">
        <v>409</v>
      </c>
      <c r="I88">
        <v>425</v>
      </c>
      <c r="J88">
        <f t="shared" si="20"/>
        <v>4.358898943540674</v>
      </c>
      <c r="K88">
        <f t="shared" si="21"/>
        <v>4.4000000000000004</v>
      </c>
      <c r="L88">
        <f>SUM(basicformulas[[#This Row],[sqrt]:[roung]])</f>
        <v>8.7588989435406752</v>
      </c>
      <c r="M88" t="str">
        <f t="shared" si="22"/>
        <v>B</v>
      </c>
      <c r="N88" t="str">
        <f>RIGHT(basicformulas[[#This Row],[Product]],5)</f>
        <v>ender</v>
      </c>
      <c r="O88">
        <f t="shared" si="23"/>
        <v>9.9700000000000006</v>
      </c>
      <c r="P88">
        <f t="shared" si="24"/>
        <v>1</v>
      </c>
      <c r="Q88">
        <f t="shared" si="25"/>
        <v>20</v>
      </c>
      <c r="R88">
        <f t="shared" si="26"/>
        <v>4299</v>
      </c>
      <c r="S88">
        <f>RANK(basicformulas[[#This Row],[Quantity Sold]],F:F)</f>
        <v>5</v>
      </c>
      <c r="T88">
        <f t="shared" si="27"/>
        <v>7</v>
      </c>
    </row>
    <row r="89" spans="1:20" x14ac:dyDescent="0.25">
      <c r="A89" s="2">
        <v>45725</v>
      </c>
      <c r="B89" t="s">
        <v>77</v>
      </c>
      <c r="C89" t="s">
        <v>83</v>
      </c>
      <c r="D89" t="s">
        <v>85</v>
      </c>
      <c r="E89">
        <v>4685</v>
      </c>
      <c r="F89">
        <v>5</v>
      </c>
      <c r="G89" t="s">
        <v>403</v>
      </c>
      <c r="H89" t="s">
        <v>407</v>
      </c>
      <c r="I89">
        <v>456</v>
      </c>
      <c r="J89">
        <f t="shared" si="20"/>
        <v>2.2360679774997898</v>
      </c>
      <c r="K89">
        <f t="shared" si="21"/>
        <v>2.2000000000000002</v>
      </c>
      <c r="L89">
        <f>SUM(basicformulas[[#This Row],[sqrt]:[roung]])</f>
        <v>4.43606797749979</v>
      </c>
      <c r="M89" t="str">
        <f t="shared" si="22"/>
        <v>T</v>
      </c>
      <c r="N89" t="str">
        <f>RIGHT(basicformulas[[#This Row],[Product]],5)</f>
        <v>users</v>
      </c>
      <c r="O89">
        <f t="shared" si="23"/>
        <v>9.9700000000000006</v>
      </c>
      <c r="P89">
        <f t="shared" si="24"/>
        <v>1</v>
      </c>
      <c r="Q89">
        <f t="shared" si="25"/>
        <v>20</v>
      </c>
      <c r="R89">
        <f t="shared" si="26"/>
        <v>4299</v>
      </c>
      <c r="S89">
        <f>RANK(basicformulas[[#This Row],[Quantity Sold]],F:F)</f>
        <v>72</v>
      </c>
      <c r="T89">
        <f t="shared" si="27"/>
        <v>8</v>
      </c>
    </row>
    <row r="90" spans="1:20" x14ac:dyDescent="0.25">
      <c r="A90" s="2">
        <v>45694</v>
      </c>
      <c r="B90" t="s">
        <v>74</v>
      </c>
      <c r="C90" t="s">
        <v>82</v>
      </c>
      <c r="D90" t="s">
        <v>88</v>
      </c>
      <c r="E90">
        <v>808</v>
      </c>
      <c r="F90">
        <v>8</v>
      </c>
      <c r="G90" t="s">
        <v>403</v>
      </c>
      <c r="H90" t="s">
        <v>406</v>
      </c>
      <c r="I90">
        <v>487</v>
      </c>
      <c r="J90">
        <f t="shared" si="20"/>
        <v>2.8284271247461903</v>
      </c>
      <c r="K90">
        <f t="shared" si="21"/>
        <v>2.8</v>
      </c>
      <c r="L90">
        <f>SUM(basicformulas[[#This Row],[sqrt]:[roung]])</f>
        <v>5.6284271247461906</v>
      </c>
      <c r="M90" t="str">
        <f t="shared" si="22"/>
        <v>S</v>
      </c>
      <c r="N90" t="str">
        <f>RIGHT(basicformulas[[#This Row],[Product]],5)</f>
        <v>phone</v>
      </c>
      <c r="O90">
        <f t="shared" si="23"/>
        <v>9.9700000000000006</v>
      </c>
      <c r="P90">
        <f t="shared" si="24"/>
        <v>1</v>
      </c>
      <c r="Q90">
        <f t="shared" si="25"/>
        <v>20</v>
      </c>
      <c r="R90">
        <f t="shared" si="26"/>
        <v>4299</v>
      </c>
      <c r="S90">
        <f>RANK(basicformulas[[#This Row],[Quantity Sold]],F:F)</f>
        <v>56</v>
      </c>
      <c r="T90">
        <f t="shared" si="27"/>
        <v>10</v>
      </c>
    </row>
    <row r="91" spans="1:20" x14ac:dyDescent="0.25">
      <c r="A91" s="2">
        <v>45749</v>
      </c>
      <c r="B91" t="s">
        <v>76</v>
      </c>
      <c r="C91" t="s">
        <v>84</v>
      </c>
      <c r="D91" t="s">
        <v>85</v>
      </c>
      <c r="E91">
        <v>1592</v>
      </c>
      <c r="F91">
        <v>4</v>
      </c>
      <c r="G91" t="s">
        <v>404</v>
      </c>
      <c r="H91" t="s">
        <v>409</v>
      </c>
      <c r="I91">
        <v>432</v>
      </c>
      <c r="J91">
        <f t="shared" si="20"/>
        <v>2</v>
      </c>
      <c r="K91">
        <f t="shared" si="21"/>
        <v>2</v>
      </c>
      <c r="L91">
        <f>SUM(basicformulas[[#This Row],[sqrt]:[roung]])</f>
        <v>4</v>
      </c>
      <c r="M91" t="str">
        <f t="shared" si="22"/>
        <v>M</v>
      </c>
      <c r="N91" t="str">
        <f>RIGHT(basicformulas[[#This Row],[Product]],5)</f>
        <v>owave</v>
      </c>
      <c r="O91">
        <f t="shared" si="23"/>
        <v>9.9700000000000006</v>
      </c>
      <c r="P91">
        <f t="shared" si="24"/>
        <v>1</v>
      </c>
      <c r="Q91">
        <f t="shared" si="25"/>
        <v>20</v>
      </c>
      <c r="R91">
        <f t="shared" si="26"/>
        <v>4299</v>
      </c>
      <c r="S91">
        <f>RANK(basicformulas[[#This Row],[Quantity Sold]],F:F)</f>
        <v>82</v>
      </c>
      <c r="T91">
        <f t="shared" si="27"/>
        <v>9</v>
      </c>
    </row>
    <row r="92" spans="1:20" x14ac:dyDescent="0.25">
      <c r="A92" s="2">
        <v>45778</v>
      </c>
      <c r="B92" t="s">
        <v>75</v>
      </c>
      <c r="C92" t="s">
        <v>83</v>
      </c>
      <c r="D92" t="s">
        <v>86</v>
      </c>
      <c r="E92">
        <v>14860</v>
      </c>
      <c r="F92">
        <v>20</v>
      </c>
      <c r="G92" t="s">
        <v>404</v>
      </c>
      <c r="H92" t="s">
        <v>410</v>
      </c>
      <c r="I92">
        <v>403</v>
      </c>
      <c r="J92">
        <f t="shared" si="20"/>
        <v>4.4721359549995796</v>
      </c>
      <c r="K92">
        <f t="shared" si="21"/>
        <v>4.5</v>
      </c>
      <c r="L92">
        <f>SUM(basicformulas[[#This Row],[sqrt]:[roung]])</f>
        <v>8.9721359549995796</v>
      </c>
      <c r="M92" t="str">
        <f t="shared" si="22"/>
        <v>S</v>
      </c>
      <c r="N92" t="str">
        <f>RIGHT(basicformulas[[#This Row],[Product]],5)</f>
        <v>Shirt</v>
      </c>
      <c r="O92">
        <f t="shared" si="23"/>
        <v>9.9700000000000006</v>
      </c>
      <c r="P92">
        <f t="shared" si="24"/>
        <v>1</v>
      </c>
      <c r="Q92">
        <f t="shared" si="25"/>
        <v>20</v>
      </c>
      <c r="R92">
        <f t="shared" si="26"/>
        <v>4299</v>
      </c>
      <c r="S92">
        <f>RANK(basicformulas[[#This Row],[Quantity Sold]],F:F)</f>
        <v>1</v>
      </c>
      <c r="T92">
        <f t="shared" si="27"/>
        <v>5</v>
      </c>
    </row>
    <row r="93" spans="1:20" x14ac:dyDescent="0.25">
      <c r="A93" s="2">
        <v>45658</v>
      </c>
      <c r="B93" t="s">
        <v>78</v>
      </c>
      <c r="C93" t="s">
        <v>84</v>
      </c>
      <c r="D93" t="s">
        <v>86</v>
      </c>
      <c r="E93">
        <v>8040</v>
      </c>
      <c r="F93">
        <v>10</v>
      </c>
      <c r="G93" t="s">
        <v>405</v>
      </c>
      <c r="H93" t="s">
        <v>408</v>
      </c>
      <c r="I93">
        <v>523</v>
      </c>
      <c r="J93">
        <f t="shared" si="20"/>
        <v>3.1622776601683795</v>
      </c>
      <c r="K93">
        <f t="shared" si="21"/>
        <v>3.2</v>
      </c>
      <c r="L93">
        <f>SUM(basicformulas[[#This Row],[sqrt]:[roung]])</f>
        <v>6.3622776601683793</v>
      </c>
      <c r="M93" t="str">
        <f t="shared" si="22"/>
        <v>B</v>
      </c>
      <c r="N93" t="str">
        <f>RIGHT(basicformulas[[#This Row],[Product]],5)</f>
        <v>ender</v>
      </c>
      <c r="O93">
        <f t="shared" si="23"/>
        <v>9.9700000000000006</v>
      </c>
      <c r="P93">
        <f t="shared" si="24"/>
        <v>1</v>
      </c>
      <c r="Q93">
        <f t="shared" si="25"/>
        <v>20</v>
      </c>
      <c r="R93">
        <f t="shared" si="26"/>
        <v>4299</v>
      </c>
      <c r="S93">
        <f>RANK(basicformulas[[#This Row],[Quantity Sold]],F:F)</f>
        <v>43</v>
      </c>
      <c r="T93">
        <f t="shared" si="27"/>
        <v>7</v>
      </c>
    </row>
    <row r="94" spans="1:20" x14ac:dyDescent="0.25">
      <c r="A94" s="2">
        <v>45762</v>
      </c>
      <c r="B94" t="s">
        <v>78</v>
      </c>
      <c r="C94" t="s">
        <v>84</v>
      </c>
      <c r="D94" t="s">
        <v>87</v>
      </c>
      <c r="E94">
        <v>3880</v>
      </c>
      <c r="F94">
        <v>20</v>
      </c>
      <c r="G94" t="s">
        <v>404</v>
      </c>
      <c r="H94" t="s">
        <v>409</v>
      </c>
      <c r="I94">
        <v>419</v>
      </c>
      <c r="J94">
        <f t="shared" si="20"/>
        <v>4.4721359549995796</v>
      </c>
      <c r="K94">
        <f t="shared" si="21"/>
        <v>4.5</v>
      </c>
      <c r="L94">
        <f>SUM(basicformulas[[#This Row],[sqrt]:[roung]])</f>
        <v>8.9721359549995796</v>
      </c>
      <c r="M94" t="str">
        <f t="shared" si="22"/>
        <v>B</v>
      </c>
      <c r="N94" t="str">
        <f>RIGHT(basicformulas[[#This Row],[Product]],5)</f>
        <v>ender</v>
      </c>
      <c r="O94">
        <f t="shared" si="23"/>
        <v>9.9700000000000006</v>
      </c>
      <c r="P94">
        <f t="shared" si="24"/>
        <v>1</v>
      </c>
      <c r="Q94">
        <f t="shared" si="25"/>
        <v>20</v>
      </c>
      <c r="R94">
        <f t="shared" si="26"/>
        <v>4299</v>
      </c>
      <c r="S94">
        <f>RANK(basicformulas[[#This Row],[Quantity Sold]],F:F)</f>
        <v>1</v>
      </c>
      <c r="T94">
        <f t="shared" si="27"/>
        <v>7</v>
      </c>
    </row>
    <row r="95" spans="1:20" x14ac:dyDescent="0.25">
      <c r="A95" s="2">
        <v>45765</v>
      </c>
      <c r="B95" t="s">
        <v>75</v>
      </c>
      <c r="C95" t="s">
        <v>83</v>
      </c>
      <c r="D95" t="s">
        <v>87</v>
      </c>
      <c r="E95">
        <v>2522</v>
      </c>
      <c r="F95">
        <v>13</v>
      </c>
      <c r="G95" t="s">
        <v>404</v>
      </c>
      <c r="H95" t="s">
        <v>409</v>
      </c>
      <c r="I95">
        <v>416</v>
      </c>
      <c r="J95">
        <f t="shared" si="20"/>
        <v>3.6055512754639891</v>
      </c>
      <c r="K95">
        <f t="shared" si="21"/>
        <v>3.6</v>
      </c>
      <c r="L95">
        <f>SUM(basicformulas[[#This Row],[sqrt]:[roung]])</f>
        <v>7.2055512754639892</v>
      </c>
      <c r="M95" t="str">
        <f t="shared" si="22"/>
        <v>S</v>
      </c>
      <c r="N95" t="str">
        <f>RIGHT(basicformulas[[#This Row],[Product]],5)</f>
        <v>Shirt</v>
      </c>
      <c r="O95">
        <f t="shared" si="23"/>
        <v>9.9700000000000006</v>
      </c>
      <c r="P95">
        <f t="shared" si="24"/>
        <v>1</v>
      </c>
      <c r="Q95">
        <f t="shared" si="25"/>
        <v>20</v>
      </c>
      <c r="R95">
        <f t="shared" si="26"/>
        <v>4299</v>
      </c>
      <c r="S95">
        <f>RANK(basicformulas[[#This Row],[Quantity Sold]],F:F)</f>
        <v>29</v>
      </c>
      <c r="T95">
        <f t="shared" si="27"/>
        <v>5</v>
      </c>
    </row>
    <row r="96" spans="1:20" x14ac:dyDescent="0.25">
      <c r="A96" s="2">
        <v>45701</v>
      </c>
      <c r="B96" t="s">
        <v>76</v>
      </c>
      <c r="C96" t="s">
        <v>84</v>
      </c>
      <c r="D96" t="s">
        <v>85</v>
      </c>
      <c r="E96">
        <v>852</v>
      </c>
      <c r="F96">
        <v>2</v>
      </c>
      <c r="G96" t="s">
        <v>403</v>
      </c>
      <c r="H96" t="s">
        <v>406</v>
      </c>
      <c r="I96">
        <v>480</v>
      </c>
      <c r="J96">
        <f t="shared" si="20"/>
        <v>1.4142135623730951</v>
      </c>
      <c r="K96">
        <f t="shared" si="21"/>
        <v>1.4</v>
      </c>
      <c r="L96">
        <f>SUM(basicformulas[[#This Row],[sqrt]:[roung]])</f>
        <v>2.8142135623730953</v>
      </c>
      <c r="M96" t="str">
        <f t="shared" si="22"/>
        <v>M</v>
      </c>
      <c r="N96" t="str">
        <f>RIGHT(basicformulas[[#This Row],[Product]],5)</f>
        <v>owave</v>
      </c>
      <c r="O96">
        <f t="shared" si="23"/>
        <v>9.9700000000000006</v>
      </c>
      <c r="P96">
        <f t="shared" si="24"/>
        <v>1</v>
      </c>
      <c r="Q96">
        <f t="shared" si="25"/>
        <v>20</v>
      </c>
      <c r="R96">
        <f t="shared" si="26"/>
        <v>4299</v>
      </c>
      <c r="S96">
        <f>RANK(basicformulas[[#This Row],[Quantity Sold]],F:F)</f>
        <v>94</v>
      </c>
      <c r="T96">
        <f t="shared" si="27"/>
        <v>9</v>
      </c>
    </row>
    <row r="97" spans="1:20" x14ac:dyDescent="0.25">
      <c r="A97" s="2">
        <v>45727</v>
      </c>
      <c r="B97" t="s">
        <v>73</v>
      </c>
      <c r="C97" t="s">
        <v>81</v>
      </c>
      <c r="D97" t="s">
        <v>85</v>
      </c>
      <c r="E97">
        <v>1185</v>
      </c>
      <c r="F97">
        <v>5</v>
      </c>
      <c r="G97" t="s">
        <v>403</v>
      </c>
      <c r="H97" t="s">
        <v>407</v>
      </c>
      <c r="I97">
        <v>454</v>
      </c>
      <c r="J97">
        <f t="shared" si="20"/>
        <v>2.2360679774997898</v>
      </c>
      <c r="K97">
        <f t="shared" si="21"/>
        <v>2.2000000000000002</v>
      </c>
      <c r="L97">
        <f>SUM(basicformulas[[#This Row],[sqrt]:[roung]])</f>
        <v>4.43606797749979</v>
      </c>
      <c r="M97" t="str">
        <f t="shared" si="22"/>
        <v>S</v>
      </c>
      <c r="N97" t="str">
        <f>RIGHT(basicformulas[[#This Row],[Product]],5)</f>
        <v>akers</v>
      </c>
      <c r="O97">
        <f t="shared" si="23"/>
        <v>9.9700000000000006</v>
      </c>
      <c r="P97">
        <f t="shared" si="24"/>
        <v>1</v>
      </c>
      <c r="Q97">
        <f t="shared" si="25"/>
        <v>20</v>
      </c>
      <c r="R97">
        <f t="shared" si="26"/>
        <v>4299</v>
      </c>
      <c r="S97">
        <f>RANK(basicformulas[[#This Row],[Quantity Sold]],F:F)</f>
        <v>72</v>
      </c>
      <c r="T97">
        <f t="shared" si="27"/>
        <v>8</v>
      </c>
    </row>
    <row r="98" spans="1:20" x14ac:dyDescent="0.25">
      <c r="A98" s="2">
        <v>45741</v>
      </c>
      <c r="B98" t="s">
        <v>73</v>
      </c>
      <c r="C98" t="s">
        <v>81</v>
      </c>
      <c r="D98" t="s">
        <v>85</v>
      </c>
      <c r="E98">
        <v>1836</v>
      </c>
      <c r="F98">
        <v>12</v>
      </c>
      <c r="G98" t="s">
        <v>404</v>
      </c>
      <c r="H98" t="s">
        <v>407</v>
      </c>
      <c r="I98">
        <v>440</v>
      </c>
      <c r="J98">
        <f t="shared" si="20"/>
        <v>3.4641016151377544</v>
      </c>
      <c r="K98">
        <f t="shared" ref="K98:K101" si="28">ROUND(J:J,1)</f>
        <v>3.5</v>
      </c>
      <c r="L98">
        <f>SUM(basicformulas[[#This Row],[sqrt]:[roung]])</f>
        <v>6.9641016151377544</v>
      </c>
      <c r="M98" t="str">
        <f t="shared" si="22"/>
        <v>S</v>
      </c>
      <c r="N98" t="str">
        <f>RIGHT(basicformulas[[#This Row],[Product]],5)</f>
        <v>akers</v>
      </c>
      <c r="O98">
        <f t="shared" si="23"/>
        <v>9.9700000000000006</v>
      </c>
      <c r="P98">
        <f t="shared" si="24"/>
        <v>1</v>
      </c>
      <c r="Q98">
        <f t="shared" si="25"/>
        <v>20</v>
      </c>
      <c r="R98">
        <f t="shared" si="26"/>
        <v>4299</v>
      </c>
      <c r="S98">
        <f>RANK(basicformulas[[#This Row],[Quantity Sold]],F:F)</f>
        <v>37</v>
      </c>
      <c r="T98">
        <f t="shared" si="27"/>
        <v>8</v>
      </c>
    </row>
    <row r="99" spans="1:20" x14ac:dyDescent="0.25">
      <c r="A99" s="2">
        <v>45679</v>
      </c>
      <c r="B99" t="s">
        <v>80</v>
      </c>
      <c r="C99" t="s">
        <v>82</v>
      </c>
      <c r="D99" t="s">
        <v>87</v>
      </c>
      <c r="E99">
        <v>3835</v>
      </c>
      <c r="F99">
        <v>5</v>
      </c>
      <c r="G99" t="s">
        <v>405</v>
      </c>
      <c r="H99" t="s">
        <v>408</v>
      </c>
      <c r="I99">
        <v>502</v>
      </c>
      <c r="J99">
        <f t="shared" si="20"/>
        <v>2.2360679774997898</v>
      </c>
      <c r="K99">
        <f t="shared" si="28"/>
        <v>2.2000000000000002</v>
      </c>
      <c r="L99">
        <f>SUM(basicformulas[[#This Row],[sqrt]:[roung]])</f>
        <v>4.43606797749979</v>
      </c>
      <c r="M99" t="str">
        <f t="shared" si="22"/>
        <v>L</v>
      </c>
      <c r="N99" t="str">
        <f>RIGHT(basicformulas[[#This Row],[Product]],5)</f>
        <v>aptop</v>
      </c>
      <c r="O99">
        <f t="shared" si="23"/>
        <v>9.9700000000000006</v>
      </c>
      <c r="P99">
        <f t="shared" si="24"/>
        <v>1</v>
      </c>
      <c r="Q99">
        <f t="shared" si="25"/>
        <v>20</v>
      </c>
      <c r="R99">
        <f t="shared" si="26"/>
        <v>4299</v>
      </c>
      <c r="S99">
        <f>RANK(basicformulas[[#This Row],[Quantity Sold]],F:F)</f>
        <v>72</v>
      </c>
      <c r="T99">
        <f t="shared" si="27"/>
        <v>6</v>
      </c>
    </row>
    <row r="100" spans="1:20" x14ac:dyDescent="0.25">
      <c r="A100" s="2">
        <v>45711</v>
      </c>
      <c r="B100" t="s">
        <v>75</v>
      </c>
      <c r="C100" t="s">
        <v>83</v>
      </c>
      <c r="D100" t="s">
        <v>85</v>
      </c>
      <c r="E100">
        <v>2460</v>
      </c>
      <c r="F100">
        <v>12</v>
      </c>
      <c r="G100" t="s">
        <v>403</v>
      </c>
      <c r="H100" t="s">
        <v>406</v>
      </c>
      <c r="I100">
        <v>470</v>
      </c>
      <c r="J100">
        <f t="shared" si="20"/>
        <v>3.4641016151377544</v>
      </c>
      <c r="K100">
        <f t="shared" si="28"/>
        <v>3.5</v>
      </c>
      <c r="L100">
        <f>SUM(basicformulas[[#This Row],[sqrt]:[roung]])</f>
        <v>6.9641016151377544</v>
      </c>
      <c r="M100" t="str">
        <f t="shared" si="22"/>
        <v>S</v>
      </c>
      <c r="N100" t="str">
        <f>RIGHT(basicformulas[[#This Row],[Product]],5)</f>
        <v>Shirt</v>
      </c>
      <c r="O100">
        <f t="shared" si="23"/>
        <v>9.9700000000000006</v>
      </c>
      <c r="P100">
        <f t="shared" si="24"/>
        <v>1</v>
      </c>
      <c r="Q100">
        <f t="shared" si="25"/>
        <v>20</v>
      </c>
      <c r="R100">
        <f t="shared" si="26"/>
        <v>4299</v>
      </c>
      <c r="S100">
        <f>RANK(basicformulas[[#This Row],[Quantity Sold]],F:F)</f>
        <v>37</v>
      </c>
      <c r="T100">
        <f t="shared" si="27"/>
        <v>5</v>
      </c>
    </row>
    <row r="101" spans="1:20" x14ac:dyDescent="0.25">
      <c r="A101" s="2">
        <v>45693</v>
      </c>
      <c r="B101" t="s">
        <v>78</v>
      </c>
      <c r="C101" t="s">
        <v>84</v>
      </c>
      <c r="D101" t="s">
        <v>88</v>
      </c>
      <c r="E101">
        <v>3941</v>
      </c>
      <c r="F101">
        <v>7</v>
      </c>
      <c r="G101" t="s">
        <v>403</v>
      </c>
      <c r="H101" t="s">
        <v>406</v>
      </c>
      <c r="I101">
        <v>488</v>
      </c>
      <c r="J101">
        <f t="shared" si="20"/>
        <v>2.6457513110645907</v>
      </c>
      <c r="K101">
        <f t="shared" si="28"/>
        <v>2.6</v>
      </c>
      <c r="L101">
        <f>SUM(basicformulas[[#This Row],[sqrt]:[roung]])</f>
        <v>5.2457513110645912</v>
      </c>
      <c r="M101" t="str">
        <f t="shared" si="22"/>
        <v>B</v>
      </c>
      <c r="N101" t="str">
        <f>RIGHT(basicformulas[[#This Row],[Product]],5)</f>
        <v>ender</v>
      </c>
      <c r="O101">
        <f t="shared" si="23"/>
        <v>9.9700000000000006</v>
      </c>
      <c r="P101">
        <f t="shared" si="24"/>
        <v>1</v>
      </c>
      <c r="Q101">
        <f t="shared" si="25"/>
        <v>20</v>
      </c>
      <c r="R101">
        <f t="shared" si="26"/>
        <v>4299</v>
      </c>
      <c r="S101">
        <f>RANK(basicformulas[[#This Row],[Quantity Sold]],F:F)</f>
        <v>63</v>
      </c>
      <c r="T101">
        <f t="shared" si="27"/>
        <v>7</v>
      </c>
    </row>
    <row r="165" spans="23:24" x14ac:dyDescent="0.25">
      <c r="W165">
        <v>10</v>
      </c>
      <c r="X165">
        <f>RANK(W165,W165:W169)</f>
        <v>4</v>
      </c>
    </row>
    <row r="166" spans="23:24" x14ac:dyDescent="0.25">
      <c r="W166">
        <v>10</v>
      </c>
      <c r="X166">
        <f t="shared" ref="X166:X169" si="29">RANK(W166,W166:W170)</f>
        <v>5</v>
      </c>
    </row>
    <row r="167" spans="23:24" x14ac:dyDescent="0.25">
      <c r="W167">
        <v>40</v>
      </c>
      <c r="X167">
        <f t="shared" si="29"/>
        <v>3</v>
      </c>
    </row>
    <row r="168" spans="23:24" x14ac:dyDescent="0.25">
      <c r="W168">
        <v>40</v>
      </c>
      <c r="X168">
        <f t="shared" si="29"/>
        <v>3</v>
      </c>
    </row>
    <row r="169" spans="23:24" x14ac:dyDescent="0.25">
      <c r="W169">
        <v>50</v>
      </c>
      <c r="X169">
        <f t="shared" si="29"/>
        <v>2</v>
      </c>
    </row>
    <row r="170" spans="23:24" x14ac:dyDescent="0.25">
      <c r="W170">
        <v>60</v>
      </c>
      <c r="X170">
        <f>RANK(W170,W170:W174)</f>
        <v>1</v>
      </c>
    </row>
  </sheetData>
  <phoneticPr fontId="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C257C-980A-4765-AB2F-81D90AA0B9D2}">
  <sheetPr codeName="Sheet2"/>
  <dimension ref="F9:N23"/>
  <sheetViews>
    <sheetView workbookViewId="0">
      <selection activeCell="N21" sqref="N21"/>
    </sheetView>
  </sheetViews>
  <sheetFormatPr defaultRowHeight="15" x14ac:dyDescent="0.25"/>
  <sheetData>
    <row r="9" spans="6:14" x14ac:dyDescent="0.25">
      <c r="G9" t="s">
        <v>98</v>
      </c>
      <c r="I9" t="s">
        <v>111</v>
      </c>
      <c r="L9" t="s">
        <v>111</v>
      </c>
    </row>
    <row r="10" spans="6:14" x14ac:dyDescent="0.25">
      <c r="F10">
        <v>10</v>
      </c>
      <c r="G10">
        <f>RANK(F10,F10:F17)</f>
        <v>8</v>
      </c>
      <c r="I10">
        <v>60</v>
      </c>
      <c r="K10" cm="1">
        <f t="array" ref="K10">COUNT(_xlfn.UNIQUE(_xlfn._xlws.FILTER($F$10:$F$17,$F$10:$F$17&gt;F10)))+1</f>
        <v>6</v>
      </c>
      <c r="L10">
        <v>6</v>
      </c>
      <c r="N10" cm="1">
        <f t="array" ref="N10">COUNT(_xlfn.UNIQUE(_xlfn._xlws.FILTER($F$10:$F$17,$F$10:$F$17&gt;F10)))+1</f>
        <v>6</v>
      </c>
    </row>
    <row r="11" spans="6:14" x14ac:dyDescent="0.25">
      <c r="F11">
        <v>20</v>
      </c>
      <c r="G11">
        <f t="shared" ref="G11:G17" si="0">RANK(F11,F11:F18)</f>
        <v>7</v>
      </c>
      <c r="I11">
        <v>50</v>
      </c>
      <c r="K11" cm="1">
        <f t="array" ref="K11">COUNT(_xlfn.UNIQUE(_xlfn._xlws.FILTER($F$10:$F$17,$F$10:$F$17&gt;F11)))+1</f>
        <v>5</v>
      </c>
      <c r="L11">
        <v>5</v>
      </c>
      <c r="N11" cm="1">
        <f t="array" ref="N11">COUNT(_xlfn.UNIQUE(_xlfn._xlws.FILTER($F$10:$F$17,$F$10:$F$17&gt;F11)))+1</f>
        <v>5</v>
      </c>
    </row>
    <row r="12" spans="6:14" x14ac:dyDescent="0.25">
      <c r="F12">
        <v>30</v>
      </c>
      <c r="G12">
        <f t="shared" si="0"/>
        <v>5</v>
      </c>
      <c r="I12">
        <v>50</v>
      </c>
      <c r="K12" cm="1">
        <f t="array" ref="K12">COUNT(_xlfn.UNIQUE(_xlfn._xlws.FILTER($F$10:$F$17,$F$10:$F$17&gt;F12)))+1</f>
        <v>4</v>
      </c>
      <c r="L12">
        <v>4</v>
      </c>
      <c r="N12" cm="1">
        <f t="array" ref="N12">COUNT(_xlfn.UNIQUE(_xlfn._xlws.FILTER($F$10:$F$17,$F$10:$F$17&gt;F12)))+1</f>
        <v>4</v>
      </c>
    </row>
    <row r="13" spans="6:14" x14ac:dyDescent="0.25">
      <c r="F13">
        <v>30</v>
      </c>
      <c r="G13">
        <f t="shared" si="0"/>
        <v>5</v>
      </c>
      <c r="I13">
        <v>40</v>
      </c>
      <c r="K13" cm="1">
        <f t="array" ref="K13">COUNT(_xlfn.UNIQUE(_xlfn._xlws.FILTER($F$10:$F$17,$F$10:$F$17&gt;F13)))+1</f>
        <v>4</v>
      </c>
      <c r="L13">
        <v>4</v>
      </c>
      <c r="N13" cm="1">
        <f t="array" ref="N13">COUNT(_xlfn.UNIQUE(_xlfn._xlws.FILTER($F$10:$F$17,$F$10:$F$17&gt;F13)))+1</f>
        <v>4</v>
      </c>
    </row>
    <row r="14" spans="6:14" x14ac:dyDescent="0.25">
      <c r="F14">
        <v>40</v>
      </c>
      <c r="G14">
        <f t="shared" si="0"/>
        <v>4</v>
      </c>
      <c r="I14">
        <v>30</v>
      </c>
      <c r="K14" cm="1">
        <f t="array" ref="K14">COUNT(_xlfn.UNIQUE(_xlfn._xlws.FILTER($F$10:$F$17,$F$10:$F$17&gt;F14)))+1</f>
        <v>3</v>
      </c>
      <c r="L14">
        <v>3</v>
      </c>
      <c r="N14" cm="1">
        <f t="array" ref="N14">COUNT(_xlfn.UNIQUE(_xlfn._xlws.FILTER($F$10:$F$17,$F$10:$F$17&gt;F14)))+1</f>
        <v>3</v>
      </c>
    </row>
    <row r="15" spans="6:14" x14ac:dyDescent="0.25">
      <c r="F15">
        <v>50</v>
      </c>
      <c r="G15">
        <f t="shared" si="0"/>
        <v>2</v>
      </c>
      <c r="I15">
        <v>30</v>
      </c>
      <c r="K15" cm="1">
        <f t="array" ref="K15">COUNT(_xlfn.UNIQUE(_xlfn._xlws.FILTER($F$10:$F$17,$F$10:$F$17&gt;F15)))+1</f>
        <v>2</v>
      </c>
      <c r="L15">
        <v>2</v>
      </c>
      <c r="N15" cm="1">
        <f t="array" ref="N15">COUNT(_xlfn.UNIQUE(_xlfn._xlws.FILTER($F$10:$F$17,$F$10:$F$17&gt;F15)))+1</f>
        <v>2</v>
      </c>
    </row>
    <row r="16" spans="6:14" x14ac:dyDescent="0.25">
      <c r="F16">
        <v>50</v>
      </c>
      <c r="G16">
        <f t="shared" si="0"/>
        <v>2</v>
      </c>
      <c r="I16">
        <v>20</v>
      </c>
      <c r="K16" cm="1">
        <f t="array" ref="K16">COUNT(_xlfn.UNIQUE(_xlfn._xlws.FILTER($F$10:$F$17,$F$10:$F$17&gt;F16)))+1</f>
        <v>2</v>
      </c>
      <c r="L16">
        <v>2</v>
      </c>
      <c r="N16" cm="1">
        <f t="array" ref="N16">COUNT(_xlfn.UNIQUE(_xlfn._xlws.FILTER($F$10:$F$17,$F$10:$F$17&gt;F16)))+1</f>
        <v>2</v>
      </c>
    </row>
    <row r="17" spans="6:14" x14ac:dyDescent="0.25">
      <c r="F17">
        <v>60</v>
      </c>
      <c r="G17">
        <f t="shared" si="0"/>
        <v>1</v>
      </c>
      <c r="I17">
        <v>10</v>
      </c>
      <c r="K17" cm="1">
        <f t="array" ref="K17">COUNT(_xlfn.UNIQUE(_xlfn._xlws.FILTER($F$10:$F$17,$F$10:$F$17&gt;F17)))+1</f>
        <v>1</v>
      </c>
      <c r="L17">
        <v>1</v>
      </c>
      <c r="N17" cm="1">
        <f t="array" ref="N17">COUNT(_xlfn.UNIQUE(_xlfn._xlws.FILTER($F$10:$F$17,$F$10:$F$17&gt;F17)))+1</f>
        <v>1</v>
      </c>
    </row>
    <row r="21" spans="6:14" x14ac:dyDescent="0.25">
      <c r="F21" t="s">
        <v>113</v>
      </c>
    </row>
    <row r="23" spans="6:14" x14ac:dyDescent="0.25">
      <c r="G23">
        <f>COUNT(F10:F17)</f>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EDCE7-16B2-40BB-AD31-2CDDE81D755B}">
  <sheetPr codeName="Sheet3"/>
  <dimension ref="A1:U101"/>
  <sheetViews>
    <sheetView topLeftCell="A4" workbookViewId="0">
      <selection activeCell="R22" sqref="R22"/>
    </sheetView>
  </sheetViews>
  <sheetFormatPr defaultRowHeight="15" x14ac:dyDescent="0.25"/>
  <cols>
    <col min="1" max="1" width="10.425781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2" max="12" width="10.42578125" bestFit="1" customWidth="1"/>
    <col min="14" max="14" width="15.42578125" customWidth="1"/>
    <col min="16" max="16" width="10.42578125" bestFit="1" customWidth="1"/>
  </cols>
  <sheetData>
    <row r="1" spans="1:16" x14ac:dyDescent="0.25">
      <c r="A1" t="s">
        <v>0</v>
      </c>
      <c r="B1" t="s">
        <v>1</v>
      </c>
      <c r="C1" t="s">
        <v>2</v>
      </c>
      <c r="D1" t="s">
        <v>3</v>
      </c>
      <c r="E1" t="s">
        <v>4</v>
      </c>
      <c r="F1" t="s">
        <v>5</v>
      </c>
      <c r="G1" t="s">
        <v>402</v>
      </c>
      <c r="H1" t="s">
        <v>401</v>
      </c>
      <c r="I1" t="s">
        <v>400</v>
      </c>
    </row>
    <row r="2" spans="1:16" x14ac:dyDescent="0.25">
      <c r="A2" s="2">
        <v>45697</v>
      </c>
      <c r="B2" t="s">
        <v>73</v>
      </c>
      <c r="C2" t="s">
        <v>81</v>
      </c>
      <c r="D2" t="s">
        <v>85</v>
      </c>
      <c r="E2">
        <v>4050</v>
      </c>
      <c r="F2">
        <v>18</v>
      </c>
      <c r="G2" t="s">
        <v>403</v>
      </c>
      <c r="H2" t="s">
        <v>406</v>
      </c>
      <c r="I2">
        <v>484</v>
      </c>
    </row>
    <row r="3" spans="1:16" x14ac:dyDescent="0.25">
      <c r="A3" s="2">
        <v>45734</v>
      </c>
      <c r="B3" t="s">
        <v>74</v>
      </c>
      <c r="C3" t="s">
        <v>82</v>
      </c>
      <c r="D3" t="s">
        <v>86</v>
      </c>
      <c r="E3">
        <v>7875</v>
      </c>
      <c r="F3">
        <v>15</v>
      </c>
      <c r="G3" t="s">
        <v>404</v>
      </c>
      <c r="H3" t="s">
        <v>407</v>
      </c>
      <c r="I3">
        <v>447</v>
      </c>
    </row>
    <row r="4" spans="1:16" x14ac:dyDescent="0.25">
      <c r="A4" s="2">
        <v>45676</v>
      </c>
      <c r="B4" t="s">
        <v>75</v>
      </c>
      <c r="C4" t="s">
        <v>83</v>
      </c>
      <c r="D4" t="s">
        <v>85</v>
      </c>
      <c r="E4">
        <v>5832</v>
      </c>
      <c r="F4">
        <v>6</v>
      </c>
      <c r="G4" t="s">
        <v>405</v>
      </c>
      <c r="H4" t="s">
        <v>408</v>
      </c>
      <c r="I4">
        <v>505</v>
      </c>
    </row>
    <row r="5" spans="1:16" x14ac:dyDescent="0.25">
      <c r="A5" s="2">
        <v>45694</v>
      </c>
      <c r="B5" t="s">
        <v>76</v>
      </c>
      <c r="C5" t="s">
        <v>84</v>
      </c>
      <c r="D5" t="s">
        <v>85</v>
      </c>
      <c r="E5">
        <v>676</v>
      </c>
      <c r="F5">
        <v>4</v>
      </c>
      <c r="G5" t="s">
        <v>403</v>
      </c>
      <c r="H5" t="s">
        <v>406</v>
      </c>
      <c r="I5">
        <v>487</v>
      </c>
    </row>
    <row r="6" spans="1:16" x14ac:dyDescent="0.25">
      <c r="A6" s="2">
        <v>45693</v>
      </c>
      <c r="B6" t="s">
        <v>74</v>
      </c>
      <c r="C6" t="s">
        <v>82</v>
      </c>
      <c r="D6" t="s">
        <v>87</v>
      </c>
      <c r="E6">
        <v>6560</v>
      </c>
      <c r="F6">
        <v>10</v>
      </c>
      <c r="G6" t="s">
        <v>403</v>
      </c>
      <c r="H6" t="s">
        <v>406</v>
      </c>
      <c r="I6">
        <v>488</v>
      </c>
    </row>
    <row r="7" spans="1:16" x14ac:dyDescent="0.25">
      <c r="A7" s="2">
        <v>45775</v>
      </c>
      <c r="B7" t="s">
        <v>76</v>
      </c>
      <c r="C7" t="s">
        <v>84</v>
      </c>
      <c r="D7" t="s">
        <v>87</v>
      </c>
      <c r="E7">
        <v>1905</v>
      </c>
      <c r="F7">
        <v>5</v>
      </c>
      <c r="G7" t="s">
        <v>404</v>
      </c>
      <c r="H7" t="s">
        <v>409</v>
      </c>
      <c r="I7">
        <v>406</v>
      </c>
    </row>
    <row r="8" spans="1:16" x14ac:dyDescent="0.25">
      <c r="A8" s="2">
        <v>45720</v>
      </c>
      <c r="B8" t="s">
        <v>77</v>
      </c>
      <c r="C8" t="s">
        <v>83</v>
      </c>
      <c r="D8" t="s">
        <v>86</v>
      </c>
      <c r="E8">
        <v>6948</v>
      </c>
      <c r="F8">
        <v>18</v>
      </c>
      <c r="G8" t="s">
        <v>403</v>
      </c>
      <c r="H8" t="s">
        <v>407</v>
      </c>
      <c r="I8">
        <v>461</v>
      </c>
    </row>
    <row r="9" spans="1:16" x14ac:dyDescent="0.25">
      <c r="A9" s="2">
        <v>45764</v>
      </c>
      <c r="B9" t="s">
        <v>77</v>
      </c>
      <c r="C9" t="s">
        <v>83</v>
      </c>
      <c r="D9" t="s">
        <v>85</v>
      </c>
      <c r="E9">
        <v>1944</v>
      </c>
      <c r="F9">
        <v>18</v>
      </c>
      <c r="G9" t="s">
        <v>404</v>
      </c>
      <c r="H9" t="s">
        <v>409</v>
      </c>
      <c r="I9">
        <v>417</v>
      </c>
      <c r="L9" t="s">
        <v>114</v>
      </c>
      <c r="N9" t="s">
        <v>115</v>
      </c>
      <c r="P9" t="s">
        <v>116</v>
      </c>
    </row>
    <row r="10" spans="1:16" x14ac:dyDescent="0.25">
      <c r="A10" s="2">
        <v>45735</v>
      </c>
      <c r="B10" t="s">
        <v>78</v>
      </c>
      <c r="C10" t="s">
        <v>84</v>
      </c>
      <c r="D10" t="s">
        <v>85</v>
      </c>
      <c r="E10">
        <v>7776</v>
      </c>
      <c r="F10">
        <v>8</v>
      </c>
      <c r="G10" t="s">
        <v>404</v>
      </c>
      <c r="H10" t="s">
        <v>407</v>
      </c>
      <c r="I10">
        <v>446</v>
      </c>
      <c r="L10">
        <f ca="1">NETWORKDAYS(A2,TODAY())</f>
        <v>346</v>
      </c>
      <c r="P10" s="5" t="b">
        <f ca="1">P18=EOMONTH(TODAY(),2)</f>
        <v>1</v>
      </c>
    </row>
    <row r="11" spans="1:16" x14ac:dyDescent="0.25">
      <c r="A11" s="2">
        <v>45778</v>
      </c>
      <c r="B11" t="s">
        <v>74</v>
      </c>
      <c r="C11" t="s">
        <v>82</v>
      </c>
      <c r="D11" t="s">
        <v>86</v>
      </c>
      <c r="E11">
        <v>2790</v>
      </c>
      <c r="F11">
        <v>18</v>
      </c>
      <c r="G11" t="s">
        <v>404</v>
      </c>
      <c r="H11" t="s">
        <v>410</v>
      </c>
      <c r="I11">
        <v>403</v>
      </c>
    </row>
    <row r="12" spans="1:16" x14ac:dyDescent="0.25">
      <c r="A12" s="2">
        <v>45693</v>
      </c>
      <c r="B12" t="s">
        <v>75</v>
      </c>
      <c r="C12" t="s">
        <v>83</v>
      </c>
      <c r="D12" t="s">
        <v>86</v>
      </c>
      <c r="E12">
        <v>7995</v>
      </c>
      <c r="F12">
        <v>13</v>
      </c>
      <c r="G12" t="s">
        <v>403</v>
      </c>
      <c r="H12" t="s">
        <v>406</v>
      </c>
      <c r="I12">
        <v>488</v>
      </c>
      <c r="P12" s="5">
        <f ca="1">EOMONTH(TODAY(),8)</f>
        <v>46446</v>
      </c>
    </row>
    <row r="13" spans="1:16" x14ac:dyDescent="0.25">
      <c r="A13" s="2">
        <v>45677</v>
      </c>
      <c r="B13" t="s">
        <v>75</v>
      </c>
      <c r="C13" t="s">
        <v>83</v>
      </c>
      <c r="D13" t="s">
        <v>85</v>
      </c>
      <c r="E13">
        <v>9984</v>
      </c>
      <c r="F13">
        <v>13</v>
      </c>
      <c r="G13" t="s">
        <v>405</v>
      </c>
      <c r="H13" t="s">
        <v>408</v>
      </c>
      <c r="I13">
        <v>504</v>
      </c>
    </row>
    <row r="14" spans="1:16" x14ac:dyDescent="0.25">
      <c r="A14" s="2">
        <v>45739</v>
      </c>
      <c r="B14" t="s">
        <v>75</v>
      </c>
      <c r="C14" t="s">
        <v>83</v>
      </c>
      <c r="D14" t="s">
        <v>87</v>
      </c>
      <c r="E14">
        <v>7683</v>
      </c>
      <c r="F14">
        <v>13</v>
      </c>
      <c r="G14" t="s">
        <v>404</v>
      </c>
      <c r="H14" t="s">
        <v>407</v>
      </c>
      <c r="I14">
        <v>442</v>
      </c>
    </row>
    <row r="15" spans="1:16" x14ac:dyDescent="0.25">
      <c r="A15" s="2">
        <v>45699</v>
      </c>
      <c r="B15" t="s">
        <v>76</v>
      </c>
      <c r="C15" t="s">
        <v>84</v>
      </c>
      <c r="D15" t="s">
        <v>88</v>
      </c>
      <c r="E15">
        <v>6885</v>
      </c>
      <c r="F15">
        <v>9</v>
      </c>
      <c r="G15" t="s">
        <v>403</v>
      </c>
      <c r="H15" t="s">
        <v>406</v>
      </c>
      <c r="I15">
        <v>482</v>
      </c>
    </row>
    <row r="16" spans="1:16" x14ac:dyDescent="0.25">
      <c r="A16" s="2">
        <v>45767</v>
      </c>
      <c r="B16" t="s">
        <v>79</v>
      </c>
      <c r="C16" t="s">
        <v>81</v>
      </c>
      <c r="D16" t="s">
        <v>87</v>
      </c>
      <c r="E16">
        <v>229</v>
      </c>
      <c r="F16">
        <v>1</v>
      </c>
      <c r="G16" t="s">
        <v>404</v>
      </c>
      <c r="H16" t="s">
        <v>409</v>
      </c>
      <c r="I16">
        <v>414</v>
      </c>
    </row>
    <row r="17" spans="1:21" x14ac:dyDescent="0.25">
      <c r="A17" s="2">
        <v>45735</v>
      </c>
      <c r="B17" t="s">
        <v>80</v>
      </c>
      <c r="C17" t="s">
        <v>82</v>
      </c>
      <c r="D17" t="s">
        <v>87</v>
      </c>
      <c r="E17">
        <v>6104</v>
      </c>
      <c r="F17">
        <v>7</v>
      </c>
      <c r="G17" t="s">
        <v>404</v>
      </c>
      <c r="H17" t="s">
        <v>407</v>
      </c>
      <c r="I17">
        <v>446</v>
      </c>
      <c r="L17" s="3" t="s">
        <v>122</v>
      </c>
      <c r="N17" s="3" t="s">
        <v>117</v>
      </c>
      <c r="P17" s="3" t="s">
        <v>118</v>
      </c>
      <c r="R17" s="3" t="s">
        <v>119</v>
      </c>
      <c r="S17" s="3" t="s">
        <v>120</v>
      </c>
      <c r="T17" s="3" t="s">
        <v>121</v>
      </c>
      <c r="U17" s="3" t="s">
        <v>123</v>
      </c>
    </row>
    <row r="18" spans="1:21" x14ac:dyDescent="0.25">
      <c r="A18" s="2">
        <v>45722</v>
      </c>
      <c r="B18" t="s">
        <v>78</v>
      </c>
      <c r="C18" t="s">
        <v>84</v>
      </c>
      <c r="D18" t="s">
        <v>85</v>
      </c>
      <c r="E18">
        <v>558</v>
      </c>
      <c r="F18">
        <v>1</v>
      </c>
      <c r="G18" t="s">
        <v>403</v>
      </c>
      <c r="H18" t="s">
        <v>407</v>
      </c>
      <c r="I18">
        <v>459</v>
      </c>
      <c r="L18" s="2">
        <f ca="1">TODAY()</f>
        <v>46181</v>
      </c>
      <c r="N18">
        <f ca="1">NETWORKDAYS(A2,TODAY())</f>
        <v>346</v>
      </c>
      <c r="P18" s="5">
        <f ca="1">EOMONTH(TODAY(),2)</f>
        <v>46265</v>
      </c>
      <c r="R18">
        <f ca="1">YEAR(TODAY())</f>
        <v>2026</v>
      </c>
      <c r="S18">
        <f ca="1">MONTH(TODAY())</f>
        <v>6</v>
      </c>
      <c r="T18">
        <f ca="1">DAY(TODAY())</f>
        <v>8</v>
      </c>
      <c r="U18">
        <f ca="1">WEEKDAY(TODAY(),2)</f>
        <v>1</v>
      </c>
    </row>
    <row r="19" spans="1:21" x14ac:dyDescent="0.25">
      <c r="A19" s="2">
        <v>45741</v>
      </c>
      <c r="B19" t="s">
        <v>76</v>
      </c>
      <c r="C19" t="s">
        <v>84</v>
      </c>
      <c r="D19" t="s">
        <v>85</v>
      </c>
      <c r="E19">
        <v>6413</v>
      </c>
      <c r="F19">
        <v>11</v>
      </c>
      <c r="G19" t="s">
        <v>404</v>
      </c>
      <c r="H19" t="s">
        <v>407</v>
      </c>
      <c r="I19">
        <v>440</v>
      </c>
      <c r="R19">
        <f ca="1">YEAR(L18+265)</f>
        <v>2027</v>
      </c>
      <c r="S19">
        <f ca="1">MONTH(L18+50)</f>
        <v>7</v>
      </c>
      <c r="U19">
        <f ca="1">WEEKDAY(L18)</f>
        <v>2</v>
      </c>
    </row>
    <row r="20" spans="1:21" x14ac:dyDescent="0.25">
      <c r="A20" s="2">
        <v>45732</v>
      </c>
      <c r="B20" t="s">
        <v>74</v>
      </c>
      <c r="C20" t="s">
        <v>82</v>
      </c>
      <c r="D20" t="s">
        <v>88</v>
      </c>
      <c r="E20">
        <v>1017</v>
      </c>
      <c r="F20">
        <v>9</v>
      </c>
      <c r="G20" t="s">
        <v>404</v>
      </c>
      <c r="H20" t="s">
        <v>407</v>
      </c>
      <c r="I20">
        <v>449</v>
      </c>
      <c r="N20">
        <f ca="1">NETWORKDAYS(L18,"10-06-2026")</f>
        <v>3</v>
      </c>
    </row>
    <row r="21" spans="1:21" x14ac:dyDescent="0.25">
      <c r="A21" s="2">
        <v>45721</v>
      </c>
      <c r="B21" t="s">
        <v>80</v>
      </c>
      <c r="C21" t="s">
        <v>82</v>
      </c>
      <c r="D21" t="s">
        <v>86</v>
      </c>
      <c r="E21">
        <v>9310</v>
      </c>
      <c r="F21">
        <v>10</v>
      </c>
      <c r="G21" t="s">
        <v>403</v>
      </c>
      <c r="H21" t="s">
        <v>407</v>
      </c>
      <c r="I21">
        <v>460</v>
      </c>
      <c r="U21" t="str">
        <f ca="1">TEXT(L18,"DDDD")</f>
        <v>Monday</v>
      </c>
    </row>
    <row r="22" spans="1:21" x14ac:dyDescent="0.25">
      <c r="A22" s="2">
        <v>45703</v>
      </c>
      <c r="B22" t="s">
        <v>75</v>
      </c>
      <c r="C22" t="s">
        <v>83</v>
      </c>
      <c r="D22" t="s">
        <v>87</v>
      </c>
      <c r="E22">
        <v>2560</v>
      </c>
      <c r="F22">
        <v>4</v>
      </c>
      <c r="G22" t="s">
        <v>403</v>
      </c>
      <c r="H22" t="s">
        <v>406</v>
      </c>
      <c r="I22">
        <v>478</v>
      </c>
    </row>
    <row r="23" spans="1:21" x14ac:dyDescent="0.25">
      <c r="A23" s="2">
        <v>45681</v>
      </c>
      <c r="B23" t="s">
        <v>76</v>
      </c>
      <c r="C23" t="s">
        <v>84</v>
      </c>
      <c r="D23" t="s">
        <v>86</v>
      </c>
      <c r="E23">
        <v>6855</v>
      </c>
      <c r="F23">
        <v>15</v>
      </c>
      <c r="G23" t="s">
        <v>403</v>
      </c>
      <c r="H23" t="s">
        <v>408</v>
      </c>
      <c r="I23">
        <v>500</v>
      </c>
    </row>
    <row r="24" spans="1:21" x14ac:dyDescent="0.25">
      <c r="A24" s="2">
        <v>45663</v>
      </c>
      <c r="B24" t="s">
        <v>78</v>
      </c>
      <c r="C24" t="s">
        <v>84</v>
      </c>
      <c r="D24" t="s">
        <v>86</v>
      </c>
      <c r="E24">
        <v>7398</v>
      </c>
      <c r="F24">
        <v>9</v>
      </c>
      <c r="G24" t="s">
        <v>405</v>
      </c>
      <c r="H24" t="s">
        <v>408</v>
      </c>
      <c r="I24">
        <v>518</v>
      </c>
    </row>
    <row r="25" spans="1:21" x14ac:dyDescent="0.25">
      <c r="A25" s="2">
        <v>45660</v>
      </c>
      <c r="B25" t="s">
        <v>74</v>
      </c>
      <c r="C25" t="s">
        <v>82</v>
      </c>
      <c r="D25" t="s">
        <v>85</v>
      </c>
      <c r="E25">
        <v>2094</v>
      </c>
      <c r="F25">
        <v>6</v>
      </c>
      <c r="G25" t="s">
        <v>405</v>
      </c>
      <c r="H25" t="s">
        <v>408</v>
      </c>
      <c r="I25">
        <v>521</v>
      </c>
      <c r="K25" s="3" t="s">
        <v>124</v>
      </c>
      <c r="L25" s="2">
        <f>DATE(2026,6,1)</f>
        <v>46174</v>
      </c>
    </row>
    <row r="26" spans="1:21" x14ac:dyDescent="0.25">
      <c r="A26" s="2">
        <v>45701</v>
      </c>
      <c r="B26" t="s">
        <v>74</v>
      </c>
      <c r="C26" t="s">
        <v>82</v>
      </c>
      <c r="D26" t="s">
        <v>88</v>
      </c>
      <c r="E26">
        <v>3996</v>
      </c>
      <c r="F26">
        <v>4</v>
      </c>
      <c r="G26" t="s">
        <v>403</v>
      </c>
      <c r="H26" t="s">
        <v>406</v>
      </c>
      <c r="I26">
        <v>480</v>
      </c>
    </row>
    <row r="27" spans="1:21" x14ac:dyDescent="0.25">
      <c r="A27" s="2">
        <v>45679</v>
      </c>
      <c r="B27" t="s">
        <v>78</v>
      </c>
      <c r="C27" t="s">
        <v>84</v>
      </c>
      <c r="D27" t="s">
        <v>87</v>
      </c>
      <c r="E27">
        <v>4884</v>
      </c>
      <c r="F27">
        <v>6</v>
      </c>
      <c r="G27" t="s">
        <v>405</v>
      </c>
      <c r="H27" t="s">
        <v>408</v>
      </c>
      <c r="I27">
        <v>502</v>
      </c>
    </row>
    <row r="28" spans="1:21" x14ac:dyDescent="0.25">
      <c r="A28" s="2">
        <v>45693</v>
      </c>
      <c r="B28" t="s">
        <v>77</v>
      </c>
      <c r="C28" t="s">
        <v>83</v>
      </c>
      <c r="D28" t="s">
        <v>88</v>
      </c>
      <c r="E28">
        <v>1767</v>
      </c>
      <c r="F28">
        <v>3</v>
      </c>
      <c r="G28" t="s">
        <v>403</v>
      </c>
      <c r="H28" t="s">
        <v>406</v>
      </c>
      <c r="I28">
        <v>488</v>
      </c>
    </row>
    <row r="29" spans="1:21" x14ac:dyDescent="0.25">
      <c r="A29" s="2">
        <v>45744</v>
      </c>
      <c r="B29" t="s">
        <v>78</v>
      </c>
      <c r="C29" t="s">
        <v>84</v>
      </c>
      <c r="D29" t="s">
        <v>85</v>
      </c>
      <c r="E29">
        <v>7840</v>
      </c>
      <c r="F29">
        <v>14</v>
      </c>
      <c r="G29" t="s">
        <v>404</v>
      </c>
      <c r="H29" t="s">
        <v>407</v>
      </c>
      <c r="I29">
        <v>437</v>
      </c>
    </row>
    <row r="30" spans="1:21" x14ac:dyDescent="0.25">
      <c r="A30" s="2">
        <v>45670</v>
      </c>
      <c r="B30" t="s">
        <v>78</v>
      </c>
      <c r="C30" t="s">
        <v>84</v>
      </c>
      <c r="D30" t="s">
        <v>86</v>
      </c>
      <c r="E30">
        <v>4806</v>
      </c>
      <c r="F30">
        <v>6</v>
      </c>
      <c r="G30" t="s">
        <v>405</v>
      </c>
      <c r="H30" t="s">
        <v>408</v>
      </c>
      <c r="I30">
        <v>511</v>
      </c>
    </row>
    <row r="31" spans="1:21" x14ac:dyDescent="0.25">
      <c r="A31" s="2">
        <v>45716</v>
      </c>
      <c r="B31" t="s">
        <v>78</v>
      </c>
      <c r="C31" t="s">
        <v>84</v>
      </c>
      <c r="D31" t="s">
        <v>88</v>
      </c>
      <c r="E31">
        <v>2598</v>
      </c>
      <c r="F31">
        <v>3</v>
      </c>
      <c r="G31" t="s">
        <v>403</v>
      </c>
      <c r="H31" t="s">
        <v>406</v>
      </c>
      <c r="I31">
        <v>465</v>
      </c>
    </row>
    <row r="32" spans="1:21" x14ac:dyDescent="0.25">
      <c r="A32" s="2">
        <v>45762</v>
      </c>
      <c r="B32" t="s">
        <v>73</v>
      </c>
      <c r="C32" t="s">
        <v>81</v>
      </c>
      <c r="D32" t="s">
        <v>88</v>
      </c>
      <c r="E32">
        <v>12920</v>
      </c>
      <c r="F32">
        <v>17</v>
      </c>
      <c r="G32" t="s">
        <v>404</v>
      </c>
      <c r="H32" t="s">
        <v>409</v>
      </c>
      <c r="I32">
        <v>419</v>
      </c>
    </row>
    <row r="33" spans="1:9" x14ac:dyDescent="0.25">
      <c r="A33" s="2">
        <v>45692</v>
      </c>
      <c r="B33" t="s">
        <v>77</v>
      </c>
      <c r="C33" t="s">
        <v>83</v>
      </c>
      <c r="D33" t="s">
        <v>85</v>
      </c>
      <c r="E33">
        <v>2134</v>
      </c>
      <c r="F33">
        <v>11</v>
      </c>
      <c r="G33" t="s">
        <v>403</v>
      </c>
      <c r="H33" t="s">
        <v>406</v>
      </c>
      <c r="I33">
        <v>489</v>
      </c>
    </row>
    <row r="34" spans="1:9" x14ac:dyDescent="0.25">
      <c r="A34" s="2">
        <v>45747</v>
      </c>
      <c r="B34" t="s">
        <v>79</v>
      </c>
      <c r="C34" t="s">
        <v>81</v>
      </c>
      <c r="D34" t="s">
        <v>86</v>
      </c>
      <c r="E34">
        <v>311</v>
      </c>
      <c r="F34">
        <v>1</v>
      </c>
      <c r="G34" t="s">
        <v>404</v>
      </c>
      <c r="H34" t="s">
        <v>407</v>
      </c>
      <c r="I34">
        <v>434</v>
      </c>
    </row>
    <row r="35" spans="1:9" x14ac:dyDescent="0.25">
      <c r="A35" s="2">
        <v>45714</v>
      </c>
      <c r="B35" t="s">
        <v>73</v>
      </c>
      <c r="C35" t="s">
        <v>81</v>
      </c>
      <c r="D35" t="s">
        <v>85</v>
      </c>
      <c r="E35">
        <v>2388</v>
      </c>
      <c r="F35">
        <v>3</v>
      </c>
      <c r="G35" t="s">
        <v>403</v>
      </c>
      <c r="H35" t="s">
        <v>406</v>
      </c>
      <c r="I35">
        <v>467</v>
      </c>
    </row>
    <row r="36" spans="1:9" x14ac:dyDescent="0.25">
      <c r="A36" s="2">
        <v>45748</v>
      </c>
      <c r="B36" t="s">
        <v>76</v>
      </c>
      <c r="C36" t="s">
        <v>84</v>
      </c>
      <c r="D36" t="s">
        <v>85</v>
      </c>
      <c r="E36">
        <v>2853</v>
      </c>
      <c r="F36">
        <v>9</v>
      </c>
      <c r="G36" t="s">
        <v>404</v>
      </c>
      <c r="H36" t="s">
        <v>409</v>
      </c>
      <c r="I36">
        <v>433</v>
      </c>
    </row>
    <row r="37" spans="1:9" x14ac:dyDescent="0.25">
      <c r="A37" s="2">
        <v>45677</v>
      </c>
      <c r="B37" t="s">
        <v>80</v>
      </c>
      <c r="C37" t="s">
        <v>82</v>
      </c>
      <c r="D37" t="s">
        <v>88</v>
      </c>
      <c r="E37">
        <v>4382</v>
      </c>
      <c r="F37">
        <v>7</v>
      </c>
      <c r="G37" t="s">
        <v>405</v>
      </c>
      <c r="H37" t="s">
        <v>408</v>
      </c>
      <c r="I37">
        <v>504</v>
      </c>
    </row>
    <row r="38" spans="1:9" x14ac:dyDescent="0.25">
      <c r="A38" s="2">
        <v>45749</v>
      </c>
      <c r="B38" t="s">
        <v>73</v>
      </c>
      <c r="C38" t="s">
        <v>81</v>
      </c>
      <c r="D38" t="s">
        <v>85</v>
      </c>
      <c r="E38">
        <v>2690</v>
      </c>
      <c r="F38">
        <v>5</v>
      </c>
      <c r="G38" t="s">
        <v>404</v>
      </c>
      <c r="H38" t="s">
        <v>409</v>
      </c>
      <c r="I38">
        <v>432</v>
      </c>
    </row>
    <row r="39" spans="1:9" x14ac:dyDescent="0.25">
      <c r="A39" s="2">
        <v>45697</v>
      </c>
      <c r="B39" t="s">
        <v>77</v>
      </c>
      <c r="C39" t="s">
        <v>83</v>
      </c>
      <c r="D39" t="s">
        <v>87</v>
      </c>
      <c r="E39">
        <v>399</v>
      </c>
      <c r="F39">
        <v>3</v>
      </c>
      <c r="G39" t="s">
        <v>403</v>
      </c>
      <c r="H39" t="s">
        <v>406</v>
      </c>
      <c r="I39">
        <v>484</v>
      </c>
    </row>
    <row r="40" spans="1:9" x14ac:dyDescent="0.25">
      <c r="A40" s="2">
        <v>45670</v>
      </c>
      <c r="B40" t="s">
        <v>74</v>
      </c>
      <c r="C40" t="s">
        <v>82</v>
      </c>
      <c r="D40" t="s">
        <v>85</v>
      </c>
      <c r="E40">
        <v>4459</v>
      </c>
      <c r="F40">
        <v>7</v>
      </c>
      <c r="G40" t="s">
        <v>405</v>
      </c>
      <c r="H40" t="s">
        <v>408</v>
      </c>
      <c r="I40">
        <v>511</v>
      </c>
    </row>
    <row r="41" spans="1:9" x14ac:dyDescent="0.25">
      <c r="A41" s="2">
        <v>45704</v>
      </c>
      <c r="B41" t="s">
        <v>74</v>
      </c>
      <c r="C41" t="s">
        <v>82</v>
      </c>
      <c r="D41" t="s">
        <v>85</v>
      </c>
      <c r="E41">
        <v>2274</v>
      </c>
      <c r="F41">
        <v>3</v>
      </c>
      <c r="G41" t="s">
        <v>403</v>
      </c>
      <c r="H41" t="s">
        <v>406</v>
      </c>
      <c r="I41">
        <v>477</v>
      </c>
    </row>
    <row r="42" spans="1:9" x14ac:dyDescent="0.25">
      <c r="A42" s="2">
        <v>45725</v>
      </c>
      <c r="B42" t="s">
        <v>77</v>
      </c>
      <c r="C42" t="s">
        <v>83</v>
      </c>
      <c r="D42" t="s">
        <v>87</v>
      </c>
      <c r="E42">
        <v>11552</v>
      </c>
      <c r="F42">
        <v>19</v>
      </c>
      <c r="G42" t="s">
        <v>403</v>
      </c>
      <c r="H42" t="s">
        <v>407</v>
      </c>
      <c r="I42">
        <v>456</v>
      </c>
    </row>
    <row r="43" spans="1:9" x14ac:dyDescent="0.25">
      <c r="A43" s="2">
        <v>45749</v>
      </c>
      <c r="B43" t="s">
        <v>73</v>
      </c>
      <c r="C43" t="s">
        <v>81</v>
      </c>
      <c r="D43" t="s">
        <v>87</v>
      </c>
      <c r="E43">
        <v>4540</v>
      </c>
      <c r="F43">
        <v>5</v>
      </c>
      <c r="G43" t="s">
        <v>404</v>
      </c>
      <c r="H43" t="s">
        <v>409</v>
      </c>
      <c r="I43">
        <v>432</v>
      </c>
    </row>
    <row r="44" spans="1:9" x14ac:dyDescent="0.25">
      <c r="A44" s="2">
        <v>45695</v>
      </c>
      <c r="B44" t="s">
        <v>77</v>
      </c>
      <c r="C44" t="s">
        <v>83</v>
      </c>
      <c r="D44" t="s">
        <v>85</v>
      </c>
      <c r="E44">
        <v>4216</v>
      </c>
      <c r="F44">
        <v>8</v>
      </c>
      <c r="G44" t="s">
        <v>403</v>
      </c>
      <c r="H44" t="s">
        <v>406</v>
      </c>
      <c r="I44">
        <v>486</v>
      </c>
    </row>
    <row r="45" spans="1:9" x14ac:dyDescent="0.25">
      <c r="A45" s="2">
        <v>45705</v>
      </c>
      <c r="B45" t="s">
        <v>75</v>
      </c>
      <c r="C45" t="s">
        <v>83</v>
      </c>
      <c r="D45" t="s">
        <v>85</v>
      </c>
      <c r="E45">
        <v>4140</v>
      </c>
      <c r="F45">
        <v>18</v>
      </c>
      <c r="G45" t="s">
        <v>403</v>
      </c>
      <c r="H45" t="s">
        <v>406</v>
      </c>
      <c r="I45">
        <v>476</v>
      </c>
    </row>
    <row r="46" spans="1:9" x14ac:dyDescent="0.25">
      <c r="A46" s="2">
        <v>45728</v>
      </c>
      <c r="B46" t="s">
        <v>74</v>
      </c>
      <c r="C46" t="s">
        <v>82</v>
      </c>
      <c r="D46" t="s">
        <v>88</v>
      </c>
      <c r="E46">
        <v>8610</v>
      </c>
      <c r="F46">
        <v>10</v>
      </c>
      <c r="G46" t="s">
        <v>403</v>
      </c>
      <c r="H46" t="s">
        <v>407</v>
      </c>
      <c r="I46">
        <v>453</v>
      </c>
    </row>
    <row r="47" spans="1:9" x14ac:dyDescent="0.25">
      <c r="A47" s="2">
        <v>45719</v>
      </c>
      <c r="B47" t="s">
        <v>74</v>
      </c>
      <c r="C47" t="s">
        <v>82</v>
      </c>
      <c r="D47" t="s">
        <v>88</v>
      </c>
      <c r="E47">
        <v>7200</v>
      </c>
      <c r="F47">
        <v>8</v>
      </c>
      <c r="G47" t="s">
        <v>403</v>
      </c>
      <c r="H47" t="s">
        <v>407</v>
      </c>
      <c r="I47">
        <v>462</v>
      </c>
    </row>
    <row r="48" spans="1:9" x14ac:dyDescent="0.25">
      <c r="A48" s="2">
        <v>45746</v>
      </c>
      <c r="B48" t="s">
        <v>79</v>
      </c>
      <c r="C48" t="s">
        <v>81</v>
      </c>
      <c r="D48" t="s">
        <v>85</v>
      </c>
      <c r="E48">
        <v>10849</v>
      </c>
      <c r="F48">
        <v>19</v>
      </c>
      <c r="G48" t="s">
        <v>404</v>
      </c>
      <c r="H48" t="s">
        <v>407</v>
      </c>
      <c r="I48">
        <v>435</v>
      </c>
    </row>
    <row r="49" spans="1:9" x14ac:dyDescent="0.25">
      <c r="A49" s="2">
        <v>45660</v>
      </c>
      <c r="B49" t="s">
        <v>78</v>
      </c>
      <c r="C49" t="s">
        <v>84</v>
      </c>
      <c r="D49" t="s">
        <v>85</v>
      </c>
      <c r="E49">
        <v>14256</v>
      </c>
      <c r="F49">
        <v>16</v>
      </c>
      <c r="G49" t="s">
        <v>405</v>
      </c>
      <c r="H49" t="s">
        <v>408</v>
      </c>
      <c r="I49">
        <v>521</v>
      </c>
    </row>
    <row r="50" spans="1:9" x14ac:dyDescent="0.25">
      <c r="A50" s="2">
        <v>45701</v>
      </c>
      <c r="B50" t="s">
        <v>74</v>
      </c>
      <c r="C50" t="s">
        <v>82</v>
      </c>
      <c r="D50" t="s">
        <v>88</v>
      </c>
      <c r="E50">
        <v>1464</v>
      </c>
      <c r="F50">
        <v>2</v>
      </c>
      <c r="G50" t="s">
        <v>403</v>
      </c>
      <c r="H50" t="s">
        <v>406</v>
      </c>
      <c r="I50">
        <v>480</v>
      </c>
    </row>
    <row r="51" spans="1:9" x14ac:dyDescent="0.25">
      <c r="A51" s="2">
        <v>45732</v>
      </c>
      <c r="B51" t="s">
        <v>78</v>
      </c>
      <c r="C51" t="s">
        <v>84</v>
      </c>
      <c r="D51" t="s">
        <v>88</v>
      </c>
      <c r="E51">
        <v>9622</v>
      </c>
      <c r="F51">
        <v>17</v>
      </c>
      <c r="G51" t="s">
        <v>404</v>
      </c>
      <c r="H51" t="s">
        <v>407</v>
      </c>
      <c r="I51">
        <v>449</v>
      </c>
    </row>
    <row r="52" spans="1:9" x14ac:dyDescent="0.25">
      <c r="A52" s="2">
        <v>45707</v>
      </c>
      <c r="B52" t="s">
        <v>75</v>
      </c>
      <c r="C52" t="s">
        <v>83</v>
      </c>
      <c r="D52" t="s">
        <v>87</v>
      </c>
      <c r="E52">
        <v>13420</v>
      </c>
      <c r="F52">
        <v>20</v>
      </c>
      <c r="G52" t="s">
        <v>403</v>
      </c>
      <c r="H52" t="s">
        <v>406</v>
      </c>
      <c r="I52">
        <v>474</v>
      </c>
    </row>
    <row r="53" spans="1:9" x14ac:dyDescent="0.25">
      <c r="A53" s="2">
        <v>45705</v>
      </c>
      <c r="B53" t="s">
        <v>75</v>
      </c>
      <c r="C53" t="s">
        <v>83</v>
      </c>
      <c r="D53" t="s">
        <v>87</v>
      </c>
      <c r="E53">
        <v>3004</v>
      </c>
      <c r="F53">
        <v>4</v>
      </c>
      <c r="G53" t="s">
        <v>403</v>
      </c>
      <c r="H53" t="s">
        <v>406</v>
      </c>
      <c r="I53">
        <v>476</v>
      </c>
    </row>
    <row r="54" spans="1:9" x14ac:dyDescent="0.25">
      <c r="A54" s="2">
        <v>45754</v>
      </c>
      <c r="B54" t="s">
        <v>76</v>
      </c>
      <c r="C54" t="s">
        <v>84</v>
      </c>
      <c r="D54" t="s">
        <v>88</v>
      </c>
      <c r="E54">
        <v>11865</v>
      </c>
      <c r="F54">
        <v>15</v>
      </c>
      <c r="G54" t="s">
        <v>404</v>
      </c>
      <c r="H54" t="s">
        <v>409</v>
      </c>
      <c r="I54">
        <v>427</v>
      </c>
    </row>
    <row r="55" spans="1:9" x14ac:dyDescent="0.25">
      <c r="A55" s="2">
        <v>45719</v>
      </c>
      <c r="B55" t="s">
        <v>80</v>
      </c>
      <c r="C55" t="s">
        <v>82</v>
      </c>
      <c r="D55" t="s">
        <v>87</v>
      </c>
      <c r="E55">
        <v>7395</v>
      </c>
      <c r="F55">
        <v>17</v>
      </c>
      <c r="G55" t="s">
        <v>403</v>
      </c>
      <c r="H55" t="s">
        <v>407</v>
      </c>
      <c r="I55">
        <v>462</v>
      </c>
    </row>
    <row r="56" spans="1:9" x14ac:dyDescent="0.25">
      <c r="A56" s="2">
        <v>45704</v>
      </c>
      <c r="B56" t="s">
        <v>73</v>
      </c>
      <c r="C56" t="s">
        <v>81</v>
      </c>
      <c r="D56" t="s">
        <v>85</v>
      </c>
      <c r="E56">
        <v>12701</v>
      </c>
      <c r="F56">
        <v>13</v>
      </c>
      <c r="G56" t="s">
        <v>403</v>
      </c>
      <c r="H56" t="s">
        <v>406</v>
      </c>
      <c r="I56">
        <v>477</v>
      </c>
    </row>
    <row r="57" spans="1:9" x14ac:dyDescent="0.25">
      <c r="A57" s="2">
        <v>45766</v>
      </c>
      <c r="B57" t="s">
        <v>75</v>
      </c>
      <c r="C57" t="s">
        <v>83</v>
      </c>
      <c r="D57" t="s">
        <v>85</v>
      </c>
      <c r="E57">
        <v>8697</v>
      </c>
      <c r="F57">
        <v>13</v>
      </c>
      <c r="G57" t="s">
        <v>404</v>
      </c>
      <c r="H57" t="s">
        <v>409</v>
      </c>
      <c r="I57">
        <v>415</v>
      </c>
    </row>
    <row r="58" spans="1:9" x14ac:dyDescent="0.25">
      <c r="A58" s="2">
        <v>45693</v>
      </c>
      <c r="B58" t="s">
        <v>76</v>
      </c>
      <c r="C58" t="s">
        <v>84</v>
      </c>
      <c r="D58" t="s">
        <v>88</v>
      </c>
      <c r="E58">
        <v>2728</v>
      </c>
      <c r="F58">
        <v>11</v>
      </c>
      <c r="G58" t="s">
        <v>403</v>
      </c>
      <c r="H58" t="s">
        <v>406</v>
      </c>
      <c r="I58">
        <v>488</v>
      </c>
    </row>
    <row r="59" spans="1:9" x14ac:dyDescent="0.25">
      <c r="A59" s="2">
        <v>45658</v>
      </c>
      <c r="B59" t="s">
        <v>78</v>
      </c>
      <c r="C59" t="s">
        <v>84</v>
      </c>
      <c r="D59" t="s">
        <v>86</v>
      </c>
      <c r="E59">
        <v>7395</v>
      </c>
      <c r="F59">
        <v>17</v>
      </c>
      <c r="G59" t="s">
        <v>405</v>
      </c>
      <c r="H59" t="s">
        <v>408</v>
      </c>
      <c r="I59">
        <v>523</v>
      </c>
    </row>
    <row r="60" spans="1:9" x14ac:dyDescent="0.25">
      <c r="A60" s="2">
        <v>45744</v>
      </c>
      <c r="B60" t="s">
        <v>80</v>
      </c>
      <c r="C60" t="s">
        <v>82</v>
      </c>
      <c r="D60" t="s">
        <v>85</v>
      </c>
      <c r="E60">
        <v>632</v>
      </c>
      <c r="F60">
        <v>1</v>
      </c>
      <c r="G60" t="s">
        <v>404</v>
      </c>
      <c r="H60" t="s">
        <v>407</v>
      </c>
      <c r="I60">
        <v>437</v>
      </c>
    </row>
    <row r="61" spans="1:9" x14ac:dyDescent="0.25">
      <c r="A61" s="2">
        <v>45732</v>
      </c>
      <c r="B61" t="s">
        <v>77</v>
      </c>
      <c r="C61" t="s">
        <v>83</v>
      </c>
      <c r="D61" t="s">
        <v>88</v>
      </c>
      <c r="E61">
        <v>1044</v>
      </c>
      <c r="F61">
        <v>3</v>
      </c>
      <c r="G61" t="s">
        <v>404</v>
      </c>
      <c r="H61" t="s">
        <v>407</v>
      </c>
      <c r="I61">
        <v>449</v>
      </c>
    </row>
    <row r="62" spans="1:9" x14ac:dyDescent="0.25">
      <c r="A62" s="2">
        <v>45713</v>
      </c>
      <c r="B62" t="s">
        <v>75</v>
      </c>
      <c r="C62" t="s">
        <v>83</v>
      </c>
      <c r="D62" t="s">
        <v>85</v>
      </c>
      <c r="E62">
        <v>4779</v>
      </c>
      <c r="F62">
        <v>9</v>
      </c>
      <c r="G62" t="s">
        <v>403</v>
      </c>
      <c r="H62" t="s">
        <v>406</v>
      </c>
      <c r="I62">
        <v>468</v>
      </c>
    </row>
    <row r="63" spans="1:9" x14ac:dyDescent="0.25">
      <c r="A63" s="2">
        <v>45669</v>
      </c>
      <c r="B63" t="s">
        <v>73</v>
      </c>
      <c r="C63" t="s">
        <v>81</v>
      </c>
      <c r="D63" t="s">
        <v>85</v>
      </c>
      <c r="E63">
        <v>636</v>
      </c>
      <c r="F63">
        <v>2</v>
      </c>
      <c r="G63" t="s">
        <v>405</v>
      </c>
      <c r="H63" t="s">
        <v>408</v>
      </c>
      <c r="I63">
        <v>512</v>
      </c>
    </row>
    <row r="64" spans="1:9" x14ac:dyDescent="0.25">
      <c r="A64" s="2">
        <v>45702</v>
      </c>
      <c r="B64" t="s">
        <v>80</v>
      </c>
      <c r="C64" t="s">
        <v>82</v>
      </c>
      <c r="D64" t="s">
        <v>86</v>
      </c>
      <c r="E64">
        <v>7800</v>
      </c>
      <c r="F64">
        <v>10</v>
      </c>
      <c r="G64" t="s">
        <v>403</v>
      </c>
      <c r="H64" t="s">
        <v>406</v>
      </c>
      <c r="I64">
        <v>479</v>
      </c>
    </row>
    <row r="65" spans="1:9" x14ac:dyDescent="0.25">
      <c r="A65" s="2">
        <v>45686</v>
      </c>
      <c r="B65" t="s">
        <v>73</v>
      </c>
      <c r="C65" t="s">
        <v>81</v>
      </c>
      <c r="D65" t="s">
        <v>88</v>
      </c>
      <c r="E65">
        <v>545</v>
      </c>
      <c r="F65">
        <v>5</v>
      </c>
      <c r="G65" t="s">
        <v>403</v>
      </c>
      <c r="H65" t="s">
        <v>408</v>
      </c>
      <c r="I65">
        <v>495</v>
      </c>
    </row>
    <row r="66" spans="1:9" x14ac:dyDescent="0.25">
      <c r="A66" s="2">
        <v>45706</v>
      </c>
      <c r="B66" t="s">
        <v>75</v>
      </c>
      <c r="C66" t="s">
        <v>83</v>
      </c>
      <c r="D66" t="s">
        <v>85</v>
      </c>
      <c r="E66">
        <v>6040</v>
      </c>
      <c r="F66">
        <v>20</v>
      </c>
      <c r="G66" t="s">
        <v>403</v>
      </c>
      <c r="H66" t="s">
        <v>406</v>
      </c>
      <c r="I66">
        <v>475</v>
      </c>
    </row>
    <row r="67" spans="1:9" x14ac:dyDescent="0.25">
      <c r="A67" s="2">
        <v>45724</v>
      </c>
      <c r="B67" t="s">
        <v>74</v>
      </c>
      <c r="C67" t="s">
        <v>82</v>
      </c>
      <c r="D67" t="s">
        <v>88</v>
      </c>
      <c r="E67">
        <v>8136</v>
      </c>
      <c r="F67">
        <v>9</v>
      </c>
      <c r="G67" t="s">
        <v>403</v>
      </c>
      <c r="H67" t="s">
        <v>407</v>
      </c>
      <c r="I67">
        <v>457</v>
      </c>
    </row>
    <row r="68" spans="1:9" x14ac:dyDescent="0.25">
      <c r="A68" s="2">
        <v>45659</v>
      </c>
      <c r="B68" t="s">
        <v>80</v>
      </c>
      <c r="C68" t="s">
        <v>82</v>
      </c>
      <c r="D68" t="s">
        <v>88</v>
      </c>
      <c r="E68">
        <v>3928</v>
      </c>
      <c r="F68">
        <v>4</v>
      </c>
      <c r="G68" t="s">
        <v>405</v>
      </c>
      <c r="H68" t="s">
        <v>408</v>
      </c>
      <c r="I68">
        <v>522</v>
      </c>
    </row>
    <row r="69" spans="1:9" x14ac:dyDescent="0.25">
      <c r="A69" s="2">
        <v>45680</v>
      </c>
      <c r="B69" t="s">
        <v>80</v>
      </c>
      <c r="C69" t="s">
        <v>82</v>
      </c>
      <c r="D69" t="s">
        <v>87</v>
      </c>
      <c r="E69">
        <v>2968</v>
      </c>
      <c r="F69">
        <v>14</v>
      </c>
      <c r="G69" t="s">
        <v>405</v>
      </c>
      <c r="H69" t="s">
        <v>408</v>
      </c>
      <c r="I69">
        <v>501</v>
      </c>
    </row>
    <row r="70" spans="1:9" x14ac:dyDescent="0.25">
      <c r="A70" s="2">
        <v>45689</v>
      </c>
      <c r="B70" t="s">
        <v>74</v>
      </c>
      <c r="C70" t="s">
        <v>82</v>
      </c>
      <c r="D70" t="s">
        <v>87</v>
      </c>
      <c r="E70">
        <v>3955</v>
      </c>
      <c r="F70">
        <v>5</v>
      </c>
      <c r="G70" t="s">
        <v>403</v>
      </c>
      <c r="H70" t="s">
        <v>406</v>
      </c>
      <c r="I70">
        <v>492</v>
      </c>
    </row>
    <row r="71" spans="1:9" x14ac:dyDescent="0.25">
      <c r="A71" s="2">
        <v>45702</v>
      </c>
      <c r="B71" t="s">
        <v>75</v>
      </c>
      <c r="C71" t="s">
        <v>83</v>
      </c>
      <c r="D71" t="s">
        <v>85</v>
      </c>
      <c r="E71">
        <v>4048</v>
      </c>
      <c r="F71">
        <v>8</v>
      </c>
      <c r="G71" t="s">
        <v>403</v>
      </c>
      <c r="H71" t="s">
        <v>406</v>
      </c>
      <c r="I71">
        <v>479</v>
      </c>
    </row>
    <row r="72" spans="1:9" x14ac:dyDescent="0.25">
      <c r="A72" s="2">
        <v>45727</v>
      </c>
      <c r="B72" t="s">
        <v>78</v>
      </c>
      <c r="C72" t="s">
        <v>84</v>
      </c>
      <c r="D72" t="s">
        <v>87</v>
      </c>
      <c r="E72">
        <v>6464</v>
      </c>
      <c r="F72">
        <v>8</v>
      </c>
      <c r="G72" t="s">
        <v>403</v>
      </c>
      <c r="H72" t="s">
        <v>407</v>
      </c>
      <c r="I72">
        <v>454</v>
      </c>
    </row>
    <row r="73" spans="1:9" x14ac:dyDescent="0.25">
      <c r="A73" s="2">
        <v>45710</v>
      </c>
      <c r="B73" t="s">
        <v>73</v>
      </c>
      <c r="C73" t="s">
        <v>81</v>
      </c>
      <c r="D73" t="s">
        <v>88</v>
      </c>
      <c r="E73">
        <v>3042</v>
      </c>
      <c r="F73">
        <v>13</v>
      </c>
      <c r="G73" t="s">
        <v>403</v>
      </c>
      <c r="H73" t="s">
        <v>406</v>
      </c>
      <c r="I73">
        <v>471</v>
      </c>
    </row>
    <row r="74" spans="1:9" x14ac:dyDescent="0.25">
      <c r="A74" s="2">
        <v>45761</v>
      </c>
      <c r="B74" t="s">
        <v>80</v>
      </c>
      <c r="C74" t="s">
        <v>82</v>
      </c>
      <c r="D74" t="s">
        <v>88</v>
      </c>
      <c r="E74">
        <v>9480</v>
      </c>
      <c r="F74">
        <v>15</v>
      </c>
      <c r="G74" t="s">
        <v>404</v>
      </c>
      <c r="H74" t="s">
        <v>409</v>
      </c>
      <c r="I74">
        <v>420</v>
      </c>
    </row>
    <row r="75" spans="1:9" x14ac:dyDescent="0.25">
      <c r="A75" s="2">
        <v>45666</v>
      </c>
      <c r="B75" t="s">
        <v>75</v>
      </c>
      <c r="C75" t="s">
        <v>83</v>
      </c>
      <c r="D75" t="s">
        <v>88</v>
      </c>
      <c r="E75">
        <v>16321</v>
      </c>
      <c r="F75">
        <v>19</v>
      </c>
      <c r="G75" t="s">
        <v>405</v>
      </c>
      <c r="H75" t="s">
        <v>408</v>
      </c>
      <c r="I75">
        <v>515</v>
      </c>
    </row>
    <row r="76" spans="1:9" x14ac:dyDescent="0.25">
      <c r="A76" s="2">
        <v>45756</v>
      </c>
      <c r="B76" t="s">
        <v>74</v>
      </c>
      <c r="C76" t="s">
        <v>82</v>
      </c>
      <c r="D76" t="s">
        <v>87</v>
      </c>
      <c r="E76">
        <v>8436</v>
      </c>
      <c r="F76">
        <v>19</v>
      </c>
      <c r="G76" t="s">
        <v>404</v>
      </c>
      <c r="H76" t="s">
        <v>409</v>
      </c>
      <c r="I76">
        <v>425</v>
      </c>
    </row>
    <row r="77" spans="1:9" x14ac:dyDescent="0.25">
      <c r="A77" s="2">
        <v>45747</v>
      </c>
      <c r="B77" t="s">
        <v>74</v>
      </c>
      <c r="C77" t="s">
        <v>82</v>
      </c>
      <c r="D77" t="s">
        <v>85</v>
      </c>
      <c r="E77">
        <v>2832</v>
      </c>
      <c r="F77">
        <v>8</v>
      </c>
      <c r="G77" t="s">
        <v>404</v>
      </c>
      <c r="H77" t="s">
        <v>407</v>
      </c>
      <c r="I77">
        <v>434</v>
      </c>
    </row>
    <row r="78" spans="1:9" x14ac:dyDescent="0.25">
      <c r="A78" s="2">
        <v>45693</v>
      </c>
      <c r="B78" t="s">
        <v>79</v>
      </c>
      <c r="C78" t="s">
        <v>81</v>
      </c>
      <c r="D78" t="s">
        <v>86</v>
      </c>
      <c r="E78">
        <v>8604</v>
      </c>
      <c r="F78">
        <v>18</v>
      </c>
      <c r="G78" t="s">
        <v>403</v>
      </c>
      <c r="H78" t="s">
        <v>406</v>
      </c>
      <c r="I78">
        <v>488</v>
      </c>
    </row>
    <row r="79" spans="1:9" x14ac:dyDescent="0.25">
      <c r="A79" s="2">
        <v>45665</v>
      </c>
      <c r="B79" t="s">
        <v>73</v>
      </c>
      <c r="C79" t="s">
        <v>81</v>
      </c>
      <c r="D79" t="s">
        <v>86</v>
      </c>
      <c r="E79">
        <v>2805</v>
      </c>
      <c r="F79">
        <v>5</v>
      </c>
      <c r="G79" t="s">
        <v>405</v>
      </c>
      <c r="H79" t="s">
        <v>408</v>
      </c>
      <c r="I79">
        <v>516</v>
      </c>
    </row>
    <row r="80" spans="1:9" x14ac:dyDescent="0.25">
      <c r="A80" s="2">
        <v>45690</v>
      </c>
      <c r="B80" t="s">
        <v>79</v>
      </c>
      <c r="C80" t="s">
        <v>81</v>
      </c>
      <c r="D80" t="s">
        <v>87</v>
      </c>
      <c r="E80">
        <v>5544</v>
      </c>
      <c r="F80">
        <v>7</v>
      </c>
      <c r="G80" t="s">
        <v>403</v>
      </c>
      <c r="H80" t="s">
        <v>406</v>
      </c>
      <c r="I80">
        <v>491</v>
      </c>
    </row>
    <row r="81" spans="1:9" x14ac:dyDescent="0.25">
      <c r="A81" s="2">
        <v>45667</v>
      </c>
      <c r="B81" t="s">
        <v>77</v>
      </c>
      <c r="C81" t="s">
        <v>83</v>
      </c>
      <c r="D81" t="s">
        <v>88</v>
      </c>
      <c r="E81">
        <v>1694</v>
      </c>
      <c r="F81">
        <v>11</v>
      </c>
      <c r="G81" t="s">
        <v>405</v>
      </c>
      <c r="H81" t="s">
        <v>408</v>
      </c>
      <c r="I81">
        <v>514</v>
      </c>
    </row>
    <row r="82" spans="1:9" x14ac:dyDescent="0.25">
      <c r="A82" s="2">
        <v>45665</v>
      </c>
      <c r="B82" t="s">
        <v>75</v>
      </c>
      <c r="C82" t="s">
        <v>83</v>
      </c>
      <c r="D82" t="s">
        <v>86</v>
      </c>
      <c r="E82">
        <v>5760</v>
      </c>
      <c r="F82">
        <v>9</v>
      </c>
      <c r="G82" t="s">
        <v>405</v>
      </c>
      <c r="H82" t="s">
        <v>408</v>
      </c>
      <c r="I82">
        <v>516</v>
      </c>
    </row>
    <row r="83" spans="1:9" x14ac:dyDescent="0.25">
      <c r="A83" s="2">
        <v>45712</v>
      </c>
      <c r="B83" t="s">
        <v>78</v>
      </c>
      <c r="C83" t="s">
        <v>84</v>
      </c>
      <c r="D83" t="s">
        <v>85</v>
      </c>
      <c r="E83">
        <v>8550</v>
      </c>
      <c r="F83">
        <v>10</v>
      </c>
      <c r="G83" t="s">
        <v>403</v>
      </c>
      <c r="H83" t="s">
        <v>406</v>
      </c>
      <c r="I83">
        <v>469</v>
      </c>
    </row>
    <row r="84" spans="1:9" x14ac:dyDescent="0.25">
      <c r="A84" s="2">
        <v>45668</v>
      </c>
      <c r="B84" t="s">
        <v>79</v>
      </c>
      <c r="C84" t="s">
        <v>81</v>
      </c>
      <c r="D84" t="s">
        <v>86</v>
      </c>
      <c r="E84">
        <v>1220</v>
      </c>
      <c r="F84">
        <v>5</v>
      </c>
      <c r="G84" t="s">
        <v>405</v>
      </c>
      <c r="H84" t="s">
        <v>408</v>
      </c>
      <c r="I84">
        <v>513</v>
      </c>
    </row>
    <row r="85" spans="1:9" x14ac:dyDescent="0.25">
      <c r="A85" s="2">
        <v>45777</v>
      </c>
      <c r="B85" t="s">
        <v>77</v>
      </c>
      <c r="C85" t="s">
        <v>83</v>
      </c>
      <c r="D85" t="s">
        <v>88</v>
      </c>
      <c r="E85">
        <v>2490</v>
      </c>
      <c r="F85">
        <v>15</v>
      </c>
      <c r="G85" t="s">
        <v>404</v>
      </c>
      <c r="H85" t="s">
        <v>409</v>
      </c>
      <c r="I85">
        <v>404</v>
      </c>
    </row>
    <row r="86" spans="1:9" x14ac:dyDescent="0.25">
      <c r="A86" s="2">
        <v>45731</v>
      </c>
      <c r="B86" t="s">
        <v>73</v>
      </c>
      <c r="C86" t="s">
        <v>81</v>
      </c>
      <c r="D86" t="s">
        <v>88</v>
      </c>
      <c r="E86">
        <v>3225</v>
      </c>
      <c r="F86">
        <v>15</v>
      </c>
      <c r="G86" t="s">
        <v>404</v>
      </c>
      <c r="H86" t="s">
        <v>407</v>
      </c>
      <c r="I86">
        <v>450</v>
      </c>
    </row>
    <row r="87" spans="1:9" x14ac:dyDescent="0.25">
      <c r="A87" s="2">
        <v>45725</v>
      </c>
      <c r="B87" t="s">
        <v>79</v>
      </c>
      <c r="C87" t="s">
        <v>81</v>
      </c>
      <c r="D87" t="s">
        <v>88</v>
      </c>
      <c r="E87">
        <v>7930</v>
      </c>
      <c r="F87">
        <v>13</v>
      </c>
      <c r="G87" t="s">
        <v>403</v>
      </c>
      <c r="H87" t="s">
        <v>407</v>
      </c>
      <c r="I87">
        <v>456</v>
      </c>
    </row>
    <row r="88" spans="1:9" x14ac:dyDescent="0.25">
      <c r="A88" s="2">
        <v>45756</v>
      </c>
      <c r="B88" t="s">
        <v>78</v>
      </c>
      <c r="C88" t="s">
        <v>84</v>
      </c>
      <c r="D88" t="s">
        <v>85</v>
      </c>
      <c r="E88">
        <v>12920</v>
      </c>
      <c r="F88">
        <v>19</v>
      </c>
      <c r="G88" t="s">
        <v>404</v>
      </c>
      <c r="H88" t="s">
        <v>409</v>
      </c>
      <c r="I88">
        <v>425</v>
      </c>
    </row>
    <row r="89" spans="1:9" x14ac:dyDescent="0.25">
      <c r="A89" s="2">
        <v>45725</v>
      </c>
      <c r="B89" t="s">
        <v>77</v>
      </c>
      <c r="C89" t="s">
        <v>83</v>
      </c>
      <c r="D89" t="s">
        <v>85</v>
      </c>
      <c r="E89">
        <v>4685</v>
      </c>
      <c r="F89">
        <v>5</v>
      </c>
      <c r="G89" t="s">
        <v>403</v>
      </c>
      <c r="H89" t="s">
        <v>407</v>
      </c>
      <c r="I89">
        <v>456</v>
      </c>
    </row>
    <row r="90" spans="1:9" x14ac:dyDescent="0.25">
      <c r="A90" s="2">
        <v>45694</v>
      </c>
      <c r="B90" t="s">
        <v>74</v>
      </c>
      <c r="C90" t="s">
        <v>82</v>
      </c>
      <c r="D90" t="s">
        <v>88</v>
      </c>
      <c r="E90">
        <v>808</v>
      </c>
      <c r="F90">
        <v>8</v>
      </c>
      <c r="G90" t="s">
        <v>403</v>
      </c>
      <c r="H90" t="s">
        <v>406</v>
      </c>
      <c r="I90">
        <v>487</v>
      </c>
    </row>
    <row r="91" spans="1:9" x14ac:dyDescent="0.25">
      <c r="A91" s="2">
        <v>45749</v>
      </c>
      <c r="B91" t="s">
        <v>76</v>
      </c>
      <c r="C91" t="s">
        <v>84</v>
      </c>
      <c r="D91" t="s">
        <v>85</v>
      </c>
      <c r="E91">
        <v>1592</v>
      </c>
      <c r="F91">
        <v>4</v>
      </c>
      <c r="G91" t="s">
        <v>404</v>
      </c>
      <c r="H91" t="s">
        <v>409</v>
      </c>
      <c r="I91">
        <v>432</v>
      </c>
    </row>
    <row r="92" spans="1:9" x14ac:dyDescent="0.25">
      <c r="A92" s="2">
        <v>45778</v>
      </c>
      <c r="B92" t="s">
        <v>75</v>
      </c>
      <c r="C92" t="s">
        <v>83</v>
      </c>
      <c r="D92" t="s">
        <v>86</v>
      </c>
      <c r="E92">
        <v>14860</v>
      </c>
      <c r="F92">
        <v>20</v>
      </c>
      <c r="G92" t="s">
        <v>404</v>
      </c>
      <c r="H92" t="s">
        <v>410</v>
      </c>
      <c r="I92">
        <v>403</v>
      </c>
    </row>
    <row r="93" spans="1:9" x14ac:dyDescent="0.25">
      <c r="A93" s="2">
        <v>45658</v>
      </c>
      <c r="B93" t="s">
        <v>78</v>
      </c>
      <c r="C93" t="s">
        <v>84</v>
      </c>
      <c r="D93" t="s">
        <v>86</v>
      </c>
      <c r="E93">
        <v>8040</v>
      </c>
      <c r="F93">
        <v>10</v>
      </c>
      <c r="G93" t="s">
        <v>405</v>
      </c>
      <c r="H93" t="s">
        <v>408</v>
      </c>
      <c r="I93">
        <v>523</v>
      </c>
    </row>
    <row r="94" spans="1:9" x14ac:dyDescent="0.25">
      <c r="A94" s="2">
        <v>45762</v>
      </c>
      <c r="B94" t="s">
        <v>78</v>
      </c>
      <c r="C94" t="s">
        <v>84</v>
      </c>
      <c r="D94" t="s">
        <v>87</v>
      </c>
      <c r="E94">
        <v>3880</v>
      </c>
      <c r="F94">
        <v>20</v>
      </c>
      <c r="G94" t="s">
        <v>404</v>
      </c>
      <c r="H94" t="s">
        <v>409</v>
      </c>
      <c r="I94">
        <v>419</v>
      </c>
    </row>
    <row r="95" spans="1:9" x14ac:dyDescent="0.25">
      <c r="A95" s="2">
        <v>45765</v>
      </c>
      <c r="B95" t="s">
        <v>75</v>
      </c>
      <c r="C95" t="s">
        <v>83</v>
      </c>
      <c r="D95" t="s">
        <v>87</v>
      </c>
      <c r="E95">
        <v>2522</v>
      </c>
      <c r="F95">
        <v>13</v>
      </c>
      <c r="G95" t="s">
        <v>404</v>
      </c>
      <c r="H95" t="s">
        <v>409</v>
      </c>
      <c r="I95">
        <v>416</v>
      </c>
    </row>
    <row r="96" spans="1:9" x14ac:dyDescent="0.25">
      <c r="A96" s="2">
        <v>45701</v>
      </c>
      <c r="B96" t="s">
        <v>76</v>
      </c>
      <c r="C96" t="s">
        <v>84</v>
      </c>
      <c r="D96" t="s">
        <v>85</v>
      </c>
      <c r="E96">
        <v>852</v>
      </c>
      <c r="F96">
        <v>2</v>
      </c>
      <c r="G96" t="s">
        <v>403</v>
      </c>
      <c r="H96" t="s">
        <v>406</v>
      </c>
      <c r="I96">
        <v>480</v>
      </c>
    </row>
    <row r="97" spans="1:9" x14ac:dyDescent="0.25">
      <c r="A97" s="2">
        <v>45727</v>
      </c>
      <c r="B97" t="s">
        <v>73</v>
      </c>
      <c r="C97" t="s">
        <v>81</v>
      </c>
      <c r="D97" t="s">
        <v>85</v>
      </c>
      <c r="E97">
        <v>1185</v>
      </c>
      <c r="F97">
        <v>5</v>
      </c>
      <c r="G97" t="s">
        <v>403</v>
      </c>
      <c r="H97" t="s">
        <v>407</v>
      </c>
      <c r="I97">
        <v>454</v>
      </c>
    </row>
    <row r="98" spans="1:9" x14ac:dyDescent="0.25">
      <c r="A98" s="2">
        <v>45741</v>
      </c>
      <c r="B98" t="s">
        <v>73</v>
      </c>
      <c r="C98" t="s">
        <v>81</v>
      </c>
      <c r="D98" t="s">
        <v>85</v>
      </c>
      <c r="E98">
        <v>1836</v>
      </c>
      <c r="F98">
        <v>12</v>
      </c>
      <c r="G98" t="s">
        <v>404</v>
      </c>
      <c r="H98" t="s">
        <v>407</v>
      </c>
      <c r="I98">
        <v>440</v>
      </c>
    </row>
    <row r="99" spans="1:9" x14ac:dyDescent="0.25">
      <c r="A99" s="2">
        <v>45679</v>
      </c>
      <c r="B99" t="s">
        <v>80</v>
      </c>
      <c r="C99" t="s">
        <v>82</v>
      </c>
      <c r="D99" t="s">
        <v>87</v>
      </c>
      <c r="E99">
        <v>3835</v>
      </c>
      <c r="F99">
        <v>5</v>
      </c>
      <c r="G99" t="s">
        <v>405</v>
      </c>
      <c r="H99" t="s">
        <v>408</v>
      </c>
      <c r="I99">
        <v>502</v>
      </c>
    </row>
    <row r="100" spans="1:9" x14ac:dyDescent="0.25">
      <c r="A100" s="2">
        <v>45711</v>
      </c>
      <c r="B100" t="s">
        <v>75</v>
      </c>
      <c r="C100" t="s">
        <v>83</v>
      </c>
      <c r="D100" t="s">
        <v>85</v>
      </c>
      <c r="E100">
        <v>2460</v>
      </c>
      <c r="F100">
        <v>12</v>
      </c>
      <c r="G100" t="s">
        <v>403</v>
      </c>
      <c r="H100" t="s">
        <v>406</v>
      </c>
      <c r="I100">
        <v>470</v>
      </c>
    </row>
    <row r="101" spans="1:9" x14ac:dyDescent="0.25">
      <c r="A101" s="2">
        <v>45693</v>
      </c>
      <c r="B101" t="s">
        <v>78</v>
      </c>
      <c r="C101" t="s">
        <v>84</v>
      </c>
      <c r="D101" t="s">
        <v>88</v>
      </c>
      <c r="E101">
        <v>3941</v>
      </c>
      <c r="F101">
        <v>7</v>
      </c>
      <c r="G101" t="s">
        <v>403</v>
      </c>
      <c r="H101" t="s">
        <v>406</v>
      </c>
      <c r="I101">
        <v>488</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D431A-30B5-4FF8-AD96-9DDA53CDB222}">
  <sheetPr codeName="Sheet4"/>
  <dimension ref="A1:T101"/>
  <sheetViews>
    <sheetView zoomScaleNormal="100" workbookViewId="0">
      <selection activeCell="G1" sqref="G1:G1048576"/>
    </sheetView>
  </sheetViews>
  <sheetFormatPr defaultRowHeight="15" x14ac:dyDescent="0.25"/>
  <cols>
    <col min="1" max="1" width="10.5703125" bestFit="1" customWidth="1"/>
    <col min="2" max="2" width="12" bestFit="1" customWidth="1"/>
    <col min="3" max="3" width="11.140625" bestFit="1" customWidth="1"/>
    <col min="4" max="4" width="9.42578125" bestFit="1" customWidth="1"/>
    <col min="5" max="5" width="15.5703125" bestFit="1" customWidth="1"/>
    <col min="6" max="6" width="15.42578125" bestFit="1" customWidth="1"/>
    <col min="7" max="7" width="10.85546875" bestFit="1" customWidth="1"/>
    <col min="8" max="8" width="13.42578125" customWidth="1"/>
    <col min="9" max="9" width="13.140625" customWidth="1"/>
    <col min="10" max="10" width="13.140625" bestFit="1" customWidth="1"/>
    <col min="12" max="12" width="13.140625" bestFit="1" customWidth="1"/>
    <col min="14" max="14" width="13.140625" bestFit="1" customWidth="1"/>
    <col min="16" max="16" width="11.7109375" bestFit="1" customWidth="1"/>
    <col min="18" max="18" width="18.7109375" bestFit="1" customWidth="1"/>
    <col min="20" max="20" width="13" bestFit="1" customWidth="1"/>
  </cols>
  <sheetData>
    <row r="1" spans="1:20" x14ac:dyDescent="0.25">
      <c r="A1" t="s">
        <v>0</v>
      </c>
      <c r="B1" t="s">
        <v>1</v>
      </c>
      <c r="C1" t="s">
        <v>2</v>
      </c>
      <c r="D1" t="s">
        <v>3</v>
      </c>
      <c r="E1" t="s">
        <v>4</v>
      </c>
      <c r="F1" t="s">
        <v>5</v>
      </c>
      <c r="G1" t="s">
        <v>150</v>
      </c>
    </row>
    <row r="2" spans="1:20" x14ac:dyDescent="0.25">
      <c r="A2" s="2">
        <v>45697</v>
      </c>
      <c r="B2" t="s">
        <v>73</v>
      </c>
      <c r="C2" t="s">
        <v>81</v>
      </c>
      <c r="D2" t="s">
        <v>85</v>
      </c>
      <c r="E2">
        <v>4050</v>
      </c>
      <c r="F2">
        <v>18</v>
      </c>
      <c r="G2" t="str">
        <f t="shared" ref="G2:G33" si="0">SUBSTITUTE(C:C,"ing","s")</f>
        <v>Footwear</v>
      </c>
      <c r="I2">
        <v>1</v>
      </c>
      <c r="J2">
        <v>2</v>
      </c>
      <c r="K2">
        <v>2</v>
      </c>
      <c r="L2">
        <v>4</v>
      </c>
      <c r="M2">
        <v>5</v>
      </c>
    </row>
    <row r="3" spans="1:20" ht="15.75" thickBot="1" x14ac:dyDescent="0.3">
      <c r="A3" s="2">
        <v>45734</v>
      </c>
      <c r="B3" t="s">
        <v>74</v>
      </c>
      <c r="C3" t="s">
        <v>82</v>
      </c>
      <c r="D3" t="s">
        <v>86</v>
      </c>
      <c r="E3">
        <v>7875</v>
      </c>
      <c r="F3">
        <v>15</v>
      </c>
      <c r="G3" t="str">
        <f t="shared" si="0"/>
        <v>Electronics</v>
      </c>
      <c r="I3" s="6" t="s">
        <v>126</v>
      </c>
      <c r="J3" s="6" t="s">
        <v>127</v>
      </c>
      <c r="K3" s="6" t="s">
        <v>127</v>
      </c>
      <c r="L3" s="6" t="s">
        <v>128</v>
      </c>
      <c r="M3" s="6" t="s">
        <v>129</v>
      </c>
    </row>
    <row r="4" spans="1:20" ht="15.75" thickTop="1" x14ac:dyDescent="0.25">
      <c r="A4" s="2">
        <v>45676</v>
      </c>
      <c r="B4" t="s">
        <v>75</v>
      </c>
      <c r="C4" t="s">
        <v>83</v>
      </c>
      <c r="D4" t="s">
        <v>85</v>
      </c>
      <c r="E4">
        <v>5832</v>
      </c>
      <c r="F4">
        <v>6</v>
      </c>
      <c r="G4" t="str">
        <f t="shared" si="0"/>
        <v>Cloths</v>
      </c>
      <c r="I4">
        <v>1</v>
      </c>
      <c r="J4">
        <v>2</v>
      </c>
      <c r="K4">
        <v>3</v>
      </c>
      <c r="L4">
        <v>4</v>
      </c>
      <c r="M4">
        <v>5</v>
      </c>
      <c r="R4" t="s">
        <v>137</v>
      </c>
    </row>
    <row r="5" spans="1:20" ht="15.75" thickBot="1" x14ac:dyDescent="0.3">
      <c r="A5" s="2">
        <v>45694</v>
      </c>
      <c r="B5" t="s">
        <v>76</v>
      </c>
      <c r="C5" t="s">
        <v>84</v>
      </c>
      <c r="D5" t="s">
        <v>85</v>
      </c>
      <c r="E5">
        <v>676</v>
      </c>
      <c r="F5">
        <v>4</v>
      </c>
      <c r="G5" t="str">
        <f t="shared" si="0"/>
        <v>Appliances</v>
      </c>
      <c r="H5" s="6" t="s">
        <v>130</v>
      </c>
      <c r="N5" t="s">
        <v>136</v>
      </c>
      <c r="R5" t="s">
        <v>138</v>
      </c>
    </row>
    <row r="6" spans="1:20" ht="15.75" thickTop="1" x14ac:dyDescent="0.25">
      <c r="A6" s="2">
        <v>45693</v>
      </c>
      <c r="B6" t="s">
        <v>74</v>
      </c>
      <c r="C6" t="s">
        <v>82</v>
      </c>
      <c r="D6" t="s">
        <v>87</v>
      </c>
      <c r="E6">
        <v>6560</v>
      </c>
      <c r="F6">
        <v>10</v>
      </c>
      <c r="G6" t="str">
        <f t="shared" si="0"/>
        <v>Electronics</v>
      </c>
    </row>
    <row r="7" spans="1:20" x14ac:dyDescent="0.25">
      <c r="A7" s="2">
        <v>45775</v>
      </c>
      <c r="B7" t="s">
        <v>76</v>
      </c>
      <c r="C7" t="s">
        <v>84</v>
      </c>
      <c r="D7" t="s">
        <v>87</v>
      </c>
      <c r="E7">
        <v>1905</v>
      </c>
      <c r="F7">
        <v>5</v>
      </c>
      <c r="G7" t="str">
        <f t="shared" si="0"/>
        <v>Appliances</v>
      </c>
    </row>
    <row r="8" spans="1:20" ht="15.75" thickBot="1" x14ac:dyDescent="0.3">
      <c r="A8" s="2">
        <v>45720</v>
      </c>
      <c r="B8" t="s">
        <v>77</v>
      </c>
      <c r="C8" t="s">
        <v>83</v>
      </c>
      <c r="D8" t="s">
        <v>86</v>
      </c>
      <c r="E8">
        <v>6948</v>
      </c>
      <c r="F8">
        <v>18</v>
      </c>
      <c r="G8" t="str">
        <f t="shared" si="0"/>
        <v>Cloths</v>
      </c>
      <c r="H8" s="6" t="s">
        <v>125</v>
      </c>
      <c r="J8" s="6" t="s">
        <v>131</v>
      </c>
      <c r="L8" s="6" t="s">
        <v>132</v>
      </c>
      <c r="N8" s="6" t="s">
        <v>133</v>
      </c>
      <c r="P8" s="6" t="s">
        <v>134</v>
      </c>
      <c r="R8" s="6" t="s">
        <v>135</v>
      </c>
    </row>
    <row r="9" spans="1:20" ht="15.75" thickTop="1" x14ac:dyDescent="0.25">
      <c r="A9" s="2">
        <v>45764</v>
      </c>
      <c r="B9" t="s">
        <v>77</v>
      </c>
      <c r="C9" t="s">
        <v>83</v>
      </c>
      <c r="D9" t="s">
        <v>85</v>
      </c>
      <c r="E9">
        <v>1944</v>
      </c>
      <c r="F9">
        <v>18</v>
      </c>
      <c r="G9" t="str">
        <f t="shared" si="0"/>
        <v>Cloths</v>
      </c>
      <c r="H9">
        <f>FIND(J3,H5,3)</f>
        <v>3</v>
      </c>
      <c r="J9" t="str">
        <f>REPLACE(N5,5,4,2027)</f>
        <v>ABC-2027-001</v>
      </c>
      <c r="L9" t="str">
        <f>SUBSTITUTE(N5,"2026","2028")</f>
        <v>ABC-2028-001</v>
      </c>
      <c r="N9" t="str">
        <f>MID(N5,1,5)</f>
        <v>ABC-2</v>
      </c>
      <c r="P9">
        <f>SEARCH("P",H5)</f>
        <v>2</v>
      </c>
      <c r="R9" t="str">
        <f>CONCATENATE(R4,R5)</f>
        <v>SANTHOSH SANTHU</v>
      </c>
    </row>
    <row r="10" spans="1:20" x14ac:dyDescent="0.25">
      <c r="A10" s="2">
        <v>45735</v>
      </c>
      <c r="B10" t="s">
        <v>78</v>
      </c>
      <c r="C10" t="s">
        <v>84</v>
      </c>
      <c r="D10" t="s">
        <v>85</v>
      </c>
      <c r="E10">
        <v>7776</v>
      </c>
      <c r="F10">
        <v>8</v>
      </c>
      <c r="G10" t="str">
        <f t="shared" si="0"/>
        <v>Appliances</v>
      </c>
      <c r="H10">
        <f>FIND(J3,H5)</f>
        <v>2</v>
      </c>
      <c r="P10">
        <f>SEARCH("2026",N5)</f>
        <v>5</v>
      </c>
    </row>
    <row r="11" spans="1:20" x14ac:dyDescent="0.25">
      <c r="A11" s="2">
        <v>45778</v>
      </c>
      <c r="B11" t="s">
        <v>74</v>
      </c>
      <c r="C11" t="s">
        <v>82</v>
      </c>
      <c r="D11" t="s">
        <v>86</v>
      </c>
      <c r="E11">
        <v>2790</v>
      </c>
      <c r="F11">
        <v>18</v>
      </c>
      <c r="G11" t="str">
        <f t="shared" si="0"/>
        <v>Electronics</v>
      </c>
    </row>
    <row r="12" spans="1:20" x14ac:dyDescent="0.25">
      <c r="A12" s="2">
        <v>45693</v>
      </c>
      <c r="B12" t="s">
        <v>75</v>
      </c>
      <c r="C12" t="s">
        <v>83</v>
      </c>
      <c r="D12" t="s">
        <v>86</v>
      </c>
      <c r="E12">
        <v>7995</v>
      </c>
      <c r="F12">
        <v>13</v>
      </c>
      <c r="G12" t="str">
        <f t="shared" si="0"/>
        <v>Cloths</v>
      </c>
      <c r="H12" s="7" t="str">
        <f>IFERROR(FIND($D$2,D:D),"NOT FOUND")</f>
        <v>NOT FOUND</v>
      </c>
      <c r="L12" s="7" t="str">
        <f>SUBSTITUTE(C4,"ing","s")</f>
        <v>Cloths</v>
      </c>
      <c r="N12" s="7" t="str">
        <f>MID(C:C,1,4)</f>
        <v>Clot</v>
      </c>
      <c r="P12" s="7">
        <f>IFERROR(SEARCH($D$6,D:D),0)</f>
        <v>0</v>
      </c>
      <c r="R12" s="3" t="s">
        <v>139</v>
      </c>
      <c r="S12" s="3" t="s">
        <v>140</v>
      </c>
      <c r="T12" s="3" t="s">
        <v>145</v>
      </c>
    </row>
    <row r="13" spans="1:20" x14ac:dyDescent="0.25">
      <c r="A13" s="2">
        <v>45677</v>
      </c>
      <c r="B13" t="s">
        <v>75</v>
      </c>
      <c r="C13" t="s">
        <v>83</v>
      </c>
      <c r="D13" t="s">
        <v>85</v>
      </c>
      <c r="E13">
        <v>9984</v>
      </c>
      <c r="F13">
        <v>13</v>
      </c>
      <c r="G13" t="str">
        <f t="shared" si="0"/>
        <v>Cloths</v>
      </c>
      <c r="H13" s="7">
        <f t="shared" ref="H13:H21" si="1">IFERROR(FIND($D$2,D:D),"NOT FOUND")</f>
        <v>1</v>
      </c>
      <c r="L13" s="7" t="str">
        <f t="shared" ref="L13:L32" si="2">SUBSTITUTE(C5,"ing","s")</f>
        <v>Appliances</v>
      </c>
      <c r="N13" s="7" t="str">
        <f t="shared" ref="N13:N32" si="3">MID(C:C,1,4)</f>
        <v>Clot</v>
      </c>
      <c r="P13" s="7">
        <f t="shared" ref="P13:P32" si="4">IFERROR(SEARCH($D$6,D:D),0)</f>
        <v>0</v>
      </c>
      <c r="R13" t="s">
        <v>141</v>
      </c>
      <c r="S13" t="s">
        <v>142</v>
      </c>
      <c r="T13" t="str">
        <f>_xlfn.CONCAT(R13," ",S13)</f>
        <v>SHIV KESHAV</v>
      </c>
    </row>
    <row r="14" spans="1:20" x14ac:dyDescent="0.25">
      <c r="A14" s="2">
        <v>45739</v>
      </c>
      <c r="B14" t="s">
        <v>75</v>
      </c>
      <c r="C14" t="s">
        <v>83</v>
      </c>
      <c r="D14" t="s">
        <v>87</v>
      </c>
      <c r="E14">
        <v>7683</v>
      </c>
      <c r="F14">
        <v>13</v>
      </c>
      <c r="G14" t="str">
        <f t="shared" si="0"/>
        <v>Cloths</v>
      </c>
      <c r="H14" s="7" t="str">
        <f t="shared" si="1"/>
        <v>NOT FOUND</v>
      </c>
      <c r="L14" s="7" t="str">
        <f t="shared" si="2"/>
        <v>Electronics</v>
      </c>
      <c r="N14" s="7" t="str">
        <f t="shared" si="3"/>
        <v>Clot</v>
      </c>
      <c r="P14" s="7">
        <f t="shared" si="4"/>
        <v>1</v>
      </c>
      <c r="R14" t="s">
        <v>143</v>
      </c>
      <c r="S14" t="s">
        <v>144</v>
      </c>
      <c r="T14" t="str">
        <f>_xlfn.CONCAT(R14," ",S14)</f>
        <v>ASHOK G</v>
      </c>
    </row>
    <row r="15" spans="1:20" x14ac:dyDescent="0.25">
      <c r="A15" s="2">
        <v>45699</v>
      </c>
      <c r="B15" t="s">
        <v>76</v>
      </c>
      <c r="C15" t="s">
        <v>84</v>
      </c>
      <c r="D15" t="s">
        <v>88</v>
      </c>
      <c r="E15">
        <v>6885</v>
      </c>
      <c r="F15">
        <v>9</v>
      </c>
      <c r="G15" t="str">
        <f t="shared" si="0"/>
        <v>Appliances</v>
      </c>
      <c r="H15" s="7" t="str">
        <f t="shared" si="1"/>
        <v>NOT FOUND</v>
      </c>
      <c r="L15" s="7" t="str">
        <f t="shared" si="2"/>
        <v>Appliances</v>
      </c>
      <c r="N15" s="7" t="str">
        <f t="shared" si="3"/>
        <v>Appl</v>
      </c>
      <c r="P15" s="7">
        <f t="shared" si="4"/>
        <v>0</v>
      </c>
      <c r="R15" t="s">
        <v>146</v>
      </c>
      <c r="S15" t="s">
        <v>147</v>
      </c>
      <c r="T15" t="str">
        <f>_xlfn.CONCAT(R15," ",S15)</f>
        <v>UDAY KIRAN</v>
      </c>
    </row>
    <row r="16" spans="1:20" x14ac:dyDescent="0.25">
      <c r="A16" s="2">
        <v>45767</v>
      </c>
      <c r="B16" t="s">
        <v>79</v>
      </c>
      <c r="C16" t="s">
        <v>81</v>
      </c>
      <c r="D16" t="s">
        <v>87</v>
      </c>
      <c r="E16">
        <v>229</v>
      </c>
      <c r="F16">
        <v>1</v>
      </c>
      <c r="G16" t="str">
        <f t="shared" si="0"/>
        <v>Footwear</v>
      </c>
      <c r="H16" s="7" t="str">
        <f t="shared" si="1"/>
        <v>NOT FOUND</v>
      </c>
      <c r="L16" s="7" t="str">
        <f t="shared" si="2"/>
        <v>Cloths</v>
      </c>
      <c r="N16" s="7" t="str">
        <f t="shared" si="3"/>
        <v>Foot</v>
      </c>
      <c r="P16" s="7">
        <f t="shared" si="4"/>
        <v>1</v>
      </c>
    </row>
    <row r="17" spans="1:19" x14ac:dyDescent="0.25">
      <c r="A17" s="2">
        <v>45735</v>
      </c>
      <c r="B17" t="s">
        <v>80</v>
      </c>
      <c r="C17" t="s">
        <v>82</v>
      </c>
      <c r="D17" t="s">
        <v>87</v>
      </c>
      <c r="E17">
        <v>6104</v>
      </c>
      <c r="F17">
        <v>7</v>
      </c>
      <c r="G17" t="str">
        <f t="shared" si="0"/>
        <v>Electronics</v>
      </c>
      <c r="H17" s="7" t="str">
        <f t="shared" si="1"/>
        <v>NOT FOUND</v>
      </c>
      <c r="L17" s="7" t="str">
        <f t="shared" si="2"/>
        <v>Cloths</v>
      </c>
      <c r="N17" s="7" t="str">
        <f t="shared" si="3"/>
        <v>Elec</v>
      </c>
      <c r="P17" s="7">
        <f t="shared" si="4"/>
        <v>1</v>
      </c>
    </row>
    <row r="18" spans="1:19" x14ac:dyDescent="0.25">
      <c r="A18" s="2">
        <v>45722</v>
      </c>
      <c r="B18" t="s">
        <v>78</v>
      </c>
      <c r="C18" t="s">
        <v>84</v>
      </c>
      <c r="D18" t="s">
        <v>85</v>
      </c>
      <c r="E18">
        <v>558</v>
      </c>
      <c r="F18">
        <v>1</v>
      </c>
      <c r="G18" t="str">
        <f t="shared" si="0"/>
        <v>Appliances</v>
      </c>
      <c r="H18" s="7">
        <f t="shared" si="1"/>
        <v>1</v>
      </c>
      <c r="L18" s="7" t="str">
        <f t="shared" si="2"/>
        <v>Appliances</v>
      </c>
      <c r="N18" s="7" t="str">
        <f t="shared" si="3"/>
        <v>Appl</v>
      </c>
      <c r="P18" s="7">
        <f t="shared" si="4"/>
        <v>0</v>
      </c>
      <c r="R18" s="8" t="s">
        <v>148</v>
      </c>
      <c r="S18" s="8"/>
    </row>
    <row r="19" spans="1:19" x14ac:dyDescent="0.25">
      <c r="A19" s="2">
        <v>45741</v>
      </c>
      <c r="B19" t="s">
        <v>76</v>
      </c>
      <c r="C19" t="s">
        <v>84</v>
      </c>
      <c r="D19" t="s">
        <v>85</v>
      </c>
      <c r="E19">
        <v>6413</v>
      </c>
      <c r="F19">
        <v>11</v>
      </c>
      <c r="G19" t="str">
        <f t="shared" si="0"/>
        <v>Appliances</v>
      </c>
      <c r="H19" s="7">
        <f t="shared" si="1"/>
        <v>1</v>
      </c>
      <c r="L19" s="7" t="str">
        <f t="shared" si="2"/>
        <v>Electronics</v>
      </c>
      <c r="N19" s="7" t="str">
        <f t="shared" si="3"/>
        <v>Appl</v>
      </c>
      <c r="P19" s="7">
        <f t="shared" si="4"/>
        <v>0</v>
      </c>
      <c r="R19" s="8" t="s">
        <v>149</v>
      </c>
      <c r="S19" s="8"/>
    </row>
    <row r="20" spans="1:19" x14ac:dyDescent="0.25">
      <c r="A20" s="2">
        <v>45732</v>
      </c>
      <c r="B20" t="s">
        <v>74</v>
      </c>
      <c r="C20" t="s">
        <v>82</v>
      </c>
      <c r="D20" t="s">
        <v>88</v>
      </c>
      <c r="E20">
        <v>1017</v>
      </c>
      <c r="F20">
        <v>9</v>
      </c>
      <c r="G20" t="str">
        <f t="shared" si="0"/>
        <v>Electronics</v>
      </c>
      <c r="H20" s="7" t="str">
        <f t="shared" si="1"/>
        <v>NOT FOUND</v>
      </c>
      <c r="L20" s="7" t="str">
        <f t="shared" si="2"/>
        <v>Cloths</v>
      </c>
      <c r="N20" s="7" t="str">
        <f t="shared" si="3"/>
        <v>Elec</v>
      </c>
      <c r="P20" s="7">
        <f t="shared" si="4"/>
        <v>0</v>
      </c>
    </row>
    <row r="21" spans="1:19" x14ac:dyDescent="0.25">
      <c r="A21" s="2">
        <v>45721</v>
      </c>
      <c r="B21" t="s">
        <v>80</v>
      </c>
      <c r="C21" t="s">
        <v>82</v>
      </c>
      <c r="D21" t="s">
        <v>86</v>
      </c>
      <c r="E21">
        <v>9310</v>
      </c>
      <c r="F21">
        <v>10</v>
      </c>
      <c r="G21" t="str">
        <f t="shared" si="0"/>
        <v>Electronics</v>
      </c>
      <c r="H21" s="7" t="str">
        <f t="shared" si="1"/>
        <v>NOT FOUND</v>
      </c>
      <c r="L21" s="7" t="str">
        <f t="shared" si="2"/>
        <v>Cloths</v>
      </c>
      <c r="N21" s="7" t="str">
        <f t="shared" si="3"/>
        <v>Elec</v>
      </c>
      <c r="P21" s="7">
        <f t="shared" si="4"/>
        <v>0</v>
      </c>
    </row>
    <row r="22" spans="1:19" x14ac:dyDescent="0.25">
      <c r="A22" s="2">
        <v>45703</v>
      </c>
      <c r="B22" t="s">
        <v>75</v>
      </c>
      <c r="C22" t="s">
        <v>83</v>
      </c>
      <c r="D22" t="s">
        <v>87</v>
      </c>
      <c r="E22">
        <v>2560</v>
      </c>
      <c r="F22">
        <v>4</v>
      </c>
      <c r="G22" t="str">
        <f t="shared" si="0"/>
        <v>Cloths</v>
      </c>
      <c r="L22" s="7" t="str">
        <f t="shared" si="2"/>
        <v>Cloths</v>
      </c>
      <c r="N22" s="7" t="str">
        <f t="shared" si="3"/>
        <v>Clot</v>
      </c>
      <c r="P22" s="7">
        <f t="shared" si="4"/>
        <v>1</v>
      </c>
    </row>
    <row r="23" spans="1:19" x14ac:dyDescent="0.25">
      <c r="A23" s="2">
        <v>45681</v>
      </c>
      <c r="B23" t="s">
        <v>76</v>
      </c>
      <c r="C23" t="s">
        <v>84</v>
      </c>
      <c r="D23" t="s">
        <v>86</v>
      </c>
      <c r="E23">
        <v>6855</v>
      </c>
      <c r="F23">
        <v>15</v>
      </c>
      <c r="G23" t="str">
        <f t="shared" si="0"/>
        <v>Appliances</v>
      </c>
      <c r="L23" s="7" t="str">
        <f t="shared" si="2"/>
        <v>Appliances</v>
      </c>
      <c r="N23" s="7" t="str">
        <f t="shared" si="3"/>
        <v>Appl</v>
      </c>
      <c r="P23" s="7">
        <f t="shared" si="4"/>
        <v>0</v>
      </c>
    </row>
    <row r="24" spans="1:19" x14ac:dyDescent="0.25">
      <c r="A24" s="2">
        <v>45663</v>
      </c>
      <c r="B24" t="s">
        <v>78</v>
      </c>
      <c r="C24" t="s">
        <v>84</v>
      </c>
      <c r="D24" t="s">
        <v>86</v>
      </c>
      <c r="E24">
        <v>7398</v>
      </c>
      <c r="F24">
        <v>9</v>
      </c>
      <c r="G24" t="str">
        <f t="shared" si="0"/>
        <v>Appliances</v>
      </c>
      <c r="H24" s="3" t="s">
        <v>139</v>
      </c>
      <c r="I24" s="3" t="s">
        <v>140</v>
      </c>
      <c r="J24" s="3" t="s">
        <v>145</v>
      </c>
      <c r="L24" s="7" t="str">
        <f>SUBSTITUTE(C16,"ing","s")</f>
        <v>Footwear</v>
      </c>
      <c r="N24" s="7" t="str">
        <f>MID(C:C,1,4)</f>
        <v>Appl</v>
      </c>
      <c r="P24" s="7">
        <f>IFERROR(SEARCH($D$6,D:D),0)</f>
        <v>0</v>
      </c>
    </row>
    <row r="25" spans="1:19" x14ac:dyDescent="0.25">
      <c r="A25" s="2">
        <v>45660</v>
      </c>
      <c r="B25" t="s">
        <v>74</v>
      </c>
      <c r="C25" t="s">
        <v>82</v>
      </c>
      <c r="D25" t="s">
        <v>85</v>
      </c>
      <c r="E25">
        <v>2094</v>
      </c>
      <c r="F25">
        <v>6</v>
      </c>
      <c r="G25" t="str">
        <f t="shared" si="0"/>
        <v>Electronics</v>
      </c>
      <c r="H25" t="s">
        <v>141</v>
      </c>
      <c r="I25" t="s">
        <v>142</v>
      </c>
      <c r="J25" t="str">
        <f>_xlfn.CONCAT(H25," ",I25)</f>
        <v>SHIV KESHAV</v>
      </c>
      <c r="L25" s="7" t="str">
        <f>SUBSTITUTE(C17,"ing","s")</f>
        <v>Electronics</v>
      </c>
      <c r="N25" s="7" t="str">
        <f>MID(C:C,1,4)</f>
        <v>Elec</v>
      </c>
      <c r="P25" s="7">
        <f>IFERROR(SEARCH($D$6,D:D),0)</f>
        <v>0</v>
      </c>
    </row>
    <row r="26" spans="1:19" x14ac:dyDescent="0.25">
      <c r="A26" s="2">
        <v>45701</v>
      </c>
      <c r="B26" t="s">
        <v>74</v>
      </c>
      <c r="C26" t="s">
        <v>82</v>
      </c>
      <c r="D26" t="s">
        <v>88</v>
      </c>
      <c r="E26">
        <v>3996</v>
      </c>
      <c r="F26">
        <v>4</v>
      </c>
      <c r="G26" t="str">
        <f t="shared" si="0"/>
        <v>Electronics</v>
      </c>
      <c r="H26" t="s">
        <v>143</v>
      </c>
      <c r="I26" t="s">
        <v>144</v>
      </c>
      <c r="J26" t="str">
        <f>_xlfn.CONCAT(H26," ",I26)</f>
        <v>ASHOK G</v>
      </c>
      <c r="L26" s="7" t="str">
        <f>SUBSTITUTE(C18,"ing","s")</f>
        <v>Appliances</v>
      </c>
      <c r="N26" s="7" t="str">
        <f>MID(C:C,1,4)</f>
        <v>Elec</v>
      </c>
      <c r="P26" s="7">
        <f>IFERROR(SEARCH($D$6,D:D),0)</f>
        <v>0</v>
      </c>
    </row>
    <row r="27" spans="1:19" x14ac:dyDescent="0.25">
      <c r="A27" s="2">
        <v>45679</v>
      </c>
      <c r="B27" t="s">
        <v>78</v>
      </c>
      <c r="C27" t="s">
        <v>84</v>
      </c>
      <c r="D27" t="s">
        <v>87</v>
      </c>
      <c r="E27">
        <v>4884</v>
      </c>
      <c r="F27">
        <v>6</v>
      </c>
      <c r="G27" t="str">
        <f t="shared" si="0"/>
        <v>Appliances</v>
      </c>
      <c r="H27" t="s">
        <v>146</v>
      </c>
      <c r="I27" t="s">
        <v>147</v>
      </c>
      <c r="J27" t="str">
        <f>_xlfn.CONCAT(H27," ",I27)</f>
        <v>UDAY KIRAN</v>
      </c>
      <c r="L27" s="7" t="str">
        <f>SUBSTITUTE(C19,"ing","s")</f>
        <v>Appliances</v>
      </c>
      <c r="N27" s="7" t="str">
        <f>MID(C:C,1,4)</f>
        <v>Appl</v>
      </c>
      <c r="P27" s="7">
        <f>IFERROR(SEARCH($D$6,D:D),0)</f>
        <v>1</v>
      </c>
    </row>
    <row r="28" spans="1:19" x14ac:dyDescent="0.25">
      <c r="A28" s="2">
        <v>45693</v>
      </c>
      <c r="B28" t="s">
        <v>77</v>
      </c>
      <c r="C28" t="s">
        <v>83</v>
      </c>
      <c r="D28" t="s">
        <v>88</v>
      </c>
      <c r="E28">
        <v>1767</v>
      </c>
      <c r="F28">
        <v>3</v>
      </c>
      <c r="G28" t="str">
        <f t="shared" si="0"/>
        <v>Cloths</v>
      </c>
      <c r="L28" s="7" t="str">
        <f t="shared" si="2"/>
        <v>Electronics</v>
      </c>
      <c r="N28" s="7" t="str">
        <f>MID(C:C,1,4)</f>
        <v>Clot</v>
      </c>
      <c r="P28" s="7">
        <f>IFERROR(SEARCH($D$6,D:D),0)</f>
        <v>0</v>
      </c>
    </row>
    <row r="29" spans="1:19" x14ac:dyDescent="0.25">
      <c r="A29" s="2">
        <v>45744</v>
      </c>
      <c r="B29" t="s">
        <v>78</v>
      </c>
      <c r="C29" t="s">
        <v>84</v>
      </c>
      <c r="D29" t="s">
        <v>85</v>
      </c>
      <c r="E29">
        <v>7840</v>
      </c>
      <c r="F29">
        <v>14</v>
      </c>
      <c r="G29" t="str">
        <f t="shared" si="0"/>
        <v>Appliances</v>
      </c>
      <c r="L29" s="7" t="str">
        <f t="shared" si="2"/>
        <v>Electronics</v>
      </c>
      <c r="N29" s="7" t="str">
        <f t="shared" si="3"/>
        <v>Appl</v>
      </c>
      <c r="P29" s="7">
        <f t="shared" si="4"/>
        <v>0</v>
      </c>
    </row>
    <row r="30" spans="1:19" x14ac:dyDescent="0.25">
      <c r="A30" s="2">
        <v>45670</v>
      </c>
      <c r="B30" t="s">
        <v>78</v>
      </c>
      <c r="C30" t="s">
        <v>84</v>
      </c>
      <c r="D30" t="s">
        <v>86</v>
      </c>
      <c r="E30">
        <v>4806</v>
      </c>
      <c r="F30">
        <v>6</v>
      </c>
      <c r="G30" t="str">
        <f t="shared" si="0"/>
        <v>Appliances</v>
      </c>
      <c r="L30" s="7" t="str">
        <f t="shared" si="2"/>
        <v>Cloths</v>
      </c>
      <c r="N30" s="7" t="str">
        <f t="shared" si="3"/>
        <v>Appl</v>
      </c>
      <c r="P30" s="7">
        <f t="shared" si="4"/>
        <v>0</v>
      </c>
    </row>
    <row r="31" spans="1:19" x14ac:dyDescent="0.25">
      <c r="A31" s="2">
        <v>45716</v>
      </c>
      <c r="B31" t="s">
        <v>78</v>
      </c>
      <c r="C31" t="s">
        <v>84</v>
      </c>
      <c r="D31" t="s">
        <v>88</v>
      </c>
      <c r="E31">
        <v>2598</v>
      </c>
      <c r="F31">
        <v>3</v>
      </c>
      <c r="G31" t="str">
        <f t="shared" si="0"/>
        <v>Appliances</v>
      </c>
      <c r="L31" s="7" t="str">
        <f t="shared" si="2"/>
        <v>Appliances</v>
      </c>
      <c r="N31" s="7" t="str">
        <f t="shared" si="3"/>
        <v>Appl</v>
      </c>
      <c r="P31" s="7">
        <f t="shared" si="4"/>
        <v>0</v>
      </c>
    </row>
    <row r="32" spans="1:19" x14ac:dyDescent="0.25">
      <c r="A32" s="2">
        <v>45762</v>
      </c>
      <c r="B32" t="s">
        <v>73</v>
      </c>
      <c r="C32" t="s">
        <v>81</v>
      </c>
      <c r="D32" t="s">
        <v>88</v>
      </c>
      <c r="E32">
        <v>12920</v>
      </c>
      <c r="F32">
        <v>17</v>
      </c>
      <c r="G32" t="str">
        <f t="shared" si="0"/>
        <v>Footwear</v>
      </c>
      <c r="L32" s="7" t="str">
        <f t="shared" si="2"/>
        <v>Appliances</v>
      </c>
      <c r="N32" s="7" t="str">
        <f t="shared" si="3"/>
        <v>Foot</v>
      </c>
      <c r="P32" s="7">
        <f t="shared" si="4"/>
        <v>0</v>
      </c>
    </row>
    <row r="33" spans="1:7" x14ac:dyDescent="0.25">
      <c r="A33" s="2">
        <v>45692</v>
      </c>
      <c r="B33" t="s">
        <v>77</v>
      </c>
      <c r="C33" t="s">
        <v>83</v>
      </c>
      <c r="D33" t="s">
        <v>85</v>
      </c>
      <c r="E33">
        <v>2134</v>
      </c>
      <c r="F33">
        <v>11</v>
      </c>
      <c r="G33" t="str">
        <f t="shared" si="0"/>
        <v>Cloths</v>
      </c>
    </row>
    <row r="34" spans="1:7" x14ac:dyDescent="0.25">
      <c r="A34" s="2">
        <v>45747</v>
      </c>
      <c r="B34" t="s">
        <v>79</v>
      </c>
      <c r="C34" t="s">
        <v>81</v>
      </c>
      <c r="D34" t="s">
        <v>86</v>
      </c>
      <c r="E34">
        <v>311</v>
      </c>
      <c r="F34">
        <v>1</v>
      </c>
      <c r="G34" t="str">
        <f t="shared" ref="G34:G65" si="5">SUBSTITUTE(C:C,"ing","s")</f>
        <v>Footwear</v>
      </c>
    </row>
    <row r="35" spans="1:7" x14ac:dyDescent="0.25">
      <c r="A35" s="2">
        <v>45714</v>
      </c>
      <c r="B35" t="s">
        <v>73</v>
      </c>
      <c r="C35" t="s">
        <v>81</v>
      </c>
      <c r="D35" t="s">
        <v>85</v>
      </c>
      <c r="E35">
        <v>2388</v>
      </c>
      <c r="F35">
        <v>3</v>
      </c>
      <c r="G35" t="str">
        <f t="shared" si="5"/>
        <v>Footwear</v>
      </c>
    </row>
    <row r="36" spans="1:7" x14ac:dyDescent="0.25">
      <c r="A36" s="2">
        <v>45748</v>
      </c>
      <c r="B36" t="s">
        <v>76</v>
      </c>
      <c r="C36" t="s">
        <v>84</v>
      </c>
      <c r="D36" t="s">
        <v>85</v>
      </c>
      <c r="E36">
        <v>2853</v>
      </c>
      <c r="F36">
        <v>9</v>
      </c>
      <c r="G36" t="str">
        <f t="shared" si="5"/>
        <v>Appliances</v>
      </c>
    </row>
    <row r="37" spans="1:7" x14ac:dyDescent="0.25">
      <c r="A37" s="2">
        <v>45677</v>
      </c>
      <c r="B37" t="s">
        <v>80</v>
      </c>
      <c r="C37" t="s">
        <v>82</v>
      </c>
      <c r="D37" t="s">
        <v>88</v>
      </c>
      <c r="E37">
        <v>4382</v>
      </c>
      <c r="F37">
        <v>7</v>
      </c>
      <c r="G37" t="str">
        <f t="shared" si="5"/>
        <v>Electronics</v>
      </c>
    </row>
    <row r="38" spans="1:7" x14ac:dyDescent="0.25">
      <c r="A38" s="2">
        <v>45749</v>
      </c>
      <c r="B38" t="s">
        <v>73</v>
      </c>
      <c r="C38" t="s">
        <v>81</v>
      </c>
      <c r="D38" t="s">
        <v>85</v>
      </c>
      <c r="E38">
        <v>2690</v>
      </c>
      <c r="F38">
        <v>5</v>
      </c>
      <c r="G38" t="str">
        <f t="shared" si="5"/>
        <v>Footwear</v>
      </c>
    </row>
    <row r="39" spans="1:7" x14ac:dyDescent="0.25">
      <c r="A39" s="2">
        <v>45697</v>
      </c>
      <c r="B39" t="s">
        <v>77</v>
      </c>
      <c r="C39" t="s">
        <v>83</v>
      </c>
      <c r="D39" t="s">
        <v>87</v>
      </c>
      <c r="E39">
        <v>399</v>
      </c>
      <c r="F39">
        <v>3</v>
      </c>
      <c r="G39" t="str">
        <f t="shared" si="5"/>
        <v>Cloths</v>
      </c>
    </row>
    <row r="40" spans="1:7" x14ac:dyDescent="0.25">
      <c r="A40" s="2">
        <v>45670</v>
      </c>
      <c r="B40" t="s">
        <v>74</v>
      </c>
      <c r="C40" t="s">
        <v>82</v>
      </c>
      <c r="D40" t="s">
        <v>85</v>
      </c>
      <c r="E40">
        <v>4459</v>
      </c>
      <c r="F40">
        <v>7</v>
      </c>
      <c r="G40" t="str">
        <f t="shared" si="5"/>
        <v>Electronics</v>
      </c>
    </row>
    <row r="41" spans="1:7" x14ac:dyDescent="0.25">
      <c r="A41" s="2">
        <v>45704</v>
      </c>
      <c r="B41" t="s">
        <v>74</v>
      </c>
      <c r="C41" t="s">
        <v>82</v>
      </c>
      <c r="D41" t="s">
        <v>85</v>
      </c>
      <c r="E41">
        <v>2274</v>
      </c>
      <c r="F41">
        <v>3</v>
      </c>
      <c r="G41" t="str">
        <f t="shared" si="5"/>
        <v>Electronics</v>
      </c>
    </row>
    <row r="42" spans="1:7" x14ac:dyDescent="0.25">
      <c r="A42" s="2">
        <v>45725</v>
      </c>
      <c r="B42" t="s">
        <v>77</v>
      </c>
      <c r="C42" t="s">
        <v>83</v>
      </c>
      <c r="D42" t="s">
        <v>87</v>
      </c>
      <c r="E42">
        <v>11552</v>
      </c>
      <c r="F42">
        <v>19</v>
      </c>
      <c r="G42" t="str">
        <f t="shared" si="5"/>
        <v>Cloths</v>
      </c>
    </row>
    <row r="43" spans="1:7" x14ac:dyDescent="0.25">
      <c r="A43" s="2">
        <v>45749</v>
      </c>
      <c r="B43" t="s">
        <v>73</v>
      </c>
      <c r="C43" t="s">
        <v>81</v>
      </c>
      <c r="D43" t="s">
        <v>87</v>
      </c>
      <c r="E43">
        <v>4540</v>
      </c>
      <c r="F43">
        <v>5</v>
      </c>
      <c r="G43" t="str">
        <f t="shared" si="5"/>
        <v>Footwear</v>
      </c>
    </row>
    <row r="44" spans="1:7" x14ac:dyDescent="0.25">
      <c r="A44" s="2">
        <v>45695</v>
      </c>
      <c r="B44" t="s">
        <v>77</v>
      </c>
      <c r="C44" t="s">
        <v>83</v>
      </c>
      <c r="D44" t="s">
        <v>85</v>
      </c>
      <c r="E44">
        <v>4216</v>
      </c>
      <c r="F44">
        <v>8</v>
      </c>
      <c r="G44" t="str">
        <f t="shared" si="5"/>
        <v>Cloths</v>
      </c>
    </row>
    <row r="45" spans="1:7" x14ac:dyDescent="0.25">
      <c r="A45" s="2">
        <v>45705</v>
      </c>
      <c r="B45" t="s">
        <v>75</v>
      </c>
      <c r="C45" t="s">
        <v>83</v>
      </c>
      <c r="D45" t="s">
        <v>85</v>
      </c>
      <c r="E45">
        <v>4140</v>
      </c>
      <c r="F45">
        <v>18</v>
      </c>
      <c r="G45" t="str">
        <f t="shared" si="5"/>
        <v>Cloths</v>
      </c>
    </row>
    <row r="46" spans="1:7" x14ac:dyDescent="0.25">
      <c r="A46" s="2">
        <v>45728</v>
      </c>
      <c r="B46" t="s">
        <v>74</v>
      </c>
      <c r="C46" t="s">
        <v>82</v>
      </c>
      <c r="D46" t="s">
        <v>88</v>
      </c>
      <c r="E46">
        <v>8610</v>
      </c>
      <c r="F46">
        <v>10</v>
      </c>
      <c r="G46" t="str">
        <f t="shared" si="5"/>
        <v>Electronics</v>
      </c>
    </row>
    <row r="47" spans="1:7" x14ac:dyDescent="0.25">
      <c r="A47" s="2">
        <v>45719</v>
      </c>
      <c r="B47" t="s">
        <v>74</v>
      </c>
      <c r="C47" t="s">
        <v>82</v>
      </c>
      <c r="D47" t="s">
        <v>88</v>
      </c>
      <c r="E47">
        <v>7200</v>
      </c>
      <c r="F47">
        <v>8</v>
      </c>
      <c r="G47" t="str">
        <f t="shared" si="5"/>
        <v>Electronics</v>
      </c>
    </row>
    <row r="48" spans="1:7" x14ac:dyDescent="0.25">
      <c r="A48" s="2">
        <v>45746</v>
      </c>
      <c r="B48" t="s">
        <v>79</v>
      </c>
      <c r="C48" t="s">
        <v>81</v>
      </c>
      <c r="D48" t="s">
        <v>85</v>
      </c>
      <c r="E48">
        <v>10849</v>
      </c>
      <c r="F48">
        <v>19</v>
      </c>
      <c r="G48" t="str">
        <f t="shared" si="5"/>
        <v>Footwear</v>
      </c>
    </row>
    <row r="49" spans="1:7" x14ac:dyDescent="0.25">
      <c r="A49" s="2">
        <v>45660</v>
      </c>
      <c r="B49" t="s">
        <v>78</v>
      </c>
      <c r="C49" t="s">
        <v>84</v>
      </c>
      <c r="D49" t="s">
        <v>85</v>
      </c>
      <c r="E49">
        <v>14256</v>
      </c>
      <c r="F49">
        <v>16</v>
      </c>
      <c r="G49" t="str">
        <f t="shared" si="5"/>
        <v>Appliances</v>
      </c>
    </row>
    <row r="50" spans="1:7" x14ac:dyDescent="0.25">
      <c r="A50" s="2">
        <v>45701</v>
      </c>
      <c r="B50" t="s">
        <v>74</v>
      </c>
      <c r="C50" t="s">
        <v>82</v>
      </c>
      <c r="D50" t="s">
        <v>88</v>
      </c>
      <c r="E50">
        <v>1464</v>
      </c>
      <c r="F50">
        <v>2</v>
      </c>
      <c r="G50" t="str">
        <f t="shared" si="5"/>
        <v>Electronics</v>
      </c>
    </row>
    <row r="51" spans="1:7" x14ac:dyDescent="0.25">
      <c r="A51" s="2">
        <v>45732</v>
      </c>
      <c r="B51" t="s">
        <v>78</v>
      </c>
      <c r="C51" t="s">
        <v>84</v>
      </c>
      <c r="D51" t="s">
        <v>88</v>
      </c>
      <c r="E51">
        <v>9622</v>
      </c>
      <c r="F51">
        <v>17</v>
      </c>
      <c r="G51" t="str">
        <f t="shared" si="5"/>
        <v>Appliances</v>
      </c>
    </row>
    <row r="52" spans="1:7" x14ac:dyDescent="0.25">
      <c r="A52" s="2">
        <v>45707</v>
      </c>
      <c r="B52" t="s">
        <v>75</v>
      </c>
      <c r="C52" t="s">
        <v>83</v>
      </c>
      <c r="D52" t="s">
        <v>87</v>
      </c>
      <c r="E52">
        <v>13420</v>
      </c>
      <c r="F52">
        <v>20</v>
      </c>
      <c r="G52" t="str">
        <f t="shared" si="5"/>
        <v>Cloths</v>
      </c>
    </row>
    <row r="53" spans="1:7" x14ac:dyDescent="0.25">
      <c r="A53" s="2">
        <v>45705</v>
      </c>
      <c r="B53" t="s">
        <v>75</v>
      </c>
      <c r="C53" t="s">
        <v>83</v>
      </c>
      <c r="D53" t="s">
        <v>87</v>
      </c>
      <c r="E53">
        <v>3004</v>
      </c>
      <c r="F53">
        <v>4</v>
      </c>
      <c r="G53" t="str">
        <f t="shared" si="5"/>
        <v>Cloths</v>
      </c>
    </row>
    <row r="54" spans="1:7" x14ac:dyDescent="0.25">
      <c r="A54" s="2">
        <v>45754</v>
      </c>
      <c r="B54" t="s">
        <v>76</v>
      </c>
      <c r="C54" t="s">
        <v>84</v>
      </c>
      <c r="D54" t="s">
        <v>88</v>
      </c>
      <c r="E54">
        <v>11865</v>
      </c>
      <c r="F54">
        <v>15</v>
      </c>
      <c r="G54" t="str">
        <f t="shared" si="5"/>
        <v>Appliances</v>
      </c>
    </row>
    <row r="55" spans="1:7" x14ac:dyDescent="0.25">
      <c r="A55" s="2">
        <v>45719</v>
      </c>
      <c r="B55" t="s">
        <v>80</v>
      </c>
      <c r="C55" t="s">
        <v>82</v>
      </c>
      <c r="D55" t="s">
        <v>87</v>
      </c>
      <c r="E55">
        <v>7395</v>
      </c>
      <c r="F55">
        <v>17</v>
      </c>
      <c r="G55" t="str">
        <f t="shared" si="5"/>
        <v>Electronics</v>
      </c>
    </row>
    <row r="56" spans="1:7" x14ac:dyDescent="0.25">
      <c r="A56" s="2">
        <v>45704</v>
      </c>
      <c r="B56" t="s">
        <v>73</v>
      </c>
      <c r="C56" t="s">
        <v>81</v>
      </c>
      <c r="D56" t="s">
        <v>85</v>
      </c>
      <c r="E56">
        <v>12701</v>
      </c>
      <c r="F56">
        <v>13</v>
      </c>
      <c r="G56" t="str">
        <f t="shared" si="5"/>
        <v>Footwear</v>
      </c>
    </row>
    <row r="57" spans="1:7" x14ac:dyDescent="0.25">
      <c r="A57" s="2">
        <v>45766</v>
      </c>
      <c r="B57" t="s">
        <v>75</v>
      </c>
      <c r="C57" t="s">
        <v>83</v>
      </c>
      <c r="D57" t="s">
        <v>85</v>
      </c>
      <c r="E57">
        <v>8697</v>
      </c>
      <c r="F57">
        <v>13</v>
      </c>
      <c r="G57" t="str">
        <f t="shared" si="5"/>
        <v>Cloths</v>
      </c>
    </row>
    <row r="58" spans="1:7" x14ac:dyDescent="0.25">
      <c r="A58" s="2">
        <v>45693</v>
      </c>
      <c r="B58" t="s">
        <v>76</v>
      </c>
      <c r="C58" t="s">
        <v>84</v>
      </c>
      <c r="D58" t="s">
        <v>88</v>
      </c>
      <c r="E58">
        <v>2728</v>
      </c>
      <c r="F58">
        <v>11</v>
      </c>
      <c r="G58" t="str">
        <f t="shared" si="5"/>
        <v>Appliances</v>
      </c>
    </row>
    <row r="59" spans="1:7" x14ac:dyDescent="0.25">
      <c r="A59" s="2">
        <v>45658</v>
      </c>
      <c r="B59" t="s">
        <v>78</v>
      </c>
      <c r="C59" t="s">
        <v>84</v>
      </c>
      <c r="D59" t="s">
        <v>86</v>
      </c>
      <c r="E59">
        <v>7395</v>
      </c>
      <c r="F59">
        <v>17</v>
      </c>
      <c r="G59" t="str">
        <f t="shared" si="5"/>
        <v>Appliances</v>
      </c>
    </row>
    <row r="60" spans="1:7" x14ac:dyDescent="0.25">
      <c r="A60" s="2">
        <v>45744</v>
      </c>
      <c r="B60" t="s">
        <v>80</v>
      </c>
      <c r="C60" t="s">
        <v>82</v>
      </c>
      <c r="D60" t="s">
        <v>85</v>
      </c>
      <c r="E60">
        <v>632</v>
      </c>
      <c r="F60">
        <v>1</v>
      </c>
      <c r="G60" t="str">
        <f t="shared" si="5"/>
        <v>Electronics</v>
      </c>
    </row>
    <row r="61" spans="1:7" x14ac:dyDescent="0.25">
      <c r="A61" s="2">
        <v>45732</v>
      </c>
      <c r="B61" t="s">
        <v>77</v>
      </c>
      <c r="C61" t="s">
        <v>83</v>
      </c>
      <c r="D61" t="s">
        <v>88</v>
      </c>
      <c r="E61">
        <v>1044</v>
      </c>
      <c r="F61">
        <v>3</v>
      </c>
      <c r="G61" t="str">
        <f t="shared" si="5"/>
        <v>Cloths</v>
      </c>
    </row>
    <row r="62" spans="1:7" x14ac:dyDescent="0.25">
      <c r="A62" s="2">
        <v>45713</v>
      </c>
      <c r="B62" t="s">
        <v>75</v>
      </c>
      <c r="C62" t="s">
        <v>83</v>
      </c>
      <c r="D62" t="s">
        <v>85</v>
      </c>
      <c r="E62">
        <v>4779</v>
      </c>
      <c r="F62">
        <v>9</v>
      </c>
      <c r="G62" t="str">
        <f t="shared" si="5"/>
        <v>Cloths</v>
      </c>
    </row>
    <row r="63" spans="1:7" x14ac:dyDescent="0.25">
      <c r="A63" s="2">
        <v>45669</v>
      </c>
      <c r="B63" t="s">
        <v>73</v>
      </c>
      <c r="C63" t="s">
        <v>81</v>
      </c>
      <c r="D63" t="s">
        <v>85</v>
      </c>
      <c r="E63">
        <v>636</v>
      </c>
      <c r="F63">
        <v>2</v>
      </c>
      <c r="G63" t="str">
        <f t="shared" si="5"/>
        <v>Footwear</v>
      </c>
    </row>
    <row r="64" spans="1:7" x14ac:dyDescent="0.25">
      <c r="A64" s="2">
        <v>45702</v>
      </c>
      <c r="B64" t="s">
        <v>80</v>
      </c>
      <c r="C64" t="s">
        <v>82</v>
      </c>
      <c r="D64" t="s">
        <v>86</v>
      </c>
      <c r="E64">
        <v>7800</v>
      </c>
      <c r="F64">
        <v>10</v>
      </c>
      <c r="G64" t="str">
        <f t="shared" si="5"/>
        <v>Electronics</v>
      </c>
    </row>
    <row r="65" spans="1:7" x14ac:dyDescent="0.25">
      <c r="A65" s="2">
        <v>45686</v>
      </c>
      <c r="B65" t="s">
        <v>73</v>
      </c>
      <c r="C65" t="s">
        <v>81</v>
      </c>
      <c r="D65" t="s">
        <v>88</v>
      </c>
      <c r="E65">
        <v>545</v>
      </c>
      <c r="F65">
        <v>5</v>
      </c>
      <c r="G65" t="str">
        <f t="shared" si="5"/>
        <v>Footwear</v>
      </c>
    </row>
    <row r="66" spans="1:7" x14ac:dyDescent="0.25">
      <c r="A66" s="2">
        <v>45706</v>
      </c>
      <c r="B66" t="s">
        <v>75</v>
      </c>
      <c r="C66" t="s">
        <v>83</v>
      </c>
      <c r="D66" t="s">
        <v>85</v>
      </c>
      <c r="E66">
        <v>6040</v>
      </c>
      <c r="F66">
        <v>20</v>
      </c>
      <c r="G66" t="str">
        <f t="shared" ref="G66:G101" si="6">SUBSTITUTE(C:C,"ing","s")</f>
        <v>Cloths</v>
      </c>
    </row>
    <row r="67" spans="1:7" x14ac:dyDescent="0.25">
      <c r="A67" s="2">
        <v>45724</v>
      </c>
      <c r="B67" t="s">
        <v>74</v>
      </c>
      <c r="C67" t="s">
        <v>82</v>
      </c>
      <c r="D67" t="s">
        <v>88</v>
      </c>
      <c r="E67">
        <v>8136</v>
      </c>
      <c r="F67">
        <v>9</v>
      </c>
      <c r="G67" t="str">
        <f t="shared" si="6"/>
        <v>Electronics</v>
      </c>
    </row>
    <row r="68" spans="1:7" x14ac:dyDescent="0.25">
      <c r="A68" s="2">
        <v>45659</v>
      </c>
      <c r="B68" t="s">
        <v>80</v>
      </c>
      <c r="C68" t="s">
        <v>82</v>
      </c>
      <c r="D68" t="s">
        <v>88</v>
      </c>
      <c r="E68">
        <v>3928</v>
      </c>
      <c r="F68">
        <v>4</v>
      </c>
      <c r="G68" t="str">
        <f t="shared" si="6"/>
        <v>Electronics</v>
      </c>
    </row>
    <row r="69" spans="1:7" x14ac:dyDescent="0.25">
      <c r="A69" s="2">
        <v>45680</v>
      </c>
      <c r="B69" t="s">
        <v>80</v>
      </c>
      <c r="C69" t="s">
        <v>82</v>
      </c>
      <c r="D69" t="s">
        <v>87</v>
      </c>
      <c r="E69">
        <v>2968</v>
      </c>
      <c r="F69">
        <v>14</v>
      </c>
      <c r="G69" t="str">
        <f t="shared" si="6"/>
        <v>Electronics</v>
      </c>
    </row>
    <row r="70" spans="1:7" x14ac:dyDescent="0.25">
      <c r="A70" s="2">
        <v>45689</v>
      </c>
      <c r="B70" t="s">
        <v>74</v>
      </c>
      <c r="C70" t="s">
        <v>82</v>
      </c>
      <c r="D70" t="s">
        <v>87</v>
      </c>
      <c r="E70">
        <v>3955</v>
      </c>
      <c r="F70">
        <v>5</v>
      </c>
      <c r="G70" t="str">
        <f t="shared" si="6"/>
        <v>Electronics</v>
      </c>
    </row>
    <row r="71" spans="1:7" x14ac:dyDescent="0.25">
      <c r="A71" s="2">
        <v>45702</v>
      </c>
      <c r="B71" t="s">
        <v>75</v>
      </c>
      <c r="C71" t="s">
        <v>83</v>
      </c>
      <c r="D71" t="s">
        <v>85</v>
      </c>
      <c r="E71">
        <v>4048</v>
      </c>
      <c r="F71">
        <v>8</v>
      </c>
      <c r="G71" t="str">
        <f t="shared" si="6"/>
        <v>Cloths</v>
      </c>
    </row>
    <row r="72" spans="1:7" x14ac:dyDescent="0.25">
      <c r="A72" s="2">
        <v>45727</v>
      </c>
      <c r="B72" t="s">
        <v>78</v>
      </c>
      <c r="C72" t="s">
        <v>84</v>
      </c>
      <c r="D72" t="s">
        <v>87</v>
      </c>
      <c r="E72">
        <v>6464</v>
      </c>
      <c r="F72">
        <v>8</v>
      </c>
      <c r="G72" t="str">
        <f t="shared" si="6"/>
        <v>Appliances</v>
      </c>
    </row>
    <row r="73" spans="1:7" x14ac:dyDescent="0.25">
      <c r="A73" s="2">
        <v>45710</v>
      </c>
      <c r="B73" t="s">
        <v>73</v>
      </c>
      <c r="C73" t="s">
        <v>81</v>
      </c>
      <c r="D73" t="s">
        <v>88</v>
      </c>
      <c r="E73">
        <v>3042</v>
      </c>
      <c r="F73">
        <v>13</v>
      </c>
      <c r="G73" t="str">
        <f t="shared" si="6"/>
        <v>Footwear</v>
      </c>
    </row>
    <row r="74" spans="1:7" x14ac:dyDescent="0.25">
      <c r="A74" s="2">
        <v>45761</v>
      </c>
      <c r="B74" t="s">
        <v>80</v>
      </c>
      <c r="C74" t="s">
        <v>82</v>
      </c>
      <c r="D74" t="s">
        <v>88</v>
      </c>
      <c r="E74">
        <v>9480</v>
      </c>
      <c r="F74">
        <v>15</v>
      </c>
      <c r="G74" t="str">
        <f t="shared" si="6"/>
        <v>Electronics</v>
      </c>
    </row>
    <row r="75" spans="1:7" x14ac:dyDescent="0.25">
      <c r="A75" s="2">
        <v>45666</v>
      </c>
      <c r="B75" t="s">
        <v>75</v>
      </c>
      <c r="C75" t="s">
        <v>83</v>
      </c>
      <c r="D75" t="s">
        <v>88</v>
      </c>
      <c r="E75">
        <v>16321</v>
      </c>
      <c r="F75">
        <v>19</v>
      </c>
      <c r="G75" t="str">
        <f t="shared" si="6"/>
        <v>Cloths</v>
      </c>
    </row>
    <row r="76" spans="1:7" x14ac:dyDescent="0.25">
      <c r="A76" s="2">
        <v>45756</v>
      </c>
      <c r="B76" t="s">
        <v>74</v>
      </c>
      <c r="C76" t="s">
        <v>82</v>
      </c>
      <c r="D76" t="s">
        <v>87</v>
      </c>
      <c r="E76">
        <v>8436</v>
      </c>
      <c r="F76">
        <v>19</v>
      </c>
      <c r="G76" t="str">
        <f t="shared" si="6"/>
        <v>Electronics</v>
      </c>
    </row>
    <row r="77" spans="1:7" x14ac:dyDescent="0.25">
      <c r="A77" s="2">
        <v>45747</v>
      </c>
      <c r="B77" t="s">
        <v>74</v>
      </c>
      <c r="C77" t="s">
        <v>82</v>
      </c>
      <c r="D77" t="s">
        <v>85</v>
      </c>
      <c r="E77">
        <v>2832</v>
      </c>
      <c r="F77">
        <v>8</v>
      </c>
      <c r="G77" t="str">
        <f t="shared" si="6"/>
        <v>Electronics</v>
      </c>
    </row>
    <row r="78" spans="1:7" x14ac:dyDescent="0.25">
      <c r="A78" s="2">
        <v>45693</v>
      </c>
      <c r="B78" t="s">
        <v>79</v>
      </c>
      <c r="C78" t="s">
        <v>81</v>
      </c>
      <c r="D78" t="s">
        <v>86</v>
      </c>
      <c r="E78">
        <v>8604</v>
      </c>
      <c r="F78">
        <v>18</v>
      </c>
      <c r="G78" t="str">
        <f t="shared" si="6"/>
        <v>Footwear</v>
      </c>
    </row>
    <row r="79" spans="1:7" x14ac:dyDescent="0.25">
      <c r="A79" s="2">
        <v>45665</v>
      </c>
      <c r="B79" t="s">
        <v>73</v>
      </c>
      <c r="C79" t="s">
        <v>81</v>
      </c>
      <c r="D79" t="s">
        <v>86</v>
      </c>
      <c r="E79">
        <v>2805</v>
      </c>
      <c r="F79">
        <v>5</v>
      </c>
      <c r="G79" t="str">
        <f t="shared" si="6"/>
        <v>Footwear</v>
      </c>
    </row>
    <row r="80" spans="1:7" x14ac:dyDescent="0.25">
      <c r="A80" s="2">
        <v>45690</v>
      </c>
      <c r="B80" t="s">
        <v>79</v>
      </c>
      <c r="C80" t="s">
        <v>81</v>
      </c>
      <c r="D80" t="s">
        <v>87</v>
      </c>
      <c r="E80">
        <v>5544</v>
      </c>
      <c r="F80">
        <v>7</v>
      </c>
      <c r="G80" t="str">
        <f t="shared" si="6"/>
        <v>Footwear</v>
      </c>
    </row>
    <row r="81" spans="1:7" x14ac:dyDescent="0.25">
      <c r="A81" s="2">
        <v>45667</v>
      </c>
      <c r="B81" t="s">
        <v>77</v>
      </c>
      <c r="C81" t="s">
        <v>83</v>
      </c>
      <c r="D81" t="s">
        <v>88</v>
      </c>
      <c r="E81">
        <v>1694</v>
      </c>
      <c r="F81">
        <v>11</v>
      </c>
      <c r="G81" t="str">
        <f t="shared" si="6"/>
        <v>Cloths</v>
      </c>
    </row>
    <row r="82" spans="1:7" x14ac:dyDescent="0.25">
      <c r="A82" s="2">
        <v>45665</v>
      </c>
      <c r="B82" t="s">
        <v>75</v>
      </c>
      <c r="C82" t="s">
        <v>83</v>
      </c>
      <c r="D82" t="s">
        <v>86</v>
      </c>
      <c r="E82">
        <v>5760</v>
      </c>
      <c r="F82">
        <v>9</v>
      </c>
      <c r="G82" t="str">
        <f t="shared" si="6"/>
        <v>Cloths</v>
      </c>
    </row>
    <row r="83" spans="1:7" x14ac:dyDescent="0.25">
      <c r="A83" s="2">
        <v>45712</v>
      </c>
      <c r="B83" t="s">
        <v>78</v>
      </c>
      <c r="C83" t="s">
        <v>84</v>
      </c>
      <c r="D83" t="s">
        <v>85</v>
      </c>
      <c r="E83">
        <v>8550</v>
      </c>
      <c r="F83">
        <v>10</v>
      </c>
      <c r="G83" t="str">
        <f t="shared" si="6"/>
        <v>Appliances</v>
      </c>
    </row>
    <row r="84" spans="1:7" x14ac:dyDescent="0.25">
      <c r="A84" s="2">
        <v>45668</v>
      </c>
      <c r="B84" t="s">
        <v>79</v>
      </c>
      <c r="C84" t="s">
        <v>81</v>
      </c>
      <c r="D84" t="s">
        <v>86</v>
      </c>
      <c r="E84">
        <v>1220</v>
      </c>
      <c r="F84">
        <v>5</v>
      </c>
      <c r="G84" t="str">
        <f t="shared" si="6"/>
        <v>Footwear</v>
      </c>
    </row>
    <row r="85" spans="1:7" x14ac:dyDescent="0.25">
      <c r="A85" s="2">
        <v>45777</v>
      </c>
      <c r="B85" t="s">
        <v>77</v>
      </c>
      <c r="C85" t="s">
        <v>83</v>
      </c>
      <c r="D85" t="s">
        <v>88</v>
      </c>
      <c r="E85">
        <v>2490</v>
      </c>
      <c r="F85">
        <v>15</v>
      </c>
      <c r="G85" t="str">
        <f t="shared" si="6"/>
        <v>Cloths</v>
      </c>
    </row>
    <row r="86" spans="1:7" x14ac:dyDescent="0.25">
      <c r="A86" s="2">
        <v>45731</v>
      </c>
      <c r="B86" t="s">
        <v>73</v>
      </c>
      <c r="C86" t="s">
        <v>81</v>
      </c>
      <c r="D86" t="s">
        <v>88</v>
      </c>
      <c r="E86">
        <v>3225</v>
      </c>
      <c r="F86">
        <v>15</v>
      </c>
      <c r="G86" t="str">
        <f t="shared" si="6"/>
        <v>Footwear</v>
      </c>
    </row>
    <row r="87" spans="1:7" x14ac:dyDescent="0.25">
      <c r="A87" s="2">
        <v>45725</v>
      </c>
      <c r="B87" t="s">
        <v>79</v>
      </c>
      <c r="C87" t="s">
        <v>81</v>
      </c>
      <c r="D87" t="s">
        <v>88</v>
      </c>
      <c r="E87">
        <v>7930</v>
      </c>
      <c r="F87">
        <v>13</v>
      </c>
      <c r="G87" t="str">
        <f t="shared" si="6"/>
        <v>Footwear</v>
      </c>
    </row>
    <row r="88" spans="1:7" x14ac:dyDescent="0.25">
      <c r="A88" s="2">
        <v>45756</v>
      </c>
      <c r="B88" t="s">
        <v>78</v>
      </c>
      <c r="C88" t="s">
        <v>84</v>
      </c>
      <c r="D88" t="s">
        <v>85</v>
      </c>
      <c r="E88">
        <v>12920</v>
      </c>
      <c r="F88">
        <v>19</v>
      </c>
      <c r="G88" t="str">
        <f t="shared" si="6"/>
        <v>Appliances</v>
      </c>
    </row>
    <row r="89" spans="1:7" x14ac:dyDescent="0.25">
      <c r="A89" s="2">
        <v>45725</v>
      </c>
      <c r="B89" t="s">
        <v>77</v>
      </c>
      <c r="C89" t="s">
        <v>83</v>
      </c>
      <c r="D89" t="s">
        <v>85</v>
      </c>
      <c r="E89">
        <v>4685</v>
      </c>
      <c r="F89">
        <v>5</v>
      </c>
      <c r="G89" t="str">
        <f t="shared" si="6"/>
        <v>Cloths</v>
      </c>
    </row>
    <row r="90" spans="1:7" x14ac:dyDescent="0.25">
      <c r="A90" s="2">
        <v>45694</v>
      </c>
      <c r="B90" t="s">
        <v>74</v>
      </c>
      <c r="C90" t="s">
        <v>82</v>
      </c>
      <c r="D90" t="s">
        <v>88</v>
      </c>
      <c r="E90">
        <v>808</v>
      </c>
      <c r="F90">
        <v>8</v>
      </c>
      <c r="G90" t="str">
        <f t="shared" si="6"/>
        <v>Electronics</v>
      </c>
    </row>
    <row r="91" spans="1:7" x14ac:dyDescent="0.25">
      <c r="A91" s="2">
        <v>45749</v>
      </c>
      <c r="B91" t="s">
        <v>76</v>
      </c>
      <c r="C91" t="s">
        <v>84</v>
      </c>
      <c r="D91" t="s">
        <v>85</v>
      </c>
      <c r="E91">
        <v>1592</v>
      </c>
      <c r="F91">
        <v>4</v>
      </c>
      <c r="G91" t="str">
        <f t="shared" si="6"/>
        <v>Appliances</v>
      </c>
    </row>
    <row r="92" spans="1:7" x14ac:dyDescent="0.25">
      <c r="A92" s="2">
        <v>45778</v>
      </c>
      <c r="B92" t="s">
        <v>75</v>
      </c>
      <c r="C92" t="s">
        <v>83</v>
      </c>
      <c r="D92" t="s">
        <v>86</v>
      </c>
      <c r="E92">
        <v>14860</v>
      </c>
      <c r="F92">
        <v>20</v>
      </c>
      <c r="G92" t="str">
        <f t="shared" si="6"/>
        <v>Cloths</v>
      </c>
    </row>
    <row r="93" spans="1:7" x14ac:dyDescent="0.25">
      <c r="A93" s="2">
        <v>45658</v>
      </c>
      <c r="B93" t="s">
        <v>78</v>
      </c>
      <c r="C93" t="s">
        <v>84</v>
      </c>
      <c r="D93" t="s">
        <v>86</v>
      </c>
      <c r="E93">
        <v>8040</v>
      </c>
      <c r="F93">
        <v>10</v>
      </c>
      <c r="G93" t="str">
        <f t="shared" si="6"/>
        <v>Appliances</v>
      </c>
    </row>
    <row r="94" spans="1:7" x14ac:dyDescent="0.25">
      <c r="A94" s="2">
        <v>45762</v>
      </c>
      <c r="B94" t="s">
        <v>78</v>
      </c>
      <c r="C94" t="s">
        <v>84</v>
      </c>
      <c r="D94" t="s">
        <v>87</v>
      </c>
      <c r="E94">
        <v>3880</v>
      </c>
      <c r="F94">
        <v>20</v>
      </c>
      <c r="G94" t="str">
        <f t="shared" si="6"/>
        <v>Appliances</v>
      </c>
    </row>
    <row r="95" spans="1:7" x14ac:dyDescent="0.25">
      <c r="A95" s="2">
        <v>45765</v>
      </c>
      <c r="B95" t="s">
        <v>75</v>
      </c>
      <c r="C95" t="s">
        <v>83</v>
      </c>
      <c r="D95" t="s">
        <v>87</v>
      </c>
      <c r="E95">
        <v>2522</v>
      </c>
      <c r="F95">
        <v>13</v>
      </c>
      <c r="G95" t="str">
        <f t="shared" si="6"/>
        <v>Cloths</v>
      </c>
    </row>
    <row r="96" spans="1:7" x14ac:dyDescent="0.25">
      <c r="A96" s="2">
        <v>45701</v>
      </c>
      <c r="B96" t="s">
        <v>76</v>
      </c>
      <c r="C96" t="s">
        <v>84</v>
      </c>
      <c r="D96" t="s">
        <v>85</v>
      </c>
      <c r="E96">
        <v>852</v>
      </c>
      <c r="F96">
        <v>2</v>
      </c>
      <c r="G96" t="str">
        <f t="shared" si="6"/>
        <v>Appliances</v>
      </c>
    </row>
    <row r="97" spans="1:7" x14ac:dyDescent="0.25">
      <c r="A97" s="2">
        <v>45727</v>
      </c>
      <c r="B97" t="s">
        <v>73</v>
      </c>
      <c r="C97" t="s">
        <v>81</v>
      </c>
      <c r="D97" t="s">
        <v>85</v>
      </c>
      <c r="E97">
        <v>1185</v>
      </c>
      <c r="F97">
        <v>5</v>
      </c>
      <c r="G97" t="str">
        <f t="shared" si="6"/>
        <v>Footwear</v>
      </c>
    </row>
    <row r="98" spans="1:7" x14ac:dyDescent="0.25">
      <c r="A98" s="2">
        <v>45741</v>
      </c>
      <c r="B98" t="s">
        <v>73</v>
      </c>
      <c r="C98" t="s">
        <v>81</v>
      </c>
      <c r="D98" t="s">
        <v>85</v>
      </c>
      <c r="E98">
        <v>1836</v>
      </c>
      <c r="F98">
        <v>12</v>
      </c>
      <c r="G98" t="str">
        <f t="shared" si="6"/>
        <v>Footwear</v>
      </c>
    </row>
    <row r="99" spans="1:7" x14ac:dyDescent="0.25">
      <c r="A99" s="2">
        <v>45679</v>
      </c>
      <c r="B99" t="s">
        <v>80</v>
      </c>
      <c r="C99" t="s">
        <v>82</v>
      </c>
      <c r="D99" t="s">
        <v>87</v>
      </c>
      <c r="E99">
        <v>3835</v>
      </c>
      <c r="F99">
        <v>5</v>
      </c>
      <c r="G99" t="str">
        <f t="shared" si="6"/>
        <v>Electronics</v>
      </c>
    </row>
    <row r="100" spans="1:7" x14ac:dyDescent="0.25">
      <c r="A100" s="2">
        <v>45711</v>
      </c>
      <c r="B100" t="s">
        <v>75</v>
      </c>
      <c r="C100" t="s">
        <v>83</v>
      </c>
      <c r="D100" t="s">
        <v>85</v>
      </c>
      <c r="E100">
        <v>2460</v>
      </c>
      <c r="F100">
        <v>12</v>
      </c>
      <c r="G100" t="str">
        <f t="shared" si="6"/>
        <v>Cloths</v>
      </c>
    </row>
    <row r="101" spans="1:7" x14ac:dyDescent="0.25">
      <c r="A101" s="2">
        <v>45693</v>
      </c>
      <c r="B101" t="s">
        <v>78</v>
      </c>
      <c r="C101" t="s">
        <v>84</v>
      </c>
      <c r="D101" t="s">
        <v>88</v>
      </c>
      <c r="E101">
        <v>3941</v>
      </c>
      <c r="F101">
        <v>7</v>
      </c>
      <c r="G101" t="str">
        <f t="shared" si="6"/>
        <v>Appliances</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6F5E6-B6F4-49DA-B450-2C142D715729}">
  <sheetPr codeName="Sheet5"/>
  <dimension ref="A1:U101"/>
  <sheetViews>
    <sheetView topLeftCell="A7" workbookViewId="0">
      <selection activeCell="O28" sqref="O28"/>
    </sheetView>
  </sheetViews>
  <sheetFormatPr defaultRowHeight="15" x14ac:dyDescent="0.25"/>
  <cols>
    <col min="1" max="1" width="10.425781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6" max="16" width="10.5703125" bestFit="1" customWidth="1"/>
    <col min="17" max="17" width="12" bestFit="1" customWidth="1"/>
    <col min="24" max="24" width="12.7109375" customWidth="1"/>
    <col min="25" max="25" width="3.5703125" customWidth="1"/>
  </cols>
  <sheetData>
    <row r="1" spans="1:21" x14ac:dyDescent="0.25">
      <c r="A1" t="s">
        <v>0</v>
      </c>
      <c r="B1" t="s">
        <v>1</v>
      </c>
      <c r="C1" t="s">
        <v>2</v>
      </c>
      <c r="D1" t="s">
        <v>3</v>
      </c>
      <c r="E1" t="s">
        <v>4</v>
      </c>
      <c r="F1" t="s">
        <v>5</v>
      </c>
      <c r="G1" t="s">
        <v>402</v>
      </c>
      <c r="H1" t="s">
        <v>401</v>
      </c>
      <c r="I1" t="s">
        <v>400</v>
      </c>
    </row>
    <row r="2" spans="1:21" x14ac:dyDescent="0.25">
      <c r="A2" s="2">
        <v>45697</v>
      </c>
      <c r="B2" t="s">
        <v>73</v>
      </c>
      <c r="C2" t="s">
        <v>81</v>
      </c>
      <c r="D2" t="s">
        <v>85</v>
      </c>
      <c r="E2">
        <v>4050</v>
      </c>
      <c r="F2">
        <v>18</v>
      </c>
      <c r="G2" t="s">
        <v>403</v>
      </c>
      <c r="H2" t="s">
        <v>406</v>
      </c>
      <c r="I2">
        <v>484</v>
      </c>
    </row>
    <row r="3" spans="1:21" x14ac:dyDescent="0.25">
      <c r="A3" s="2">
        <v>45734</v>
      </c>
      <c r="B3" t="s">
        <v>74</v>
      </c>
      <c r="C3" t="s">
        <v>82</v>
      </c>
      <c r="D3" t="s">
        <v>86</v>
      </c>
      <c r="E3">
        <v>7875</v>
      </c>
      <c r="F3">
        <v>15</v>
      </c>
      <c r="G3" t="s">
        <v>404</v>
      </c>
      <c r="H3" t="s">
        <v>407</v>
      </c>
      <c r="I3">
        <v>447</v>
      </c>
    </row>
    <row r="4" spans="1:21" x14ac:dyDescent="0.25">
      <c r="A4" s="2">
        <v>45676</v>
      </c>
      <c r="B4" t="s">
        <v>75</v>
      </c>
      <c r="C4" t="s">
        <v>83</v>
      </c>
      <c r="D4" t="s">
        <v>85</v>
      </c>
      <c r="E4">
        <v>5832</v>
      </c>
      <c r="F4">
        <v>6</v>
      </c>
      <c r="G4" t="s">
        <v>405</v>
      </c>
      <c r="H4" t="s">
        <v>408</v>
      </c>
      <c r="I4">
        <v>505</v>
      </c>
    </row>
    <row r="5" spans="1:21" x14ac:dyDescent="0.25">
      <c r="A5" s="2">
        <v>45694</v>
      </c>
      <c r="B5" t="s">
        <v>76</v>
      </c>
      <c r="C5" t="s">
        <v>84</v>
      </c>
      <c r="D5" t="s">
        <v>85</v>
      </c>
      <c r="E5">
        <v>676</v>
      </c>
      <c r="F5">
        <v>4</v>
      </c>
      <c r="G5" t="s">
        <v>403</v>
      </c>
      <c r="H5" t="s">
        <v>406</v>
      </c>
      <c r="I5">
        <v>487</v>
      </c>
    </row>
    <row r="6" spans="1:21" x14ac:dyDescent="0.25">
      <c r="A6" s="2">
        <v>45693</v>
      </c>
      <c r="B6" t="s">
        <v>74</v>
      </c>
      <c r="C6" t="s">
        <v>82</v>
      </c>
      <c r="D6" t="s">
        <v>87</v>
      </c>
      <c r="E6">
        <v>6560</v>
      </c>
      <c r="F6">
        <v>10</v>
      </c>
      <c r="G6" t="s">
        <v>403</v>
      </c>
      <c r="H6" t="s">
        <v>406</v>
      </c>
      <c r="I6">
        <v>488</v>
      </c>
    </row>
    <row r="7" spans="1:21" x14ac:dyDescent="0.25">
      <c r="A7" s="2">
        <v>45775</v>
      </c>
      <c r="B7" t="s">
        <v>76</v>
      </c>
      <c r="C7" t="s">
        <v>84</v>
      </c>
      <c r="D7" t="s">
        <v>87</v>
      </c>
      <c r="E7">
        <v>1905</v>
      </c>
      <c r="F7">
        <v>5</v>
      </c>
      <c r="G7" t="s">
        <v>404</v>
      </c>
      <c r="H7" t="s">
        <v>409</v>
      </c>
      <c r="I7">
        <v>406</v>
      </c>
    </row>
    <row r="8" spans="1:21" ht="15.75" thickBot="1" x14ac:dyDescent="0.3">
      <c r="A8" s="2">
        <v>45720</v>
      </c>
      <c r="B8" t="s">
        <v>77</v>
      </c>
      <c r="C8" t="s">
        <v>83</v>
      </c>
      <c r="D8" t="s">
        <v>86</v>
      </c>
      <c r="E8">
        <v>6948</v>
      </c>
      <c r="F8">
        <v>18</v>
      </c>
      <c r="G8" t="s">
        <v>403</v>
      </c>
      <c r="H8" t="s">
        <v>407</v>
      </c>
      <c r="I8">
        <v>461</v>
      </c>
      <c r="K8" s="9" t="s">
        <v>151</v>
      </c>
      <c r="M8" s="9" t="s">
        <v>156</v>
      </c>
      <c r="O8" s="9" t="s">
        <v>90</v>
      </c>
      <c r="Q8" s="9" t="s">
        <v>152</v>
      </c>
      <c r="S8" s="9" t="s">
        <v>153</v>
      </c>
      <c r="U8" s="9" t="s">
        <v>154</v>
      </c>
    </row>
    <row r="9" spans="1:21" ht="15.75" thickTop="1" x14ac:dyDescent="0.25">
      <c r="A9" s="2">
        <v>45764</v>
      </c>
      <c r="B9" t="s">
        <v>77</v>
      </c>
      <c r="C9" t="s">
        <v>83</v>
      </c>
      <c r="D9" t="s">
        <v>85</v>
      </c>
      <c r="E9">
        <v>1944</v>
      </c>
      <c r="F9">
        <v>18</v>
      </c>
      <c r="G9" t="s">
        <v>404</v>
      </c>
      <c r="H9" t="s">
        <v>409</v>
      </c>
      <c r="I9">
        <v>417</v>
      </c>
      <c r="J9">
        <v>1</v>
      </c>
      <c r="K9" s="8">
        <f t="shared" ref="K9:K24" si="0">PRODUCT(E2,F2)</f>
        <v>72900</v>
      </c>
      <c r="M9" s="8">
        <f t="shared" ref="M9:M24" si="1">MOD(E2,F2)</f>
        <v>0</v>
      </c>
      <c r="O9" s="8">
        <f t="shared" ref="O9:O24" si="2">SQRT(F2)</f>
        <v>4.2426406871192848</v>
      </c>
      <c r="Q9" s="10">
        <f>FACT(J9)</f>
        <v>1</v>
      </c>
      <c r="S9" s="7">
        <f>ROUNDUP(O9,1)</f>
        <v>4.3</v>
      </c>
      <c r="U9" s="7">
        <f>ROUNDDOWN(O9,1)</f>
        <v>4.2</v>
      </c>
    </row>
    <row r="10" spans="1:21" x14ac:dyDescent="0.25">
      <c r="A10" s="2">
        <v>45735</v>
      </c>
      <c r="B10" t="s">
        <v>78</v>
      </c>
      <c r="C10" t="s">
        <v>84</v>
      </c>
      <c r="D10" t="s">
        <v>85</v>
      </c>
      <c r="E10">
        <v>7776</v>
      </c>
      <c r="F10">
        <v>8</v>
      </c>
      <c r="G10" t="s">
        <v>404</v>
      </c>
      <c r="H10" t="s">
        <v>407</v>
      </c>
      <c r="I10">
        <v>446</v>
      </c>
      <c r="J10">
        <v>2</v>
      </c>
      <c r="K10" s="8">
        <f t="shared" si="0"/>
        <v>118125</v>
      </c>
      <c r="M10" s="8">
        <f t="shared" si="1"/>
        <v>0</v>
      </c>
      <c r="O10" s="8">
        <f t="shared" si="2"/>
        <v>3.872983346207417</v>
      </c>
      <c r="Q10" s="10">
        <f t="shared" ref="Q10:Q24" si="3">FACT(J10)</f>
        <v>2</v>
      </c>
      <c r="S10" s="7">
        <f t="shared" ref="S10:S24" si="4">ROUNDUP(O10,1)</f>
        <v>3.9</v>
      </c>
      <c r="U10" s="7">
        <f t="shared" ref="U10:U24" si="5">ROUNDDOWN(O10,1)</f>
        <v>3.8</v>
      </c>
    </row>
    <row r="11" spans="1:21" x14ac:dyDescent="0.25">
      <c r="A11" s="2">
        <v>45778</v>
      </c>
      <c r="B11" t="s">
        <v>74</v>
      </c>
      <c r="C11" t="s">
        <v>82</v>
      </c>
      <c r="D11" t="s">
        <v>86</v>
      </c>
      <c r="E11">
        <v>2790</v>
      </c>
      <c r="F11">
        <v>18</v>
      </c>
      <c r="G11" t="s">
        <v>404</v>
      </c>
      <c r="H11" t="s">
        <v>410</v>
      </c>
      <c r="I11">
        <v>403</v>
      </c>
      <c r="J11">
        <v>3</v>
      </c>
      <c r="K11" s="8">
        <f t="shared" si="0"/>
        <v>34992</v>
      </c>
      <c r="M11" s="8">
        <f t="shared" si="1"/>
        <v>0</v>
      </c>
      <c r="O11" s="8">
        <f t="shared" si="2"/>
        <v>2.4494897427831779</v>
      </c>
      <c r="Q11" s="10">
        <f t="shared" si="3"/>
        <v>6</v>
      </c>
      <c r="S11" s="7">
        <f t="shared" si="4"/>
        <v>2.5</v>
      </c>
      <c r="U11" s="7">
        <f t="shared" si="5"/>
        <v>2.4</v>
      </c>
    </row>
    <row r="12" spans="1:21" x14ac:dyDescent="0.25">
      <c r="A12" s="2">
        <v>45693</v>
      </c>
      <c r="B12" t="s">
        <v>75</v>
      </c>
      <c r="C12" t="s">
        <v>83</v>
      </c>
      <c r="D12" t="s">
        <v>86</v>
      </c>
      <c r="E12">
        <v>7995</v>
      </c>
      <c r="F12">
        <v>13</v>
      </c>
      <c r="G12" t="s">
        <v>403</v>
      </c>
      <c r="H12" t="s">
        <v>406</v>
      </c>
      <c r="I12">
        <v>488</v>
      </c>
      <c r="J12">
        <v>4</v>
      </c>
      <c r="K12" s="8">
        <f t="shared" si="0"/>
        <v>2704</v>
      </c>
      <c r="M12" s="8">
        <f t="shared" si="1"/>
        <v>0</v>
      </c>
      <c r="O12" s="8">
        <f t="shared" si="2"/>
        <v>2</v>
      </c>
      <c r="Q12" s="10">
        <f t="shared" si="3"/>
        <v>24</v>
      </c>
      <c r="S12" s="7">
        <f t="shared" si="4"/>
        <v>2</v>
      </c>
      <c r="U12" s="7">
        <f t="shared" si="5"/>
        <v>2</v>
      </c>
    </row>
    <row r="13" spans="1:21" x14ac:dyDescent="0.25">
      <c r="A13" s="2">
        <v>45677</v>
      </c>
      <c r="B13" t="s">
        <v>75</v>
      </c>
      <c r="C13" t="s">
        <v>83</v>
      </c>
      <c r="D13" t="s">
        <v>85</v>
      </c>
      <c r="E13">
        <v>9984</v>
      </c>
      <c r="F13">
        <v>13</v>
      </c>
      <c r="G13" t="s">
        <v>405</v>
      </c>
      <c r="H13" t="s">
        <v>408</v>
      </c>
      <c r="I13">
        <v>504</v>
      </c>
      <c r="J13">
        <v>5</v>
      </c>
      <c r="K13" s="8">
        <f t="shared" si="0"/>
        <v>65600</v>
      </c>
      <c r="M13" s="8">
        <f t="shared" si="1"/>
        <v>0</v>
      </c>
      <c r="O13" s="8">
        <f t="shared" si="2"/>
        <v>3.1622776601683795</v>
      </c>
      <c r="Q13" s="10">
        <f t="shared" si="3"/>
        <v>120</v>
      </c>
      <c r="S13" s="7">
        <f t="shared" si="4"/>
        <v>3.2</v>
      </c>
      <c r="U13" s="7">
        <f t="shared" si="5"/>
        <v>3.1</v>
      </c>
    </row>
    <row r="14" spans="1:21" x14ac:dyDescent="0.25">
      <c r="A14" s="2">
        <v>45739</v>
      </c>
      <c r="B14" t="s">
        <v>75</v>
      </c>
      <c r="C14" t="s">
        <v>83</v>
      </c>
      <c r="D14" t="s">
        <v>87</v>
      </c>
      <c r="E14">
        <v>7683</v>
      </c>
      <c r="F14">
        <v>13</v>
      </c>
      <c r="G14" t="s">
        <v>404</v>
      </c>
      <c r="H14" t="s">
        <v>407</v>
      </c>
      <c r="I14">
        <v>442</v>
      </c>
      <c r="J14">
        <v>6</v>
      </c>
      <c r="K14" s="8">
        <f t="shared" si="0"/>
        <v>9525</v>
      </c>
      <c r="M14" s="8">
        <f t="shared" si="1"/>
        <v>0</v>
      </c>
      <c r="O14" s="8">
        <f t="shared" si="2"/>
        <v>2.2360679774997898</v>
      </c>
      <c r="Q14" s="10">
        <f t="shared" si="3"/>
        <v>720</v>
      </c>
      <c r="S14" s="7">
        <f t="shared" si="4"/>
        <v>2.3000000000000003</v>
      </c>
      <c r="U14" s="7">
        <f t="shared" si="5"/>
        <v>2.2000000000000002</v>
      </c>
    </row>
    <row r="15" spans="1:21" x14ac:dyDescent="0.25">
      <c r="A15" s="2">
        <v>45699</v>
      </c>
      <c r="B15" t="s">
        <v>76</v>
      </c>
      <c r="C15" t="s">
        <v>84</v>
      </c>
      <c r="D15" t="s">
        <v>88</v>
      </c>
      <c r="E15">
        <v>6885</v>
      </c>
      <c r="F15">
        <v>9</v>
      </c>
      <c r="G15" t="s">
        <v>403</v>
      </c>
      <c r="H15" t="s">
        <v>406</v>
      </c>
      <c r="I15">
        <v>482</v>
      </c>
      <c r="J15">
        <v>7</v>
      </c>
      <c r="K15" s="8">
        <f t="shared" si="0"/>
        <v>125064</v>
      </c>
      <c r="M15" s="8">
        <f t="shared" si="1"/>
        <v>0</v>
      </c>
      <c r="O15" s="8">
        <f t="shared" si="2"/>
        <v>4.2426406871192848</v>
      </c>
      <c r="Q15" s="10">
        <f t="shared" si="3"/>
        <v>5040</v>
      </c>
      <c r="S15" s="7">
        <f t="shared" si="4"/>
        <v>4.3</v>
      </c>
      <c r="U15" s="7">
        <f t="shared" si="5"/>
        <v>4.2</v>
      </c>
    </row>
    <row r="16" spans="1:21" x14ac:dyDescent="0.25">
      <c r="A16" s="2">
        <v>45767</v>
      </c>
      <c r="B16" t="s">
        <v>79</v>
      </c>
      <c r="C16" t="s">
        <v>81</v>
      </c>
      <c r="D16" t="s">
        <v>87</v>
      </c>
      <c r="E16">
        <v>229</v>
      </c>
      <c r="F16">
        <v>1</v>
      </c>
      <c r="G16" t="s">
        <v>404</v>
      </c>
      <c r="H16" t="s">
        <v>409</v>
      </c>
      <c r="I16">
        <v>414</v>
      </c>
      <c r="J16">
        <v>8</v>
      </c>
      <c r="K16" s="8">
        <f t="shared" si="0"/>
        <v>34992</v>
      </c>
      <c r="M16" s="8">
        <f t="shared" si="1"/>
        <v>0</v>
      </c>
      <c r="O16" s="8">
        <f t="shared" si="2"/>
        <v>4.2426406871192848</v>
      </c>
      <c r="Q16" s="10">
        <f t="shared" si="3"/>
        <v>40320</v>
      </c>
      <c r="S16" s="7">
        <f t="shared" si="4"/>
        <v>4.3</v>
      </c>
      <c r="U16" s="7">
        <f t="shared" si="5"/>
        <v>4.2</v>
      </c>
    </row>
    <row r="17" spans="1:21" x14ac:dyDescent="0.25">
      <c r="A17" s="2">
        <v>45735</v>
      </c>
      <c r="B17" t="s">
        <v>80</v>
      </c>
      <c r="C17" t="s">
        <v>82</v>
      </c>
      <c r="D17" t="s">
        <v>87</v>
      </c>
      <c r="E17">
        <v>6104</v>
      </c>
      <c r="F17">
        <v>7</v>
      </c>
      <c r="G17" t="s">
        <v>404</v>
      </c>
      <c r="H17" t="s">
        <v>407</v>
      </c>
      <c r="I17">
        <v>446</v>
      </c>
      <c r="J17">
        <v>9</v>
      </c>
      <c r="K17" s="8">
        <f t="shared" si="0"/>
        <v>62208</v>
      </c>
      <c r="M17" s="8">
        <f t="shared" si="1"/>
        <v>0</v>
      </c>
      <c r="O17" s="8">
        <f t="shared" si="2"/>
        <v>2.8284271247461903</v>
      </c>
      <c r="Q17" s="10">
        <f t="shared" si="3"/>
        <v>362880</v>
      </c>
      <c r="S17" s="7">
        <f t="shared" si="4"/>
        <v>2.9</v>
      </c>
      <c r="U17" s="7">
        <f t="shared" si="5"/>
        <v>2.8</v>
      </c>
    </row>
    <row r="18" spans="1:21" x14ac:dyDescent="0.25">
      <c r="A18" s="2">
        <v>45722</v>
      </c>
      <c r="B18" t="s">
        <v>78</v>
      </c>
      <c r="C18" t="s">
        <v>84</v>
      </c>
      <c r="D18" t="s">
        <v>85</v>
      </c>
      <c r="E18">
        <v>558</v>
      </c>
      <c r="F18">
        <v>1</v>
      </c>
      <c r="G18" t="s">
        <v>403</v>
      </c>
      <c r="H18" t="s">
        <v>407</v>
      </c>
      <c r="I18">
        <v>459</v>
      </c>
      <c r="J18">
        <v>10</v>
      </c>
      <c r="K18" s="8">
        <f t="shared" si="0"/>
        <v>50220</v>
      </c>
      <c r="M18" s="8">
        <f t="shared" si="1"/>
        <v>0</v>
      </c>
      <c r="O18" s="8">
        <f t="shared" si="2"/>
        <v>4.2426406871192848</v>
      </c>
      <c r="Q18" s="10">
        <f t="shared" si="3"/>
        <v>3628800</v>
      </c>
      <c r="S18" s="7">
        <f t="shared" si="4"/>
        <v>4.3</v>
      </c>
      <c r="U18" s="7">
        <f t="shared" si="5"/>
        <v>4.2</v>
      </c>
    </row>
    <row r="19" spans="1:21" x14ac:dyDescent="0.25">
      <c r="A19" s="2">
        <v>45741</v>
      </c>
      <c r="B19" t="s">
        <v>76</v>
      </c>
      <c r="C19" t="s">
        <v>84</v>
      </c>
      <c r="D19" t="s">
        <v>85</v>
      </c>
      <c r="E19">
        <v>6413</v>
      </c>
      <c r="F19">
        <v>11</v>
      </c>
      <c r="G19" t="s">
        <v>404</v>
      </c>
      <c r="H19" t="s">
        <v>407</v>
      </c>
      <c r="I19">
        <v>440</v>
      </c>
      <c r="J19">
        <v>11</v>
      </c>
      <c r="K19" s="8">
        <f t="shared" si="0"/>
        <v>103935</v>
      </c>
      <c r="M19" s="8">
        <f t="shared" si="1"/>
        <v>0</v>
      </c>
      <c r="O19" s="8">
        <f t="shared" si="2"/>
        <v>3.6055512754639891</v>
      </c>
      <c r="Q19" s="10">
        <f t="shared" si="3"/>
        <v>39916800</v>
      </c>
      <c r="S19" s="7">
        <f t="shared" si="4"/>
        <v>3.7</v>
      </c>
      <c r="U19" s="7">
        <f t="shared" si="5"/>
        <v>3.6</v>
      </c>
    </row>
    <row r="20" spans="1:21" x14ac:dyDescent="0.25">
      <c r="A20" s="2">
        <v>45732</v>
      </c>
      <c r="B20" t="s">
        <v>74</v>
      </c>
      <c r="C20" t="s">
        <v>82</v>
      </c>
      <c r="D20" t="s">
        <v>88</v>
      </c>
      <c r="E20">
        <v>1017</v>
      </c>
      <c r="F20">
        <v>9</v>
      </c>
      <c r="G20" t="s">
        <v>404</v>
      </c>
      <c r="H20" t="s">
        <v>407</v>
      </c>
      <c r="I20">
        <v>449</v>
      </c>
      <c r="J20">
        <v>12</v>
      </c>
      <c r="K20" s="8">
        <f t="shared" si="0"/>
        <v>129792</v>
      </c>
      <c r="M20" s="8">
        <f t="shared" si="1"/>
        <v>0</v>
      </c>
      <c r="O20" s="8">
        <f t="shared" si="2"/>
        <v>3.6055512754639891</v>
      </c>
      <c r="Q20" s="10">
        <f t="shared" si="3"/>
        <v>479001600</v>
      </c>
      <c r="S20" s="7">
        <f t="shared" si="4"/>
        <v>3.7</v>
      </c>
      <c r="U20" s="7">
        <f t="shared" si="5"/>
        <v>3.6</v>
      </c>
    </row>
    <row r="21" spans="1:21" x14ac:dyDescent="0.25">
      <c r="A21" s="2">
        <v>45721</v>
      </c>
      <c r="B21" t="s">
        <v>80</v>
      </c>
      <c r="C21" t="s">
        <v>82</v>
      </c>
      <c r="D21" t="s">
        <v>86</v>
      </c>
      <c r="E21">
        <v>9310</v>
      </c>
      <c r="F21">
        <v>10</v>
      </c>
      <c r="G21" t="s">
        <v>403</v>
      </c>
      <c r="H21" t="s">
        <v>407</v>
      </c>
      <c r="I21">
        <v>460</v>
      </c>
      <c r="J21">
        <v>13</v>
      </c>
      <c r="K21" s="8">
        <f t="shared" si="0"/>
        <v>99879</v>
      </c>
      <c r="M21" s="8">
        <f t="shared" si="1"/>
        <v>0</v>
      </c>
      <c r="O21" s="8">
        <f t="shared" si="2"/>
        <v>3.6055512754639891</v>
      </c>
      <c r="Q21" s="10">
        <f t="shared" si="3"/>
        <v>6227020800</v>
      </c>
      <c r="S21" s="7">
        <f t="shared" si="4"/>
        <v>3.7</v>
      </c>
      <c r="U21" s="7">
        <f t="shared" si="5"/>
        <v>3.6</v>
      </c>
    </row>
    <row r="22" spans="1:21" x14ac:dyDescent="0.25">
      <c r="A22" s="2">
        <v>45703</v>
      </c>
      <c r="B22" t="s">
        <v>75</v>
      </c>
      <c r="C22" t="s">
        <v>83</v>
      </c>
      <c r="D22" t="s">
        <v>87</v>
      </c>
      <c r="E22">
        <v>2560</v>
      </c>
      <c r="F22">
        <v>4</v>
      </c>
      <c r="G22" t="s">
        <v>403</v>
      </c>
      <c r="H22" t="s">
        <v>406</v>
      </c>
      <c r="I22">
        <v>478</v>
      </c>
      <c r="J22">
        <v>14</v>
      </c>
      <c r="K22" s="8">
        <f t="shared" si="0"/>
        <v>61965</v>
      </c>
      <c r="M22" s="8">
        <f t="shared" si="1"/>
        <v>0</v>
      </c>
      <c r="O22" s="8">
        <f t="shared" si="2"/>
        <v>3</v>
      </c>
      <c r="Q22" s="10">
        <f t="shared" si="3"/>
        <v>87178291200</v>
      </c>
      <c r="S22" s="7">
        <f t="shared" si="4"/>
        <v>3</v>
      </c>
      <c r="U22" s="7">
        <f t="shared" si="5"/>
        <v>3</v>
      </c>
    </row>
    <row r="23" spans="1:21" x14ac:dyDescent="0.25">
      <c r="A23" s="2">
        <v>45681</v>
      </c>
      <c r="B23" t="s">
        <v>76</v>
      </c>
      <c r="C23" t="s">
        <v>84</v>
      </c>
      <c r="D23" t="s">
        <v>86</v>
      </c>
      <c r="E23">
        <v>6855</v>
      </c>
      <c r="F23">
        <v>15</v>
      </c>
      <c r="G23" t="s">
        <v>403</v>
      </c>
      <c r="H23" t="s">
        <v>408</v>
      </c>
      <c r="I23">
        <v>500</v>
      </c>
      <c r="J23">
        <v>15</v>
      </c>
      <c r="K23" s="8">
        <f t="shared" si="0"/>
        <v>229</v>
      </c>
      <c r="M23" s="8">
        <f t="shared" si="1"/>
        <v>0</v>
      </c>
      <c r="O23" s="8">
        <f t="shared" si="2"/>
        <v>1</v>
      </c>
      <c r="Q23" s="10">
        <f t="shared" si="3"/>
        <v>1307674368000</v>
      </c>
      <c r="S23" s="7">
        <f t="shared" si="4"/>
        <v>1</v>
      </c>
      <c r="U23" s="7">
        <f t="shared" si="5"/>
        <v>1</v>
      </c>
    </row>
    <row r="24" spans="1:21" x14ac:dyDescent="0.25">
      <c r="A24" s="2">
        <v>45663</v>
      </c>
      <c r="B24" t="s">
        <v>78</v>
      </c>
      <c r="C24" t="s">
        <v>84</v>
      </c>
      <c r="D24" t="s">
        <v>86</v>
      </c>
      <c r="E24">
        <v>7398</v>
      </c>
      <c r="F24">
        <v>9</v>
      </c>
      <c r="G24" t="s">
        <v>405</v>
      </c>
      <c r="H24" t="s">
        <v>408</v>
      </c>
      <c r="I24">
        <v>518</v>
      </c>
      <c r="J24">
        <v>16</v>
      </c>
      <c r="K24" s="8">
        <f t="shared" si="0"/>
        <v>42728</v>
      </c>
      <c r="M24" s="8">
        <f t="shared" si="1"/>
        <v>0</v>
      </c>
      <c r="O24" s="8">
        <f t="shared" si="2"/>
        <v>2.6457513110645907</v>
      </c>
      <c r="Q24" s="10">
        <f t="shared" si="3"/>
        <v>20922789888000</v>
      </c>
      <c r="S24" s="7">
        <f t="shared" si="4"/>
        <v>2.7</v>
      </c>
      <c r="U24" s="7">
        <f t="shared" si="5"/>
        <v>2.6</v>
      </c>
    </row>
    <row r="25" spans="1:21" x14ac:dyDescent="0.25">
      <c r="A25" s="2">
        <v>45660</v>
      </c>
      <c r="B25" t="s">
        <v>74</v>
      </c>
      <c r="C25" t="s">
        <v>82</v>
      </c>
      <c r="D25" t="s">
        <v>85</v>
      </c>
      <c r="E25">
        <v>2094</v>
      </c>
      <c r="F25">
        <v>6</v>
      </c>
      <c r="G25" t="s">
        <v>405</v>
      </c>
      <c r="H25" t="s">
        <v>408</v>
      </c>
      <c r="I25">
        <v>521</v>
      </c>
    </row>
    <row r="26" spans="1:21" x14ac:dyDescent="0.25">
      <c r="A26" s="2">
        <v>45701</v>
      </c>
      <c r="B26" t="s">
        <v>74</v>
      </c>
      <c r="C26" t="s">
        <v>82</v>
      </c>
      <c r="D26" t="s">
        <v>88</v>
      </c>
      <c r="E26">
        <v>3996</v>
      </c>
      <c r="F26">
        <v>4</v>
      </c>
      <c r="G26" t="s">
        <v>403</v>
      </c>
      <c r="H26" t="s">
        <v>406</v>
      </c>
      <c r="I26">
        <v>480</v>
      </c>
    </row>
    <row r="27" spans="1:21" x14ac:dyDescent="0.25">
      <c r="A27" s="2">
        <v>45679</v>
      </c>
      <c r="B27" t="s">
        <v>78</v>
      </c>
      <c r="C27" t="s">
        <v>84</v>
      </c>
      <c r="D27" t="s">
        <v>87</v>
      </c>
      <c r="E27">
        <v>4884</v>
      </c>
      <c r="F27">
        <v>6</v>
      </c>
      <c r="G27" t="s">
        <v>405</v>
      </c>
      <c r="H27" t="s">
        <v>408</v>
      </c>
      <c r="I27">
        <v>502</v>
      </c>
    </row>
    <row r="28" spans="1:21" x14ac:dyDescent="0.25">
      <c r="A28" s="2">
        <v>45693</v>
      </c>
      <c r="B28" t="s">
        <v>77</v>
      </c>
      <c r="C28" t="s">
        <v>83</v>
      </c>
      <c r="D28" t="s">
        <v>88</v>
      </c>
      <c r="E28">
        <v>1767</v>
      </c>
      <c r="F28">
        <v>3</v>
      </c>
      <c r="G28" t="s">
        <v>403</v>
      </c>
      <c r="H28" t="s">
        <v>406</v>
      </c>
      <c r="I28">
        <v>488</v>
      </c>
    </row>
    <row r="29" spans="1:21" x14ac:dyDescent="0.25">
      <c r="A29" s="2">
        <v>45744</v>
      </c>
      <c r="B29" t="s">
        <v>78</v>
      </c>
      <c r="C29" t="s">
        <v>84</v>
      </c>
      <c r="D29" t="s">
        <v>85</v>
      </c>
      <c r="E29">
        <v>7840</v>
      </c>
      <c r="F29">
        <v>14</v>
      </c>
      <c r="G29" t="s">
        <v>404</v>
      </c>
      <c r="H29" t="s">
        <v>407</v>
      </c>
      <c r="I29">
        <v>437</v>
      </c>
    </row>
    <row r="30" spans="1:21" x14ac:dyDescent="0.25">
      <c r="A30" s="2">
        <v>45670</v>
      </c>
      <c r="B30" t="s">
        <v>78</v>
      </c>
      <c r="C30" t="s">
        <v>84</v>
      </c>
      <c r="D30" t="s">
        <v>86</v>
      </c>
      <c r="E30">
        <v>4806</v>
      </c>
      <c r="F30">
        <v>6</v>
      </c>
      <c r="G30" t="s">
        <v>405</v>
      </c>
      <c r="H30" t="s">
        <v>408</v>
      </c>
      <c r="I30">
        <v>511</v>
      </c>
      <c r="L30" s="12" t="s">
        <v>158</v>
      </c>
      <c r="M30" s="13">
        <f>SUM(E:E)</f>
        <v>528120</v>
      </c>
      <c r="O30" s="11" t="s">
        <v>2</v>
      </c>
      <c r="P30" s="3" t="s">
        <v>82</v>
      </c>
      <c r="R30" s="13" t="s">
        <v>160</v>
      </c>
      <c r="S30" s="12">
        <f>AVERAGE(E:E)</f>
        <v>5281.2</v>
      </c>
    </row>
    <row r="31" spans="1:21" x14ac:dyDescent="0.25">
      <c r="A31" s="2">
        <v>45716</v>
      </c>
      <c r="B31" t="s">
        <v>78</v>
      </c>
      <c r="C31" t="s">
        <v>84</v>
      </c>
      <c r="D31" t="s">
        <v>88</v>
      </c>
      <c r="E31">
        <v>2598</v>
      </c>
      <c r="F31">
        <v>3</v>
      </c>
      <c r="G31" t="s">
        <v>403</v>
      </c>
      <c r="H31" t="s">
        <v>406</v>
      </c>
      <c r="I31">
        <v>465</v>
      </c>
    </row>
    <row r="32" spans="1:21" ht="15.75" thickBot="1" x14ac:dyDescent="0.3">
      <c r="A32" s="2">
        <v>45762</v>
      </c>
      <c r="B32" t="s">
        <v>73</v>
      </c>
      <c r="C32" t="s">
        <v>81</v>
      </c>
      <c r="D32" t="s">
        <v>88</v>
      </c>
      <c r="E32">
        <v>12920</v>
      </c>
      <c r="F32">
        <v>17</v>
      </c>
      <c r="G32" t="s">
        <v>404</v>
      </c>
      <c r="H32" t="s">
        <v>409</v>
      </c>
      <c r="I32">
        <v>419</v>
      </c>
      <c r="L32" s="9" t="s">
        <v>157</v>
      </c>
      <c r="N32" s="9" t="s">
        <v>155</v>
      </c>
      <c r="R32" s="9" t="s">
        <v>161</v>
      </c>
      <c r="T32" s="9" t="s">
        <v>162</v>
      </c>
    </row>
    <row r="33" spans="1:20" ht="15.75" thickTop="1" x14ac:dyDescent="0.25">
      <c r="A33" s="2">
        <v>45692</v>
      </c>
      <c r="B33" t="s">
        <v>77</v>
      </c>
      <c r="C33" t="s">
        <v>83</v>
      </c>
      <c r="D33" t="s">
        <v>85</v>
      </c>
      <c r="E33">
        <v>2134</v>
      </c>
      <c r="F33">
        <v>11</v>
      </c>
      <c r="G33" t="s">
        <v>403</v>
      </c>
      <c r="H33" t="s">
        <v>406</v>
      </c>
      <c r="I33">
        <v>489</v>
      </c>
      <c r="K33" s="11" t="s">
        <v>85</v>
      </c>
      <c r="L33" s="3">
        <f>SUMIF(D:D,K33,E:E)</f>
        <v>171871</v>
      </c>
      <c r="N33" s="3">
        <f>SUMIFS(E:E,D:D,K33,C:C,$P$30)</f>
        <v>12291</v>
      </c>
      <c r="R33" s="3">
        <f>AVERAGEIF(D:D,K33,E:E)</f>
        <v>4774.1944444444443</v>
      </c>
      <c r="T33" s="3">
        <f>AVERAGEIFS(E:E,D:D,K33,C:C,$P$30)</f>
        <v>2458.1999999999998</v>
      </c>
    </row>
    <row r="34" spans="1:20" x14ac:dyDescent="0.25">
      <c r="A34" s="2">
        <v>45747</v>
      </c>
      <c r="B34" t="s">
        <v>79</v>
      </c>
      <c r="C34" t="s">
        <v>81</v>
      </c>
      <c r="D34" t="s">
        <v>86</v>
      </c>
      <c r="E34">
        <v>311</v>
      </c>
      <c r="F34">
        <v>1</v>
      </c>
      <c r="G34" t="s">
        <v>404</v>
      </c>
      <c r="H34" t="s">
        <v>407</v>
      </c>
      <c r="I34">
        <v>434</v>
      </c>
      <c r="K34" s="11" t="s">
        <v>87</v>
      </c>
      <c r="L34" s="3">
        <f>SUMIF(D:D,K34,E:E)</f>
        <v>107839</v>
      </c>
      <c r="N34" s="3">
        <f>SUMIFS(E:E,D:D,K34,C:C,$P$30)</f>
        <v>39253</v>
      </c>
      <c r="R34" s="3">
        <f>AVERAGEIF(D:D,K34,E:E)</f>
        <v>5135.1904761904761</v>
      </c>
      <c r="T34" s="3">
        <f>AVERAGEIFS(E:E,D:D,K34,C:C,$P$30)</f>
        <v>5607.5714285714284</v>
      </c>
    </row>
    <row r="35" spans="1:20" x14ac:dyDescent="0.25">
      <c r="A35" s="2">
        <v>45714</v>
      </c>
      <c r="B35" t="s">
        <v>73</v>
      </c>
      <c r="C35" t="s">
        <v>81</v>
      </c>
      <c r="D35" t="s">
        <v>85</v>
      </c>
      <c r="E35">
        <v>2388</v>
      </c>
      <c r="F35">
        <v>3</v>
      </c>
      <c r="G35" t="s">
        <v>403</v>
      </c>
      <c r="H35" t="s">
        <v>406</v>
      </c>
      <c r="I35">
        <v>467</v>
      </c>
      <c r="K35" s="11" t="s">
        <v>88</v>
      </c>
      <c r="L35" s="3">
        <f>SUMIF(D:D,K35,E:E)</f>
        <v>137638</v>
      </c>
      <c r="N35" s="3">
        <f>SUMIFS(E:E,D:D,K35,C:C,$P$30)</f>
        <v>49021</v>
      </c>
      <c r="R35" s="3">
        <f>AVERAGEIF(D:D,K35,E:E)</f>
        <v>5293.7692307692305</v>
      </c>
      <c r="T35" s="3">
        <f>AVERAGEIFS(E:E,D:D,K35,C:C,$P$30)</f>
        <v>4902.1000000000004</v>
      </c>
    </row>
    <row r="36" spans="1:20" x14ac:dyDescent="0.25">
      <c r="A36" s="2">
        <v>45748</v>
      </c>
      <c r="B36" t="s">
        <v>76</v>
      </c>
      <c r="C36" t="s">
        <v>84</v>
      </c>
      <c r="D36" t="s">
        <v>85</v>
      </c>
      <c r="E36">
        <v>2853</v>
      </c>
      <c r="F36">
        <v>9</v>
      </c>
      <c r="G36" t="s">
        <v>404</v>
      </c>
      <c r="H36" t="s">
        <v>409</v>
      </c>
      <c r="I36">
        <v>433</v>
      </c>
      <c r="K36" s="11" t="s">
        <v>86</v>
      </c>
      <c r="L36" s="3">
        <f>SUMIF(D:D,K36,E:E)</f>
        <v>110772</v>
      </c>
      <c r="N36" s="3">
        <f>SUMIFS(E:E,D:D,K36,C:C,$P$30)</f>
        <v>27775</v>
      </c>
      <c r="R36" s="3">
        <f>AVERAGEIF(D:D,K36,E:E)</f>
        <v>6516</v>
      </c>
      <c r="T36" s="3">
        <f>AVERAGEIFS(E:E,D:D,K36,C:C,$P$30)</f>
        <v>6943.75</v>
      </c>
    </row>
    <row r="37" spans="1:20" x14ac:dyDescent="0.25">
      <c r="A37" s="2">
        <v>45677</v>
      </c>
      <c r="B37" t="s">
        <v>80</v>
      </c>
      <c r="C37" t="s">
        <v>82</v>
      </c>
      <c r="D37" t="s">
        <v>88</v>
      </c>
      <c r="E37">
        <v>4382</v>
      </c>
      <c r="F37">
        <v>7</v>
      </c>
      <c r="G37" t="s">
        <v>405</v>
      </c>
      <c r="H37" t="s">
        <v>408</v>
      </c>
      <c r="I37">
        <v>504</v>
      </c>
    </row>
    <row r="38" spans="1:20" x14ac:dyDescent="0.25">
      <c r="A38" s="2">
        <v>45749</v>
      </c>
      <c r="B38" t="s">
        <v>73</v>
      </c>
      <c r="C38" t="s">
        <v>81</v>
      </c>
      <c r="D38" t="s">
        <v>85</v>
      </c>
      <c r="E38">
        <v>2690</v>
      </c>
      <c r="F38">
        <v>5</v>
      </c>
      <c r="G38" t="s">
        <v>404</v>
      </c>
      <c r="H38" t="s">
        <v>409</v>
      </c>
      <c r="I38">
        <v>432</v>
      </c>
      <c r="K38" s="12" t="s">
        <v>159</v>
      </c>
      <c r="L38" s="13">
        <f>SUM(L33:L36)</f>
        <v>528120</v>
      </c>
    </row>
    <row r="39" spans="1:20" x14ac:dyDescent="0.25">
      <c r="A39" s="2">
        <v>45697</v>
      </c>
      <c r="B39" t="s">
        <v>77</v>
      </c>
      <c r="C39" t="s">
        <v>83</v>
      </c>
      <c r="D39" t="s">
        <v>87</v>
      </c>
      <c r="E39">
        <v>399</v>
      </c>
      <c r="F39">
        <v>3</v>
      </c>
      <c r="G39" t="s">
        <v>403</v>
      </c>
      <c r="H39" t="s">
        <v>406</v>
      </c>
      <c r="I39">
        <v>484</v>
      </c>
    </row>
    <row r="40" spans="1:20" x14ac:dyDescent="0.25">
      <c r="A40" s="2">
        <v>45670</v>
      </c>
      <c r="B40" t="s">
        <v>74</v>
      </c>
      <c r="C40" t="s">
        <v>82</v>
      </c>
      <c r="D40" t="s">
        <v>85</v>
      </c>
      <c r="E40">
        <v>4459</v>
      </c>
      <c r="F40">
        <v>7</v>
      </c>
      <c r="G40" t="s">
        <v>405</v>
      </c>
      <c r="H40" t="s">
        <v>408</v>
      </c>
      <c r="I40">
        <v>511</v>
      </c>
    </row>
    <row r="41" spans="1:20" x14ac:dyDescent="0.25">
      <c r="A41" s="2">
        <v>45704</v>
      </c>
      <c r="B41" t="s">
        <v>74</v>
      </c>
      <c r="C41" t="s">
        <v>82</v>
      </c>
      <c r="D41" t="s">
        <v>85</v>
      </c>
      <c r="E41">
        <v>2274</v>
      </c>
      <c r="F41">
        <v>3</v>
      </c>
      <c r="G41" t="s">
        <v>403</v>
      </c>
      <c r="H41" t="s">
        <v>406</v>
      </c>
      <c r="I41">
        <v>477</v>
      </c>
    </row>
    <row r="42" spans="1:20" x14ac:dyDescent="0.25">
      <c r="A42" s="2">
        <v>45725</v>
      </c>
      <c r="B42" t="s">
        <v>77</v>
      </c>
      <c r="C42" t="s">
        <v>83</v>
      </c>
      <c r="D42" t="s">
        <v>87</v>
      </c>
      <c r="E42">
        <v>11552</v>
      </c>
      <c r="F42">
        <v>19</v>
      </c>
      <c r="G42" t="s">
        <v>403</v>
      </c>
      <c r="H42" t="s">
        <v>407</v>
      </c>
      <c r="I42">
        <v>456</v>
      </c>
    </row>
    <row r="43" spans="1:20" x14ac:dyDescent="0.25">
      <c r="A43" s="2">
        <v>45749</v>
      </c>
      <c r="B43" t="s">
        <v>73</v>
      </c>
      <c r="C43" t="s">
        <v>81</v>
      </c>
      <c r="D43" t="s">
        <v>87</v>
      </c>
      <c r="E43">
        <v>4540</v>
      </c>
      <c r="F43">
        <v>5</v>
      </c>
      <c r="G43" t="s">
        <v>404</v>
      </c>
      <c r="H43" t="s">
        <v>409</v>
      </c>
      <c r="I43">
        <v>432</v>
      </c>
    </row>
    <row r="44" spans="1:20" x14ac:dyDescent="0.25">
      <c r="A44" s="2">
        <v>45695</v>
      </c>
      <c r="B44" t="s">
        <v>77</v>
      </c>
      <c r="C44" t="s">
        <v>83</v>
      </c>
      <c r="D44" t="s">
        <v>85</v>
      </c>
      <c r="E44">
        <v>4216</v>
      </c>
      <c r="F44">
        <v>8</v>
      </c>
      <c r="G44" t="s">
        <v>403</v>
      </c>
      <c r="H44" t="s">
        <v>406</v>
      </c>
      <c r="I44">
        <v>486</v>
      </c>
    </row>
    <row r="45" spans="1:20" x14ac:dyDescent="0.25">
      <c r="A45" s="2">
        <v>45705</v>
      </c>
      <c r="B45" t="s">
        <v>75</v>
      </c>
      <c r="C45" t="s">
        <v>83</v>
      </c>
      <c r="D45" t="s">
        <v>85</v>
      </c>
      <c r="E45">
        <v>4140</v>
      </c>
      <c r="F45">
        <v>18</v>
      </c>
      <c r="G45" t="s">
        <v>403</v>
      </c>
      <c r="H45" t="s">
        <v>406</v>
      </c>
      <c r="I45">
        <v>476</v>
      </c>
    </row>
    <row r="46" spans="1:20" x14ac:dyDescent="0.25">
      <c r="A46" s="2">
        <v>45728</v>
      </c>
      <c r="B46" t="s">
        <v>74</v>
      </c>
      <c r="C46" t="s">
        <v>82</v>
      </c>
      <c r="D46" t="s">
        <v>88</v>
      </c>
      <c r="E46">
        <v>8610</v>
      </c>
      <c r="F46">
        <v>10</v>
      </c>
      <c r="G46" t="s">
        <v>403</v>
      </c>
      <c r="H46" t="s">
        <v>407</v>
      </c>
      <c r="I46">
        <v>453</v>
      </c>
    </row>
    <row r="47" spans="1:20" x14ac:dyDescent="0.25">
      <c r="A47" s="2">
        <v>45719</v>
      </c>
      <c r="B47" t="s">
        <v>74</v>
      </c>
      <c r="C47" t="s">
        <v>82</v>
      </c>
      <c r="D47" t="s">
        <v>88</v>
      </c>
      <c r="E47">
        <v>7200</v>
      </c>
      <c r="F47">
        <v>8</v>
      </c>
      <c r="G47" t="s">
        <v>403</v>
      </c>
      <c r="H47" t="s">
        <v>407</v>
      </c>
      <c r="I47">
        <v>462</v>
      </c>
    </row>
    <row r="48" spans="1:20" x14ac:dyDescent="0.25">
      <c r="A48" s="2">
        <v>45746</v>
      </c>
      <c r="B48" t="s">
        <v>79</v>
      </c>
      <c r="C48" t="s">
        <v>81</v>
      </c>
      <c r="D48" t="s">
        <v>85</v>
      </c>
      <c r="E48">
        <v>10849</v>
      </c>
      <c r="F48">
        <v>19</v>
      </c>
      <c r="G48" t="s">
        <v>404</v>
      </c>
      <c r="H48" t="s">
        <v>407</v>
      </c>
      <c r="I48">
        <v>435</v>
      </c>
    </row>
    <row r="49" spans="1:9" x14ac:dyDescent="0.25">
      <c r="A49" s="2">
        <v>45660</v>
      </c>
      <c r="B49" t="s">
        <v>78</v>
      </c>
      <c r="C49" t="s">
        <v>84</v>
      </c>
      <c r="D49" t="s">
        <v>85</v>
      </c>
      <c r="E49">
        <v>14256</v>
      </c>
      <c r="F49">
        <v>16</v>
      </c>
      <c r="G49" t="s">
        <v>405</v>
      </c>
      <c r="H49" t="s">
        <v>408</v>
      </c>
      <c r="I49">
        <v>521</v>
      </c>
    </row>
    <row r="50" spans="1:9" x14ac:dyDescent="0.25">
      <c r="A50" s="2">
        <v>45701</v>
      </c>
      <c r="B50" t="s">
        <v>74</v>
      </c>
      <c r="C50" t="s">
        <v>82</v>
      </c>
      <c r="D50" t="s">
        <v>88</v>
      </c>
      <c r="E50">
        <v>1464</v>
      </c>
      <c r="F50">
        <v>2</v>
      </c>
      <c r="G50" t="s">
        <v>403</v>
      </c>
      <c r="H50" t="s">
        <v>406</v>
      </c>
      <c r="I50">
        <v>480</v>
      </c>
    </row>
    <row r="51" spans="1:9" x14ac:dyDescent="0.25">
      <c r="A51" s="2">
        <v>45732</v>
      </c>
      <c r="B51" t="s">
        <v>78</v>
      </c>
      <c r="C51" t="s">
        <v>84</v>
      </c>
      <c r="D51" t="s">
        <v>88</v>
      </c>
      <c r="E51">
        <v>9622</v>
      </c>
      <c r="F51">
        <v>17</v>
      </c>
      <c r="G51" t="s">
        <v>404</v>
      </c>
      <c r="H51" t="s">
        <v>407</v>
      </c>
      <c r="I51">
        <v>449</v>
      </c>
    </row>
    <row r="52" spans="1:9" x14ac:dyDescent="0.25">
      <c r="A52" s="2">
        <v>45707</v>
      </c>
      <c r="B52" t="s">
        <v>75</v>
      </c>
      <c r="C52" t="s">
        <v>83</v>
      </c>
      <c r="D52" t="s">
        <v>87</v>
      </c>
      <c r="E52">
        <v>13420</v>
      </c>
      <c r="F52">
        <v>20</v>
      </c>
      <c r="G52" t="s">
        <v>403</v>
      </c>
      <c r="H52" t="s">
        <v>406</v>
      </c>
      <c r="I52">
        <v>474</v>
      </c>
    </row>
    <row r="53" spans="1:9" x14ac:dyDescent="0.25">
      <c r="A53" s="2">
        <v>45705</v>
      </c>
      <c r="B53" t="s">
        <v>75</v>
      </c>
      <c r="C53" t="s">
        <v>83</v>
      </c>
      <c r="D53" t="s">
        <v>87</v>
      </c>
      <c r="E53">
        <v>3004</v>
      </c>
      <c r="F53">
        <v>4</v>
      </c>
      <c r="G53" t="s">
        <v>403</v>
      </c>
      <c r="H53" t="s">
        <v>406</v>
      </c>
      <c r="I53">
        <v>476</v>
      </c>
    </row>
    <row r="54" spans="1:9" x14ac:dyDescent="0.25">
      <c r="A54" s="2">
        <v>45754</v>
      </c>
      <c r="B54" t="s">
        <v>76</v>
      </c>
      <c r="C54" t="s">
        <v>84</v>
      </c>
      <c r="D54" t="s">
        <v>88</v>
      </c>
      <c r="E54">
        <v>11865</v>
      </c>
      <c r="F54">
        <v>15</v>
      </c>
      <c r="G54" t="s">
        <v>404</v>
      </c>
      <c r="H54" t="s">
        <v>409</v>
      </c>
      <c r="I54">
        <v>427</v>
      </c>
    </row>
    <row r="55" spans="1:9" x14ac:dyDescent="0.25">
      <c r="A55" s="2">
        <v>45719</v>
      </c>
      <c r="B55" t="s">
        <v>80</v>
      </c>
      <c r="C55" t="s">
        <v>82</v>
      </c>
      <c r="D55" t="s">
        <v>87</v>
      </c>
      <c r="E55">
        <v>7395</v>
      </c>
      <c r="F55">
        <v>17</v>
      </c>
      <c r="G55" t="s">
        <v>403</v>
      </c>
      <c r="H55" t="s">
        <v>407</v>
      </c>
      <c r="I55">
        <v>462</v>
      </c>
    </row>
    <row r="56" spans="1:9" x14ac:dyDescent="0.25">
      <c r="A56" s="2">
        <v>45704</v>
      </c>
      <c r="B56" t="s">
        <v>73</v>
      </c>
      <c r="C56" t="s">
        <v>81</v>
      </c>
      <c r="D56" t="s">
        <v>85</v>
      </c>
      <c r="E56">
        <v>12701</v>
      </c>
      <c r="F56">
        <v>13</v>
      </c>
      <c r="G56" t="s">
        <v>403</v>
      </c>
      <c r="H56" t="s">
        <v>406</v>
      </c>
      <c r="I56">
        <v>477</v>
      </c>
    </row>
    <row r="57" spans="1:9" x14ac:dyDescent="0.25">
      <c r="A57" s="2">
        <v>45766</v>
      </c>
      <c r="B57" t="s">
        <v>75</v>
      </c>
      <c r="C57" t="s">
        <v>83</v>
      </c>
      <c r="D57" t="s">
        <v>85</v>
      </c>
      <c r="E57">
        <v>8697</v>
      </c>
      <c r="F57">
        <v>13</v>
      </c>
      <c r="G57" t="s">
        <v>404</v>
      </c>
      <c r="H57" t="s">
        <v>409</v>
      </c>
      <c r="I57">
        <v>415</v>
      </c>
    </row>
    <row r="58" spans="1:9" x14ac:dyDescent="0.25">
      <c r="A58" s="2">
        <v>45693</v>
      </c>
      <c r="B58" t="s">
        <v>76</v>
      </c>
      <c r="C58" t="s">
        <v>84</v>
      </c>
      <c r="D58" t="s">
        <v>88</v>
      </c>
      <c r="E58">
        <v>2728</v>
      </c>
      <c r="F58">
        <v>11</v>
      </c>
      <c r="G58" t="s">
        <v>403</v>
      </c>
      <c r="H58" t="s">
        <v>406</v>
      </c>
      <c r="I58">
        <v>488</v>
      </c>
    </row>
    <row r="59" spans="1:9" x14ac:dyDescent="0.25">
      <c r="A59" s="2">
        <v>45658</v>
      </c>
      <c r="B59" t="s">
        <v>78</v>
      </c>
      <c r="C59" t="s">
        <v>84</v>
      </c>
      <c r="D59" t="s">
        <v>86</v>
      </c>
      <c r="E59">
        <v>7395</v>
      </c>
      <c r="F59">
        <v>17</v>
      </c>
      <c r="G59" t="s">
        <v>405</v>
      </c>
      <c r="H59" t="s">
        <v>408</v>
      </c>
      <c r="I59">
        <v>523</v>
      </c>
    </row>
    <row r="60" spans="1:9" x14ac:dyDescent="0.25">
      <c r="A60" s="2">
        <v>45744</v>
      </c>
      <c r="B60" t="s">
        <v>80</v>
      </c>
      <c r="C60" t="s">
        <v>82</v>
      </c>
      <c r="D60" t="s">
        <v>85</v>
      </c>
      <c r="E60">
        <v>632</v>
      </c>
      <c r="F60">
        <v>1</v>
      </c>
      <c r="G60" t="s">
        <v>404</v>
      </c>
      <c r="H60" t="s">
        <v>407</v>
      </c>
      <c r="I60">
        <v>437</v>
      </c>
    </row>
    <row r="61" spans="1:9" x14ac:dyDescent="0.25">
      <c r="A61" s="2">
        <v>45732</v>
      </c>
      <c r="B61" t="s">
        <v>77</v>
      </c>
      <c r="C61" t="s">
        <v>83</v>
      </c>
      <c r="D61" t="s">
        <v>88</v>
      </c>
      <c r="E61">
        <v>1044</v>
      </c>
      <c r="F61">
        <v>3</v>
      </c>
      <c r="G61" t="s">
        <v>404</v>
      </c>
      <c r="H61" t="s">
        <v>407</v>
      </c>
      <c r="I61">
        <v>449</v>
      </c>
    </row>
    <row r="62" spans="1:9" x14ac:dyDescent="0.25">
      <c r="A62" s="2">
        <v>45713</v>
      </c>
      <c r="B62" t="s">
        <v>75</v>
      </c>
      <c r="C62" t="s">
        <v>83</v>
      </c>
      <c r="D62" t="s">
        <v>85</v>
      </c>
      <c r="E62">
        <v>4779</v>
      </c>
      <c r="F62">
        <v>9</v>
      </c>
      <c r="G62" t="s">
        <v>403</v>
      </c>
      <c r="H62" t="s">
        <v>406</v>
      </c>
      <c r="I62">
        <v>468</v>
      </c>
    </row>
    <row r="63" spans="1:9" x14ac:dyDescent="0.25">
      <c r="A63" s="2">
        <v>45669</v>
      </c>
      <c r="B63" t="s">
        <v>73</v>
      </c>
      <c r="C63" t="s">
        <v>81</v>
      </c>
      <c r="D63" t="s">
        <v>85</v>
      </c>
      <c r="E63">
        <v>636</v>
      </c>
      <c r="F63">
        <v>2</v>
      </c>
      <c r="G63" t="s">
        <v>405</v>
      </c>
      <c r="H63" t="s">
        <v>408</v>
      </c>
      <c r="I63">
        <v>512</v>
      </c>
    </row>
    <row r="64" spans="1:9" x14ac:dyDescent="0.25">
      <c r="A64" s="2">
        <v>45702</v>
      </c>
      <c r="B64" t="s">
        <v>80</v>
      </c>
      <c r="C64" t="s">
        <v>82</v>
      </c>
      <c r="D64" t="s">
        <v>86</v>
      </c>
      <c r="E64">
        <v>7800</v>
      </c>
      <c r="F64">
        <v>10</v>
      </c>
      <c r="G64" t="s">
        <v>403</v>
      </c>
      <c r="H64" t="s">
        <v>406</v>
      </c>
      <c r="I64">
        <v>479</v>
      </c>
    </row>
    <row r="65" spans="1:9" x14ac:dyDescent="0.25">
      <c r="A65" s="2">
        <v>45686</v>
      </c>
      <c r="B65" t="s">
        <v>73</v>
      </c>
      <c r="C65" t="s">
        <v>81</v>
      </c>
      <c r="D65" t="s">
        <v>88</v>
      </c>
      <c r="E65">
        <v>545</v>
      </c>
      <c r="F65">
        <v>5</v>
      </c>
      <c r="G65" t="s">
        <v>403</v>
      </c>
      <c r="H65" t="s">
        <v>408</v>
      </c>
      <c r="I65">
        <v>495</v>
      </c>
    </row>
    <row r="66" spans="1:9" x14ac:dyDescent="0.25">
      <c r="A66" s="2">
        <v>45706</v>
      </c>
      <c r="B66" t="s">
        <v>75</v>
      </c>
      <c r="C66" t="s">
        <v>83</v>
      </c>
      <c r="D66" t="s">
        <v>85</v>
      </c>
      <c r="E66">
        <v>6040</v>
      </c>
      <c r="F66">
        <v>20</v>
      </c>
      <c r="G66" t="s">
        <v>403</v>
      </c>
      <c r="H66" t="s">
        <v>406</v>
      </c>
      <c r="I66">
        <v>475</v>
      </c>
    </row>
    <row r="67" spans="1:9" x14ac:dyDescent="0.25">
      <c r="A67" s="2">
        <v>45724</v>
      </c>
      <c r="B67" t="s">
        <v>74</v>
      </c>
      <c r="C67" t="s">
        <v>82</v>
      </c>
      <c r="D67" t="s">
        <v>88</v>
      </c>
      <c r="E67">
        <v>8136</v>
      </c>
      <c r="F67">
        <v>9</v>
      </c>
      <c r="G67" t="s">
        <v>403</v>
      </c>
      <c r="H67" t="s">
        <v>407</v>
      </c>
      <c r="I67">
        <v>457</v>
      </c>
    </row>
    <row r="68" spans="1:9" x14ac:dyDescent="0.25">
      <c r="A68" s="2">
        <v>45659</v>
      </c>
      <c r="B68" t="s">
        <v>80</v>
      </c>
      <c r="C68" t="s">
        <v>82</v>
      </c>
      <c r="D68" t="s">
        <v>88</v>
      </c>
      <c r="E68">
        <v>3928</v>
      </c>
      <c r="F68">
        <v>4</v>
      </c>
      <c r="G68" t="s">
        <v>405</v>
      </c>
      <c r="H68" t="s">
        <v>408</v>
      </c>
      <c r="I68">
        <v>522</v>
      </c>
    </row>
    <row r="69" spans="1:9" x14ac:dyDescent="0.25">
      <c r="A69" s="2">
        <v>45680</v>
      </c>
      <c r="B69" t="s">
        <v>80</v>
      </c>
      <c r="C69" t="s">
        <v>82</v>
      </c>
      <c r="D69" t="s">
        <v>87</v>
      </c>
      <c r="E69">
        <v>2968</v>
      </c>
      <c r="F69">
        <v>14</v>
      </c>
      <c r="G69" t="s">
        <v>405</v>
      </c>
      <c r="H69" t="s">
        <v>408</v>
      </c>
      <c r="I69">
        <v>501</v>
      </c>
    </row>
    <row r="70" spans="1:9" x14ac:dyDescent="0.25">
      <c r="A70" s="2">
        <v>45689</v>
      </c>
      <c r="B70" t="s">
        <v>74</v>
      </c>
      <c r="C70" t="s">
        <v>82</v>
      </c>
      <c r="D70" t="s">
        <v>87</v>
      </c>
      <c r="E70">
        <v>3955</v>
      </c>
      <c r="F70">
        <v>5</v>
      </c>
      <c r="G70" t="s">
        <v>403</v>
      </c>
      <c r="H70" t="s">
        <v>406</v>
      </c>
      <c r="I70">
        <v>492</v>
      </c>
    </row>
    <row r="71" spans="1:9" x14ac:dyDescent="0.25">
      <c r="A71" s="2">
        <v>45702</v>
      </c>
      <c r="B71" t="s">
        <v>75</v>
      </c>
      <c r="C71" t="s">
        <v>83</v>
      </c>
      <c r="D71" t="s">
        <v>85</v>
      </c>
      <c r="E71">
        <v>4048</v>
      </c>
      <c r="F71">
        <v>8</v>
      </c>
      <c r="G71" t="s">
        <v>403</v>
      </c>
      <c r="H71" t="s">
        <v>406</v>
      </c>
      <c r="I71">
        <v>479</v>
      </c>
    </row>
    <row r="72" spans="1:9" x14ac:dyDescent="0.25">
      <c r="A72" s="2">
        <v>45727</v>
      </c>
      <c r="B72" t="s">
        <v>78</v>
      </c>
      <c r="C72" t="s">
        <v>84</v>
      </c>
      <c r="D72" t="s">
        <v>87</v>
      </c>
      <c r="E72">
        <v>6464</v>
      </c>
      <c r="F72">
        <v>8</v>
      </c>
      <c r="G72" t="s">
        <v>403</v>
      </c>
      <c r="H72" t="s">
        <v>407</v>
      </c>
      <c r="I72">
        <v>454</v>
      </c>
    </row>
    <row r="73" spans="1:9" x14ac:dyDescent="0.25">
      <c r="A73" s="2">
        <v>45710</v>
      </c>
      <c r="B73" t="s">
        <v>73</v>
      </c>
      <c r="C73" t="s">
        <v>81</v>
      </c>
      <c r="D73" t="s">
        <v>88</v>
      </c>
      <c r="E73">
        <v>3042</v>
      </c>
      <c r="F73">
        <v>13</v>
      </c>
      <c r="G73" t="s">
        <v>403</v>
      </c>
      <c r="H73" t="s">
        <v>406</v>
      </c>
      <c r="I73">
        <v>471</v>
      </c>
    </row>
    <row r="74" spans="1:9" x14ac:dyDescent="0.25">
      <c r="A74" s="2">
        <v>45761</v>
      </c>
      <c r="B74" t="s">
        <v>80</v>
      </c>
      <c r="C74" t="s">
        <v>82</v>
      </c>
      <c r="D74" t="s">
        <v>88</v>
      </c>
      <c r="E74">
        <v>9480</v>
      </c>
      <c r="F74">
        <v>15</v>
      </c>
      <c r="G74" t="s">
        <v>404</v>
      </c>
      <c r="H74" t="s">
        <v>409</v>
      </c>
      <c r="I74">
        <v>420</v>
      </c>
    </row>
    <row r="75" spans="1:9" x14ac:dyDescent="0.25">
      <c r="A75" s="2">
        <v>45666</v>
      </c>
      <c r="B75" t="s">
        <v>75</v>
      </c>
      <c r="C75" t="s">
        <v>83</v>
      </c>
      <c r="D75" t="s">
        <v>88</v>
      </c>
      <c r="E75">
        <v>16321</v>
      </c>
      <c r="F75">
        <v>19</v>
      </c>
      <c r="G75" t="s">
        <v>405</v>
      </c>
      <c r="H75" t="s">
        <v>408</v>
      </c>
      <c r="I75">
        <v>515</v>
      </c>
    </row>
    <row r="76" spans="1:9" x14ac:dyDescent="0.25">
      <c r="A76" s="2">
        <v>45756</v>
      </c>
      <c r="B76" t="s">
        <v>74</v>
      </c>
      <c r="C76" t="s">
        <v>82</v>
      </c>
      <c r="D76" t="s">
        <v>87</v>
      </c>
      <c r="E76">
        <v>8436</v>
      </c>
      <c r="F76">
        <v>19</v>
      </c>
      <c r="G76" t="s">
        <v>404</v>
      </c>
      <c r="H76" t="s">
        <v>409</v>
      </c>
      <c r="I76">
        <v>425</v>
      </c>
    </row>
    <row r="77" spans="1:9" x14ac:dyDescent="0.25">
      <c r="A77" s="2">
        <v>45747</v>
      </c>
      <c r="B77" t="s">
        <v>74</v>
      </c>
      <c r="C77" t="s">
        <v>82</v>
      </c>
      <c r="D77" t="s">
        <v>85</v>
      </c>
      <c r="E77">
        <v>2832</v>
      </c>
      <c r="F77">
        <v>8</v>
      </c>
      <c r="G77" t="s">
        <v>404</v>
      </c>
      <c r="H77" t="s">
        <v>407</v>
      </c>
      <c r="I77">
        <v>434</v>
      </c>
    </row>
    <row r="78" spans="1:9" x14ac:dyDescent="0.25">
      <c r="A78" s="2">
        <v>45693</v>
      </c>
      <c r="B78" t="s">
        <v>79</v>
      </c>
      <c r="C78" t="s">
        <v>81</v>
      </c>
      <c r="D78" t="s">
        <v>86</v>
      </c>
      <c r="E78">
        <v>8604</v>
      </c>
      <c r="F78">
        <v>18</v>
      </c>
      <c r="G78" t="s">
        <v>403</v>
      </c>
      <c r="H78" t="s">
        <v>406</v>
      </c>
      <c r="I78">
        <v>488</v>
      </c>
    </row>
    <row r="79" spans="1:9" x14ac:dyDescent="0.25">
      <c r="A79" s="2">
        <v>45665</v>
      </c>
      <c r="B79" t="s">
        <v>73</v>
      </c>
      <c r="C79" t="s">
        <v>81</v>
      </c>
      <c r="D79" t="s">
        <v>86</v>
      </c>
      <c r="E79">
        <v>2805</v>
      </c>
      <c r="F79">
        <v>5</v>
      </c>
      <c r="G79" t="s">
        <v>405</v>
      </c>
      <c r="H79" t="s">
        <v>408</v>
      </c>
      <c r="I79">
        <v>516</v>
      </c>
    </row>
    <row r="80" spans="1:9" x14ac:dyDescent="0.25">
      <c r="A80" s="2">
        <v>45690</v>
      </c>
      <c r="B80" t="s">
        <v>79</v>
      </c>
      <c r="C80" t="s">
        <v>81</v>
      </c>
      <c r="D80" t="s">
        <v>87</v>
      </c>
      <c r="E80">
        <v>5544</v>
      </c>
      <c r="F80">
        <v>7</v>
      </c>
      <c r="G80" t="s">
        <v>403</v>
      </c>
      <c r="H80" t="s">
        <v>406</v>
      </c>
      <c r="I80">
        <v>491</v>
      </c>
    </row>
    <row r="81" spans="1:9" x14ac:dyDescent="0.25">
      <c r="A81" s="2">
        <v>45667</v>
      </c>
      <c r="B81" t="s">
        <v>77</v>
      </c>
      <c r="C81" t="s">
        <v>83</v>
      </c>
      <c r="D81" t="s">
        <v>88</v>
      </c>
      <c r="E81">
        <v>1694</v>
      </c>
      <c r="F81">
        <v>11</v>
      </c>
      <c r="G81" t="s">
        <v>405</v>
      </c>
      <c r="H81" t="s">
        <v>408</v>
      </c>
      <c r="I81">
        <v>514</v>
      </c>
    </row>
    <row r="82" spans="1:9" x14ac:dyDescent="0.25">
      <c r="A82" s="2">
        <v>45665</v>
      </c>
      <c r="B82" t="s">
        <v>75</v>
      </c>
      <c r="C82" t="s">
        <v>83</v>
      </c>
      <c r="D82" t="s">
        <v>86</v>
      </c>
      <c r="E82">
        <v>5760</v>
      </c>
      <c r="F82">
        <v>9</v>
      </c>
      <c r="G82" t="s">
        <v>405</v>
      </c>
      <c r="H82" t="s">
        <v>408</v>
      </c>
      <c r="I82">
        <v>516</v>
      </c>
    </row>
    <row r="83" spans="1:9" x14ac:dyDescent="0.25">
      <c r="A83" s="2">
        <v>45712</v>
      </c>
      <c r="B83" t="s">
        <v>78</v>
      </c>
      <c r="C83" t="s">
        <v>84</v>
      </c>
      <c r="D83" t="s">
        <v>85</v>
      </c>
      <c r="E83">
        <v>8550</v>
      </c>
      <c r="F83">
        <v>10</v>
      </c>
      <c r="G83" t="s">
        <v>403</v>
      </c>
      <c r="H83" t="s">
        <v>406</v>
      </c>
      <c r="I83">
        <v>469</v>
      </c>
    </row>
    <row r="84" spans="1:9" x14ac:dyDescent="0.25">
      <c r="A84" s="2">
        <v>45668</v>
      </c>
      <c r="B84" t="s">
        <v>79</v>
      </c>
      <c r="C84" t="s">
        <v>81</v>
      </c>
      <c r="D84" t="s">
        <v>86</v>
      </c>
      <c r="E84">
        <v>1220</v>
      </c>
      <c r="F84">
        <v>5</v>
      </c>
      <c r="G84" t="s">
        <v>405</v>
      </c>
      <c r="H84" t="s">
        <v>408</v>
      </c>
      <c r="I84">
        <v>513</v>
      </c>
    </row>
    <row r="85" spans="1:9" x14ac:dyDescent="0.25">
      <c r="A85" s="2">
        <v>45777</v>
      </c>
      <c r="B85" t="s">
        <v>77</v>
      </c>
      <c r="C85" t="s">
        <v>83</v>
      </c>
      <c r="D85" t="s">
        <v>88</v>
      </c>
      <c r="E85">
        <v>2490</v>
      </c>
      <c r="F85">
        <v>15</v>
      </c>
      <c r="G85" t="s">
        <v>404</v>
      </c>
      <c r="H85" t="s">
        <v>409</v>
      </c>
      <c r="I85">
        <v>404</v>
      </c>
    </row>
    <row r="86" spans="1:9" x14ac:dyDescent="0.25">
      <c r="A86" s="2">
        <v>45731</v>
      </c>
      <c r="B86" t="s">
        <v>73</v>
      </c>
      <c r="C86" t="s">
        <v>81</v>
      </c>
      <c r="D86" t="s">
        <v>88</v>
      </c>
      <c r="E86">
        <v>3225</v>
      </c>
      <c r="F86">
        <v>15</v>
      </c>
      <c r="G86" t="s">
        <v>404</v>
      </c>
      <c r="H86" t="s">
        <v>407</v>
      </c>
      <c r="I86">
        <v>450</v>
      </c>
    </row>
    <row r="87" spans="1:9" x14ac:dyDescent="0.25">
      <c r="A87" s="2">
        <v>45725</v>
      </c>
      <c r="B87" t="s">
        <v>79</v>
      </c>
      <c r="C87" t="s">
        <v>81</v>
      </c>
      <c r="D87" t="s">
        <v>88</v>
      </c>
      <c r="E87">
        <v>7930</v>
      </c>
      <c r="F87">
        <v>13</v>
      </c>
      <c r="G87" t="s">
        <v>403</v>
      </c>
      <c r="H87" t="s">
        <v>407</v>
      </c>
      <c r="I87">
        <v>456</v>
      </c>
    </row>
    <row r="88" spans="1:9" x14ac:dyDescent="0.25">
      <c r="A88" s="2">
        <v>45756</v>
      </c>
      <c r="B88" t="s">
        <v>78</v>
      </c>
      <c r="C88" t="s">
        <v>84</v>
      </c>
      <c r="D88" t="s">
        <v>85</v>
      </c>
      <c r="E88">
        <v>12920</v>
      </c>
      <c r="F88">
        <v>19</v>
      </c>
      <c r="G88" t="s">
        <v>404</v>
      </c>
      <c r="H88" t="s">
        <v>409</v>
      </c>
      <c r="I88">
        <v>425</v>
      </c>
    </row>
    <row r="89" spans="1:9" x14ac:dyDescent="0.25">
      <c r="A89" s="2">
        <v>45725</v>
      </c>
      <c r="B89" t="s">
        <v>77</v>
      </c>
      <c r="C89" t="s">
        <v>83</v>
      </c>
      <c r="D89" t="s">
        <v>85</v>
      </c>
      <c r="E89">
        <v>4685</v>
      </c>
      <c r="F89">
        <v>5</v>
      </c>
      <c r="G89" t="s">
        <v>403</v>
      </c>
      <c r="H89" t="s">
        <v>407</v>
      </c>
      <c r="I89">
        <v>456</v>
      </c>
    </row>
    <row r="90" spans="1:9" x14ac:dyDescent="0.25">
      <c r="A90" s="2">
        <v>45694</v>
      </c>
      <c r="B90" t="s">
        <v>74</v>
      </c>
      <c r="C90" t="s">
        <v>82</v>
      </c>
      <c r="D90" t="s">
        <v>88</v>
      </c>
      <c r="E90">
        <v>808</v>
      </c>
      <c r="F90">
        <v>8</v>
      </c>
      <c r="G90" t="s">
        <v>403</v>
      </c>
      <c r="H90" t="s">
        <v>406</v>
      </c>
      <c r="I90">
        <v>487</v>
      </c>
    </row>
    <row r="91" spans="1:9" x14ac:dyDescent="0.25">
      <c r="A91" s="2">
        <v>45749</v>
      </c>
      <c r="B91" t="s">
        <v>76</v>
      </c>
      <c r="C91" t="s">
        <v>84</v>
      </c>
      <c r="D91" t="s">
        <v>85</v>
      </c>
      <c r="E91">
        <v>1592</v>
      </c>
      <c r="F91">
        <v>4</v>
      </c>
      <c r="G91" t="s">
        <v>404</v>
      </c>
      <c r="H91" t="s">
        <v>409</v>
      </c>
      <c r="I91">
        <v>432</v>
      </c>
    </row>
    <row r="92" spans="1:9" x14ac:dyDescent="0.25">
      <c r="A92" s="2">
        <v>45778</v>
      </c>
      <c r="B92" t="s">
        <v>75</v>
      </c>
      <c r="C92" t="s">
        <v>83</v>
      </c>
      <c r="D92" t="s">
        <v>86</v>
      </c>
      <c r="E92">
        <v>14860</v>
      </c>
      <c r="F92">
        <v>20</v>
      </c>
      <c r="G92" t="s">
        <v>404</v>
      </c>
      <c r="H92" t="s">
        <v>410</v>
      </c>
      <c r="I92">
        <v>403</v>
      </c>
    </row>
    <row r="93" spans="1:9" x14ac:dyDescent="0.25">
      <c r="A93" s="2">
        <v>45658</v>
      </c>
      <c r="B93" t="s">
        <v>78</v>
      </c>
      <c r="C93" t="s">
        <v>84</v>
      </c>
      <c r="D93" t="s">
        <v>86</v>
      </c>
      <c r="E93">
        <v>8040</v>
      </c>
      <c r="F93">
        <v>10</v>
      </c>
      <c r="G93" t="s">
        <v>405</v>
      </c>
      <c r="H93" t="s">
        <v>408</v>
      </c>
      <c r="I93">
        <v>523</v>
      </c>
    </row>
    <row r="94" spans="1:9" x14ac:dyDescent="0.25">
      <c r="A94" s="2">
        <v>45762</v>
      </c>
      <c r="B94" t="s">
        <v>78</v>
      </c>
      <c r="C94" t="s">
        <v>84</v>
      </c>
      <c r="D94" t="s">
        <v>87</v>
      </c>
      <c r="E94">
        <v>3880</v>
      </c>
      <c r="F94">
        <v>20</v>
      </c>
      <c r="G94" t="s">
        <v>404</v>
      </c>
      <c r="H94" t="s">
        <v>409</v>
      </c>
      <c r="I94">
        <v>419</v>
      </c>
    </row>
    <row r="95" spans="1:9" x14ac:dyDescent="0.25">
      <c r="A95" s="2">
        <v>45765</v>
      </c>
      <c r="B95" t="s">
        <v>75</v>
      </c>
      <c r="C95" t="s">
        <v>83</v>
      </c>
      <c r="D95" t="s">
        <v>87</v>
      </c>
      <c r="E95">
        <v>2522</v>
      </c>
      <c r="F95">
        <v>13</v>
      </c>
      <c r="G95" t="s">
        <v>404</v>
      </c>
      <c r="H95" t="s">
        <v>409</v>
      </c>
      <c r="I95">
        <v>416</v>
      </c>
    </row>
    <row r="96" spans="1:9" x14ac:dyDescent="0.25">
      <c r="A96" s="2">
        <v>45701</v>
      </c>
      <c r="B96" t="s">
        <v>76</v>
      </c>
      <c r="C96" t="s">
        <v>84</v>
      </c>
      <c r="D96" t="s">
        <v>85</v>
      </c>
      <c r="E96">
        <v>852</v>
      </c>
      <c r="F96">
        <v>2</v>
      </c>
      <c r="G96" t="s">
        <v>403</v>
      </c>
      <c r="H96" t="s">
        <v>406</v>
      </c>
      <c r="I96">
        <v>480</v>
      </c>
    </row>
    <row r="97" spans="1:9" x14ac:dyDescent="0.25">
      <c r="A97" s="2">
        <v>45727</v>
      </c>
      <c r="B97" t="s">
        <v>73</v>
      </c>
      <c r="C97" t="s">
        <v>81</v>
      </c>
      <c r="D97" t="s">
        <v>85</v>
      </c>
      <c r="E97">
        <v>1185</v>
      </c>
      <c r="F97">
        <v>5</v>
      </c>
      <c r="G97" t="s">
        <v>403</v>
      </c>
      <c r="H97" t="s">
        <v>407</v>
      </c>
      <c r="I97">
        <v>454</v>
      </c>
    </row>
    <row r="98" spans="1:9" x14ac:dyDescent="0.25">
      <c r="A98" s="2">
        <v>45741</v>
      </c>
      <c r="B98" t="s">
        <v>73</v>
      </c>
      <c r="C98" t="s">
        <v>81</v>
      </c>
      <c r="D98" t="s">
        <v>85</v>
      </c>
      <c r="E98">
        <v>1836</v>
      </c>
      <c r="F98">
        <v>12</v>
      </c>
      <c r="G98" t="s">
        <v>404</v>
      </c>
      <c r="H98" t="s">
        <v>407</v>
      </c>
      <c r="I98">
        <v>440</v>
      </c>
    </row>
    <row r="99" spans="1:9" x14ac:dyDescent="0.25">
      <c r="A99" s="2">
        <v>45679</v>
      </c>
      <c r="B99" t="s">
        <v>80</v>
      </c>
      <c r="C99" t="s">
        <v>82</v>
      </c>
      <c r="D99" t="s">
        <v>87</v>
      </c>
      <c r="E99">
        <v>3835</v>
      </c>
      <c r="F99">
        <v>5</v>
      </c>
      <c r="G99" t="s">
        <v>405</v>
      </c>
      <c r="H99" t="s">
        <v>408</v>
      </c>
      <c r="I99">
        <v>502</v>
      </c>
    </row>
    <row r="100" spans="1:9" x14ac:dyDescent="0.25">
      <c r="A100" s="2">
        <v>45711</v>
      </c>
      <c r="B100" t="s">
        <v>75</v>
      </c>
      <c r="C100" t="s">
        <v>83</v>
      </c>
      <c r="D100" t="s">
        <v>85</v>
      </c>
      <c r="E100">
        <v>2460</v>
      </c>
      <c r="F100">
        <v>12</v>
      </c>
      <c r="G100" t="s">
        <v>403</v>
      </c>
      <c r="H100" t="s">
        <v>406</v>
      </c>
      <c r="I100">
        <v>470</v>
      </c>
    </row>
    <row r="101" spans="1:9" x14ac:dyDescent="0.25">
      <c r="A101" s="2">
        <v>45693</v>
      </c>
      <c r="B101" t="s">
        <v>78</v>
      </c>
      <c r="C101" t="s">
        <v>84</v>
      </c>
      <c r="D101" t="s">
        <v>88</v>
      </c>
      <c r="E101">
        <v>3941</v>
      </c>
      <c r="F101">
        <v>7</v>
      </c>
      <c r="G101" t="s">
        <v>403</v>
      </c>
      <c r="H101" t="s">
        <v>406</v>
      </c>
      <c r="I101">
        <v>488</v>
      </c>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7313F-31B4-40A5-99DD-B4195FACCF81}">
  <sheetPr codeName="Sheet6"/>
  <dimension ref="A1:W101"/>
  <sheetViews>
    <sheetView topLeftCell="B1" zoomScaleNormal="100" workbookViewId="0">
      <selection activeCell="O29" sqref="O29"/>
    </sheetView>
  </sheetViews>
  <sheetFormatPr defaultRowHeight="15" x14ac:dyDescent="0.25"/>
  <cols>
    <col min="1" max="1" width="10.5703125" bestFit="1" customWidth="1"/>
    <col min="2" max="2" width="12" bestFit="1" customWidth="1"/>
    <col min="3" max="3" width="11.140625" bestFit="1" customWidth="1"/>
    <col min="4" max="4" width="9.42578125" bestFit="1" customWidth="1"/>
    <col min="5" max="5" width="15.5703125" bestFit="1" customWidth="1"/>
    <col min="6" max="6" width="15.42578125" bestFit="1" customWidth="1"/>
    <col min="7" max="7" width="10.28515625" bestFit="1" customWidth="1"/>
    <col min="8" max="8" width="11.140625" bestFit="1" customWidth="1"/>
    <col min="9" max="9" width="6.42578125" bestFit="1" customWidth="1"/>
    <col min="10" max="10" width="5.28515625" customWidth="1"/>
    <col min="11" max="11" width="11.85546875" customWidth="1"/>
    <col min="12" max="12" width="30.42578125" customWidth="1"/>
    <col min="13" max="13" width="10.85546875" customWidth="1"/>
    <col min="14" max="14" width="12.140625" customWidth="1"/>
    <col min="15" max="15" width="22.7109375" customWidth="1"/>
    <col min="17" max="17" width="10.7109375" bestFit="1" customWidth="1"/>
    <col min="20" max="20" width="11.5703125" customWidth="1"/>
    <col min="21" max="21" width="17.85546875" customWidth="1"/>
    <col min="23" max="23" width="12.5703125" bestFit="1" customWidth="1"/>
  </cols>
  <sheetData>
    <row r="1" spans="1:23" x14ac:dyDescent="0.25">
      <c r="A1" t="s">
        <v>0</v>
      </c>
      <c r="B1" t="s">
        <v>1</v>
      </c>
      <c r="C1" t="s">
        <v>2</v>
      </c>
      <c r="D1" t="s">
        <v>3</v>
      </c>
      <c r="E1" t="s">
        <v>4</v>
      </c>
      <c r="F1" t="s">
        <v>5</v>
      </c>
      <c r="G1" t="s">
        <v>402</v>
      </c>
      <c r="H1" t="s">
        <v>401</v>
      </c>
      <c r="I1" t="s">
        <v>400</v>
      </c>
      <c r="L1" t="s">
        <v>196</v>
      </c>
      <c r="M1" t="s">
        <v>197</v>
      </c>
      <c r="N1" t="s">
        <v>198</v>
      </c>
      <c r="O1" t="s">
        <v>199</v>
      </c>
      <c r="P1" t="s">
        <v>200</v>
      </c>
    </row>
    <row r="2" spans="1:23" x14ac:dyDescent="0.25">
      <c r="A2" s="2">
        <v>45697</v>
      </c>
      <c r="B2" t="s">
        <v>73</v>
      </c>
      <c r="C2" t="s">
        <v>81</v>
      </c>
      <c r="D2" t="s">
        <v>85</v>
      </c>
      <c r="E2">
        <v>4050</v>
      </c>
      <c r="F2">
        <v>18</v>
      </c>
      <c r="G2" t="s">
        <v>403</v>
      </c>
      <c r="H2" t="s">
        <v>406</v>
      </c>
      <c r="I2">
        <v>484</v>
      </c>
      <c r="L2" t="s">
        <v>201</v>
      </c>
      <c r="M2" t="s">
        <v>202</v>
      </c>
      <c r="N2" t="s">
        <v>207</v>
      </c>
      <c r="O2" t="s">
        <v>203</v>
      </c>
      <c r="P2" t="s">
        <v>204</v>
      </c>
    </row>
    <row r="3" spans="1:23" x14ac:dyDescent="0.25">
      <c r="A3" s="2">
        <v>45734</v>
      </c>
      <c r="B3" t="s">
        <v>74</v>
      </c>
      <c r="C3" t="s">
        <v>82</v>
      </c>
      <c r="D3" t="s">
        <v>86</v>
      </c>
      <c r="E3">
        <v>7875</v>
      </c>
      <c r="F3">
        <v>15</v>
      </c>
      <c r="G3" t="s">
        <v>404</v>
      </c>
      <c r="H3" t="s">
        <v>407</v>
      </c>
      <c r="I3">
        <v>447</v>
      </c>
      <c r="L3" t="s">
        <v>205</v>
      </c>
      <c r="M3">
        <v>6000</v>
      </c>
      <c r="N3">
        <v>4000</v>
      </c>
      <c r="O3">
        <v>8000</v>
      </c>
      <c r="P3">
        <v>3000</v>
      </c>
    </row>
    <row r="4" spans="1:23" x14ac:dyDescent="0.25">
      <c r="A4" s="2">
        <v>45676</v>
      </c>
      <c r="B4" t="s">
        <v>75</v>
      </c>
      <c r="C4" t="s">
        <v>83</v>
      </c>
      <c r="D4" t="s">
        <v>85</v>
      </c>
      <c r="E4">
        <v>5832</v>
      </c>
      <c r="F4">
        <v>6</v>
      </c>
      <c r="G4" t="s">
        <v>405</v>
      </c>
      <c r="H4" t="s">
        <v>408</v>
      </c>
      <c r="I4">
        <v>505</v>
      </c>
    </row>
    <row r="5" spans="1:23" x14ac:dyDescent="0.25">
      <c r="A5" s="2">
        <v>45694</v>
      </c>
      <c r="B5" t="s">
        <v>76</v>
      </c>
      <c r="C5" t="s">
        <v>84</v>
      </c>
      <c r="D5" t="s">
        <v>85</v>
      </c>
      <c r="E5">
        <v>676</v>
      </c>
      <c r="F5">
        <v>4</v>
      </c>
      <c r="G5" t="s">
        <v>403</v>
      </c>
      <c r="H5" t="s">
        <v>406</v>
      </c>
      <c r="I5">
        <v>487</v>
      </c>
    </row>
    <row r="6" spans="1:23" ht="15.75" thickBot="1" x14ac:dyDescent="0.3">
      <c r="A6" s="2">
        <v>45693</v>
      </c>
      <c r="B6" t="s">
        <v>74</v>
      </c>
      <c r="C6" t="s">
        <v>82</v>
      </c>
      <c r="D6" t="s">
        <v>87</v>
      </c>
      <c r="E6">
        <v>6560</v>
      </c>
      <c r="F6">
        <v>10</v>
      </c>
      <c r="G6" t="s">
        <v>403</v>
      </c>
      <c r="H6" t="s">
        <v>406</v>
      </c>
      <c r="I6">
        <v>488</v>
      </c>
      <c r="L6" s="14" t="s">
        <v>190</v>
      </c>
      <c r="N6" s="14" t="s">
        <v>191</v>
      </c>
      <c r="P6" s="14" t="s">
        <v>192</v>
      </c>
      <c r="R6" s="14" t="s">
        <v>193</v>
      </c>
      <c r="T6" s="14" t="s">
        <v>194</v>
      </c>
      <c r="W6" s="14" t="s">
        <v>195</v>
      </c>
    </row>
    <row r="7" spans="1:23" ht="15.75" thickTop="1" x14ac:dyDescent="0.25">
      <c r="A7" s="2">
        <v>45775</v>
      </c>
      <c r="B7" t="s">
        <v>76</v>
      </c>
      <c r="C7" t="s">
        <v>84</v>
      </c>
      <c r="D7" t="s">
        <v>87</v>
      </c>
      <c r="E7">
        <v>1905</v>
      </c>
      <c r="F7">
        <v>5</v>
      </c>
      <c r="G7" t="s">
        <v>404</v>
      </c>
      <c r="H7" t="s">
        <v>409</v>
      </c>
      <c r="I7">
        <v>406</v>
      </c>
    </row>
    <row r="8" spans="1:23" x14ac:dyDescent="0.25">
      <c r="A8" s="2">
        <v>45720</v>
      </c>
      <c r="B8" t="s">
        <v>77</v>
      </c>
      <c r="C8" t="s">
        <v>83</v>
      </c>
      <c r="D8" t="s">
        <v>86</v>
      </c>
      <c r="E8">
        <v>6948</v>
      </c>
      <c r="F8">
        <v>18</v>
      </c>
      <c r="G8" t="s">
        <v>403</v>
      </c>
      <c r="H8" t="s">
        <v>407</v>
      </c>
      <c r="I8">
        <v>461</v>
      </c>
    </row>
    <row r="9" spans="1:23" x14ac:dyDescent="0.25">
      <c r="A9" s="2">
        <v>45764</v>
      </c>
      <c r="B9" t="s">
        <v>77</v>
      </c>
      <c r="C9" t="s">
        <v>83</v>
      </c>
      <c r="D9" t="s">
        <v>85</v>
      </c>
      <c r="E9">
        <v>1944</v>
      </c>
      <c r="F9">
        <v>18</v>
      </c>
      <c r="G9" t="s">
        <v>404</v>
      </c>
      <c r="H9" t="s">
        <v>409</v>
      </c>
      <c r="I9">
        <v>417</v>
      </c>
    </row>
    <row r="10" spans="1:23" x14ac:dyDescent="0.25">
      <c r="A10" s="2">
        <v>45735</v>
      </c>
      <c r="B10" t="s">
        <v>78</v>
      </c>
      <c r="C10" t="s">
        <v>84</v>
      </c>
      <c r="D10" t="s">
        <v>85</v>
      </c>
      <c r="E10">
        <v>7776</v>
      </c>
      <c r="F10">
        <v>8</v>
      </c>
      <c r="G10" t="s">
        <v>404</v>
      </c>
      <c r="H10" t="s">
        <v>407</v>
      </c>
      <c r="I10">
        <v>446</v>
      </c>
    </row>
    <row r="11" spans="1:23" ht="19.5" thickBot="1" x14ac:dyDescent="0.35">
      <c r="A11" s="2">
        <v>45778</v>
      </c>
      <c r="B11" t="s">
        <v>74</v>
      </c>
      <c r="C11" t="s">
        <v>82</v>
      </c>
      <c r="D11" t="s">
        <v>86</v>
      </c>
      <c r="E11">
        <v>2790</v>
      </c>
      <c r="F11">
        <v>18</v>
      </c>
      <c r="G11" t="s">
        <v>404</v>
      </c>
      <c r="H11" t="s">
        <v>410</v>
      </c>
      <c r="I11">
        <v>403</v>
      </c>
      <c r="L11" s="19" t="s">
        <v>191</v>
      </c>
      <c r="O11" s="19" t="s">
        <v>206</v>
      </c>
      <c r="Q11" s="19" t="s">
        <v>193</v>
      </c>
      <c r="S11" s="19" t="s">
        <v>208</v>
      </c>
      <c r="U11" s="19" t="s">
        <v>195</v>
      </c>
    </row>
    <row r="12" spans="1:23" ht="15.75" thickTop="1" x14ac:dyDescent="0.25">
      <c r="A12" s="2">
        <v>45693</v>
      </c>
      <c r="B12" t="s">
        <v>75</v>
      </c>
      <c r="C12" t="s">
        <v>83</v>
      </c>
      <c r="D12" t="s">
        <v>86</v>
      </c>
      <c r="E12">
        <v>7995</v>
      </c>
      <c r="F12">
        <v>13</v>
      </c>
      <c r="G12" t="s">
        <v>403</v>
      </c>
      <c r="H12" t="s">
        <v>406</v>
      </c>
      <c r="I12">
        <v>488</v>
      </c>
      <c r="K12" s="15" t="s">
        <v>83</v>
      </c>
      <c r="L12" s="3">
        <f>VLOOKUP(K12,C:F,3,0)</f>
        <v>5832</v>
      </c>
      <c r="O12" s="3">
        <f>HLOOKUP(K12,$L$2:$P$3,2,0)</f>
        <v>8000</v>
      </c>
      <c r="Q12" s="16" t="str" cm="1">
        <f t="array" ref="Q12">INDEX(C:C,S12)</f>
        <v>Clothing</v>
      </c>
      <c r="S12" s="16">
        <f>MATCH(K12,C:C,0)</f>
        <v>4</v>
      </c>
      <c r="U12" s="10">
        <f>INDEX(E:E,MATCH(W12,B:B,0))</f>
        <v>4050</v>
      </c>
      <c r="W12" s="17" t="s">
        <v>73</v>
      </c>
    </row>
    <row r="13" spans="1:23" x14ac:dyDescent="0.25">
      <c r="A13" s="2">
        <v>45677</v>
      </c>
      <c r="B13" t="s">
        <v>75</v>
      </c>
      <c r="C13" t="s">
        <v>83</v>
      </c>
      <c r="D13" t="s">
        <v>85</v>
      </c>
      <c r="E13">
        <v>9984</v>
      </c>
      <c r="F13">
        <v>13</v>
      </c>
      <c r="G13" t="s">
        <v>405</v>
      </c>
      <c r="H13" t="s">
        <v>408</v>
      </c>
      <c r="I13">
        <v>504</v>
      </c>
      <c r="K13" s="15" t="s">
        <v>81</v>
      </c>
      <c r="L13" s="3">
        <f>VLOOKUP(K13,C:F,3,0)</f>
        <v>4050</v>
      </c>
      <c r="O13" s="3">
        <f>HLOOKUP(K13,$L$2:$P$3,2,0)</f>
        <v>6000</v>
      </c>
      <c r="Q13" s="16" t="str" cm="1">
        <f t="array" ref="Q13">INDEX(C:C,S13)</f>
        <v>Footwear</v>
      </c>
      <c r="S13" s="16">
        <f>MATCH(K13,C:C,0)</f>
        <v>2</v>
      </c>
      <c r="U13" s="10">
        <f>INDEX(E:E,MATCH(W13,B:B,0))</f>
        <v>7875</v>
      </c>
      <c r="W13" s="17" t="s">
        <v>74</v>
      </c>
    </row>
    <row r="14" spans="1:23" x14ac:dyDescent="0.25">
      <c r="A14" s="2">
        <v>45739</v>
      </c>
      <c r="B14" t="s">
        <v>75</v>
      </c>
      <c r="C14" t="s">
        <v>83</v>
      </c>
      <c r="D14" t="s">
        <v>87</v>
      </c>
      <c r="E14">
        <v>7683</v>
      </c>
      <c r="F14">
        <v>13</v>
      </c>
      <c r="G14" t="s">
        <v>404</v>
      </c>
      <c r="H14" t="s">
        <v>407</v>
      </c>
      <c r="I14">
        <v>442</v>
      </c>
      <c r="K14" s="15" t="s">
        <v>82</v>
      </c>
      <c r="L14" s="3">
        <f>VLOOKUP(K14,C:F,3,0)</f>
        <v>7875</v>
      </c>
      <c r="O14" s="3">
        <f>HLOOKUP(K14,$L$2:$P$3,2,0)</f>
        <v>4000</v>
      </c>
      <c r="Q14" s="16" t="str" cm="1">
        <f t="array" ref="Q14">INDEX(C:C,S14)</f>
        <v>Electronics</v>
      </c>
      <c r="S14" s="16">
        <f>MATCH(K14,C:C,0)</f>
        <v>3</v>
      </c>
      <c r="U14" s="10">
        <f>INDEX(E:E,MATCH(W14,B:B,0))</f>
        <v>5832</v>
      </c>
      <c r="W14" s="17" t="s">
        <v>209</v>
      </c>
    </row>
    <row r="15" spans="1:23" x14ac:dyDescent="0.25">
      <c r="A15" s="2">
        <v>45699</v>
      </c>
      <c r="B15" t="s">
        <v>76</v>
      </c>
      <c r="C15" t="s">
        <v>84</v>
      </c>
      <c r="D15" t="s">
        <v>88</v>
      </c>
      <c r="E15">
        <v>6885</v>
      </c>
      <c r="F15">
        <v>9</v>
      </c>
      <c r="G15" t="s">
        <v>403</v>
      </c>
      <c r="H15" t="s">
        <v>406</v>
      </c>
      <c r="I15">
        <v>482</v>
      </c>
      <c r="K15" s="15" t="s">
        <v>84</v>
      </c>
      <c r="L15" s="3">
        <f>VLOOKUP(K15,C:F,3,0)</f>
        <v>676</v>
      </c>
      <c r="O15" s="3">
        <f>HLOOKUP(K15,$L$2:$P$3,2,0)</f>
        <v>3000</v>
      </c>
      <c r="Q15" s="16" t="str" cm="1">
        <f t="array" ref="Q15">INDEX(C:C,S15)</f>
        <v>Appliances</v>
      </c>
      <c r="S15" s="16">
        <f>MATCH(K15,C:C,0)</f>
        <v>5</v>
      </c>
      <c r="U15" s="10">
        <f>INDEX(E:E,MATCH(W15,B:B,0))</f>
        <v>676</v>
      </c>
      <c r="W15" s="17" t="s">
        <v>210</v>
      </c>
    </row>
    <row r="16" spans="1:23" x14ac:dyDescent="0.25">
      <c r="A16" s="2">
        <v>45767</v>
      </c>
      <c r="B16" t="s">
        <v>79</v>
      </c>
      <c r="C16" t="s">
        <v>81</v>
      </c>
      <c r="D16" t="s">
        <v>87</v>
      </c>
      <c r="E16">
        <v>229</v>
      </c>
      <c r="F16">
        <v>1</v>
      </c>
      <c r="G16" t="s">
        <v>404</v>
      </c>
      <c r="H16" t="s">
        <v>409</v>
      </c>
      <c r="I16">
        <v>414</v>
      </c>
    </row>
    <row r="17" spans="1:22" x14ac:dyDescent="0.25">
      <c r="A17" s="2">
        <v>45735</v>
      </c>
      <c r="B17" t="s">
        <v>80</v>
      </c>
      <c r="C17" t="s">
        <v>82</v>
      </c>
      <c r="D17" t="s">
        <v>87</v>
      </c>
      <c r="E17">
        <v>6104</v>
      </c>
      <c r="F17">
        <v>7</v>
      </c>
      <c r="G17" t="s">
        <v>404</v>
      </c>
      <c r="H17" t="s">
        <v>407</v>
      </c>
      <c r="I17">
        <v>446</v>
      </c>
    </row>
    <row r="18" spans="1:22" x14ac:dyDescent="0.25">
      <c r="A18" s="2">
        <v>45722</v>
      </c>
      <c r="B18" t="s">
        <v>78</v>
      </c>
      <c r="C18" t="s">
        <v>84</v>
      </c>
      <c r="D18" t="s">
        <v>85</v>
      </c>
      <c r="E18">
        <v>558</v>
      </c>
      <c r="F18">
        <v>1</v>
      </c>
      <c r="G18" t="s">
        <v>403</v>
      </c>
      <c r="H18" t="s">
        <v>407</v>
      </c>
      <c r="I18">
        <v>459</v>
      </c>
    </row>
    <row r="19" spans="1:22" ht="19.5" thickBot="1" x14ac:dyDescent="0.35">
      <c r="A19" s="2">
        <v>45741</v>
      </c>
      <c r="B19" t="s">
        <v>76</v>
      </c>
      <c r="C19" t="s">
        <v>84</v>
      </c>
      <c r="D19" t="s">
        <v>85</v>
      </c>
      <c r="E19">
        <v>6413</v>
      </c>
      <c r="F19">
        <v>11</v>
      </c>
      <c r="G19" t="s">
        <v>404</v>
      </c>
      <c r="H19" t="s">
        <v>407</v>
      </c>
      <c r="I19">
        <v>440</v>
      </c>
      <c r="L19" s="19" t="s">
        <v>192</v>
      </c>
    </row>
    <row r="20" spans="1:22" ht="15.75" thickTop="1" x14ac:dyDescent="0.25">
      <c r="A20" s="2">
        <v>45732</v>
      </c>
      <c r="B20" t="s">
        <v>74</v>
      </c>
      <c r="C20" t="s">
        <v>82</v>
      </c>
      <c r="D20" t="s">
        <v>88</v>
      </c>
      <c r="E20">
        <v>1017</v>
      </c>
      <c r="F20">
        <v>9</v>
      </c>
      <c r="G20" t="s">
        <v>404</v>
      </c>
      <c r="H20" t="s">
        <v>407</v>
      </c>
      <c r="I20">
        <v>449</v>
      </c>
      <c r="K20" s="12" t="s">
        <v>211</v>
      </c>
      <c r="L20" s="18">
        <f>_xlfn.XLOOKUP(K20,D:D,F:F,"0",0)</f>
        <v>18</v>
      </c>
      <c r="O20" s="7" t="str" cm="1">
        <f t="array" ref="O20:S20">_xlfn.XLOOKUP(W12,B:B,B:F,0,0)</f>
        <v>Sneakers</v>
      </c>
      <c r="P20" s="7" t="str">
        <v>Footwear</v>
      </c>
      <c r="Q20" s="7" t="str">
        <v>East</v>
      </c>
      <c r="R20" s="7">
        <v>4050</v>
      </c>
      <c r="S20" s="7">
        <v>18</v>
      </c>
    </row>
    <row r="21" spans="1:22" x14ac:dyDescent="0.25">
      <c r="A21" s="2">
        <v>45721</v>
      </c>
      <c r="B21" t="s">
        <v>80</v>
      </c>
      <c r="C21" t="s">
        <v>82</v>
      </c>
      <c r="D21" t="s">
        <v>86</v>
      </c>
      <c r="E21">
        <v>9310</v>
      </c>
      <c r="F21">
        <v>10</v>
      </c>
      <c r="G21" t="s">
        <v>403</v>
      </c>
      <c r="H21" t="s">
        <v>407</v>
      </c>
      <c r="I21">
        <v>460</v>
      </c>
      <c r="K21" s="12" t="s">
        <v>212</v>
      </c>
      <c r="L21" s="18">
        <f>_xlfn.XLOOKUP(K21,D:D,F:F,"0",0)</f>
        <v>10</v>
      </c>
      <c r="O21" s="7" t="str" cm="1">
        <f t="array" ref="O21:S21">_xlfn.XLOOKUP(W13,B:B,B:F,0,0)</f>
        <v>Smartphone</v>
      </c>
      <c r="P21" s="7" t="str">
        <v>Electronics</v>
      </c>
      <c r="Q21" s="7" t="str">
        <v>South</v>
      </c>
      <c r="R21" s="7">
        <v>7875</v>
      </c>
      <c r="S21" s="7">
        <v>15</v>
      </c>
    </row>
    <row r="22" spans="1:22" x14ac:dyDescent="0.25">
      <c r="A22" s="2">
        <v>45703</v>
      </c>
      <c r="B22" t="s">
        <v>75</v>
      </c>
      <c r="C22" t="s">
        <v>83</v>
      </c>
      <c r="D22" t="s">
        <v>87</v>
      </c>
      <c r="E22">
        <v>2560</v>
      </c>
      <c r="F22">
        <v>4</v>
      </c>
      <c r="G22" t="s">
        <v>403</v>
      </c>
      <c r="H22" t="s">
        <v>406</v>
      </c>
      <c r="I22">
        <v>478</v>
      </c>
      <c r="K22" s="12" t="s">
        <v>213</v>
      </c>
      <c r="L22" s="18">
        <f>_xlfn.XLOOKUP(K22,D:D,F:F,"0",0)</f>
        <v>9</v>
      </c>
      <c r="O22" s="7" t="str" cm="1">
        <f t="array" ref="O22:S22">_xlfn.XLOOKUP(W14,B:B,B:F,0,0)</f>
        <v>Shirt</v>
      </c>
      <c r="P22" s="7" t="str">
        <v>Clothing</v>
      </c>
      <c r="Q22" s="7" t="str">
        <v>East</v>
      </c>
      <c r="R22" s="7">
        <v>5832</v>
      </c>
      <c r="S22" s="7">
        <v>6</v>
      </c>
    </row>
    <row r="23" spans="1:22" x14ac:dyDescent="0.25">
      <c r="A23" s="2">
        <v>45681</v>
      </c>
      <c r="B23" t="s">
        <v>76</v>
      </c>
      <c r="C23" t="s">
        <v>84</v>
      </c>
      <c r="D23" t="s">
        <v>86</v>
      </c>
      <c r="E23">
        <v>6855</v>
      </c>
      <c r="F23">
        <v>15</v>
      </c>
      <c r="G23" t="s">
        <v>403</v>
      </c>
      <c r="H23" t="s">
        <v>408</v>
      </c>
      <c r="I23">
        <v>500</v>
      </c>
      <c r="K23" s="12" t="s">
        <v>214</v>
      </c>
      <c r="L23" s="18">
        <f>_xlfn.XLOOKUP(K23,D:D,F:F,"0",0)</f>
        <v>15</v>
      </c>
      <c r="O23" s="7" t="str" cm="1">
        <f t="array" ref="O23:S23">_xlfn.XLOOKUP(W15,B:B,B:F,0,0)</f>
        <v>Microwave</v>
      </c>
      <c r="P23" s="7" t="str">
        <v>Appliances</v>
      </c>
      <c r="Q23" s="7" t="str">
        <v>East</v>
      </c>
      <c r="R23" s="7">
        <v>676</v>
      </c>
      <c r="S23" s="7">
        <v>4</v>
      </c>
    </row>
    <row r="24" spans="1:22" x14ac:dyDescent="0.25">
      <c r="A24" s="2">
        <v>45663</v>
      </c>
      <c r="B24" t="s">
        <v>78</v>
      </c>
      <c r="C24" t="s">
        <v>84</v>
      </c>
      <c r="D24" t="s">
        <v>86</v>
      </c>
      <c r="E24">
        <v>7398</v>
      </c>
      <c r="F24">
        <v>9</v>
      </c>
      <c r="G24" t="s">
        <v>405</v>
      </c>
      <c r="H24" t="s">
        <v>408</v>
      </c>
      <c r="I24">
        <v>518</v>
      </c>
    </row>
    <row r="25" spans="1:22" x14ac:dyDescent="0.25">
      <c r="A25" s="2">
        <v>45660</v>
      </c>
      <c r="B25" t="s">
        <v>74</v>
      </c>
      <c r="C25" t="s">
        <v>82</v>
      </c>
      <c r="D25" t="s">
        <v>85</v>
      </c>
      <c r="E25">
        <v>2094</v>
      </c>
      <c r="F25">
        <v>6</v>
      </c>
      <c r="G25" t="s">
        <v>405</v>
      </c>
      <c r="H25" t="s">
        <v>408</v>
      </c>
      <c r="I25">
        <v>521</v>
      </c>
    </row>
    <row r="26" spans="1:22" x14ac:dyDescent="0.25">
      <c r="A26" s="2">
        <v>45701</v>
      </c>
      <c r="B26" t="s">
        <v>74</v>
      </c>
      <c r="C26" t="s">
        <v>82</v>
      </c>
      <c r="D26" t="s">
        <v>88</v>
      </c>
      <c r="E26">
        <v>3996</v>
      </c>
      <c r="F26">
        <v>4</v>
      </c>
      <c r="G26" t="s">
        <v>403</v>
      </c>
      <c r="H26" t="s">
        <v>406</v>
      </c>
      <c r="I26">
        <v>480</v>
      </c>
    </row>
    <row r="27" spans="1:22" x14ac:dyDescent="0.25">
      <c r="A27" s="2">
        <v>45679</v>
      </c>
      <c r="B27" t="s">
        <v>78</v>
      </c>
      <c r="C27" t="s">
        <v>84</v>
      </c>
      <c r="D27" t="s">
        <v>87</v>
      </c>
      <c r="E27">
        <v>4884</v>
      </c>
      <c r="F27">
        <v>6</v>
      </c>
      <c r="G27" t="s">
        <v>405</v>
      </c>
      <c r="H27" t="s">
        <v>408</v>
      </c>
      <c r="I27">
        <v>502</v>
      </c>
    </row>
    <row r="28" spans="1:22" x14ac:dyDescent="0.25">
      <c r="A28" s="2">
        <v>45693</v>
      </c>
      <c r="B28" t="s">
        <v>77</v>
      </c>
      <c r="C28" t="s">
        <v>83</v>
      </c>
      <c r="D28" t="s">
        <v>88</v>
      </c>
      <c r="E28">
        <v>1767</v>
      </c>
      <c r="F28">
        <v>3</v>
      </c>
      <c r="G28" t="s">
        <v>403</v>
      </c>
      <c r="H28" t="s">
        <v>406</v>
      </c>
      <c r="I28">
        <v>488</v>
      </c>
    </row>
    <row r="29" spans="1:22" x14ac:dyDescent="0.25">
      <c r="A29" s="2">
        <v>45744</v>
      </c>
      <c r="B29" t="s">
        <v>78</v>
      </c>
      <c r="C29" t="s">
        <v>84</v>
      </c>
      <c r="D29" t="s">
        <v>85</v>
      </c>
      <c r="E29">
        <v>7840</v>
      </c>
      <c r="F29">
        <v>14</v>
      </c>
      <c r="G29" t="s">
        <v>404</v>
      </c>
      <c r="H29" t="s">
        <v>407</v>
      </c>
      <c r="I29">
        <v>437</v>
      </c>
      <c r="M29" t="s">
        <v>215</v>
      </c>
      <c r="N29" t="s">
        <v>216</v>
      </c>
      <c r="O29" t="s">
        <v>217</v>
      </c>
      <c r="P29" t="s">
        <v>98</v>
      </c>
      <c r="S29" t="s">
        <v>225</v>
      </c>
    </row>
    <row r="30" spans="1:22" x14ac:dyDescent="0.25">
      <c r="A30" s="2">
        <v>45670</v>
      </c>
      <c r="B30" t="s">
        <v>78</v>
      </c>
      <c r="C30" t="s">
        <v>84</v>
      </c>
      <c r="D30" t="s">
        <v>86</v>
      </c>
      <c r="E30">
        <v>4806</v>
      </c>
      <c r="F30">
        <v>6</v>
      </c>
      <c r="G30" t="s">
        <v>405</v>
      </c>
      <c r="H30" t="s">
        <v>408</v>
      </c>
      <c r="I30">
        <v>511</v>
      </c>
      <c r="M30" t="s">
        <v>126</v>
      </c>
      <c r="N30">
        <v>90</v>
      </c>
      <c r="O30" t="s">
        <v>221</v>
      </c>
      <c r="P30">
        <f>_xlfn.RANK.EQ(Table12[[#This Row],[marks]],Table12[marks],0)</f>
        <v>1</v>
      </c>
      <c r="S30" s="7" t="str" cm="1">
        <f t="array" ref="S30:V30">IF(Table12[[#This Row],[rank]]=1,Table12[#This Row],0)</f>
        <v>A</v>
      </c>
      <c r="T30" s="7">
        <v>90</v>
      </c>
      <c r="U30" s="7" t="str">
        <v>CSD</v>
      </c>
      <c r="V30" s="7">
        <v>1</v>
      </c>
    </row>
    <row r="31" spans="1:22" x14ac:dyDescent="0.25">
      <c r="A31" s="2">
        <v>45716</v>
      </c>
      <c r="B31" t="s">
        <v>78</v>
      </c>
      <c r="C31" t="s">
        <v>84</v>
      </c>
      <c r="D31" t="s">
        <v>88</v>
      </c>
      <c r="E31">
        <v>2598</v>
      </c>
      <c r="F31">
        <v>3</v>
      </c>
      <c r="G31" t="s">
        <v>403</v>
      </c>
      <c r="H31" t="s">
        <v>406</v>
      </c>
      <c r="I31">
        <v>465</v>
      </c>
      <c r="M31" t="s">
        <v>218</v>
      </c>
      <c r="N31">
        <v>90</v>
      </c>
      <c r="O31" t="s">
        <v>222</v>
      </c>
      <c r="P31">
        <f>_xlfn.RANK.EQ(Table12[[#This Row],[marks]],Table12[marks],0)</f>
        <v>1</v>
      </c>
      <c r="S31" s="7" t="str" cm="1">
        <f t="array" ref="S31:V31">IF(Table12[[#This Row],[rank]]=1,Table12[#This Row],0)</f>
        <v>B</v>
      </c>
      <c r="T31" s="7">
        <v>90</v>
      </c>
      <c r="U31" s="7" t="str">
        <v>CSE</v>
      </c>
      <c r="V31" s="7">
        <v>1</v>
      </c>
    </row>
    <row r="32" spans="1:22" x14ac:dyDescent="0.25">
      <c r="A32" s="2">
        <v>45762</v>
      </c>
      <c r="B32" t="s">
        <v>73</v>
      </c>
      <c r="C32" t="s">
        <v>81</v>
      </c>
      <c r="D32" t="s">
        <v>88</v>
      </c>
      <c r="E32">
        <v>12920</v>
      </c>
      <c r="F32">
        <v>17</v>
      </c>
      <c r="G32" t="s">
        <v>404</v>
      </c>
      <c r="H32" t="s">
        <v>409</v>
      </c>
      <c r="I32">
        <v>419</v>
      </c>
      <c r="M32" t="s">
        <v>219</v>
      </c>
      <c r="N32">
        <v>80</v>
      </c>
      <c r="O32" t="s">
        <v>223</v>
      </c>
      <c r="P32">
        <f>_xlfn.RANK.EQ(Table12[[#This Row],[marks]],Table12[marks],0)</f>
        <v>3</v>
      </c>
      <c r="S32" s="7" cm="1">
        <f t="array" ref="S32">IF(Table12[[#This Row],[rank]]=1,Table12[#This Row],0)</f>
        <v>0</v>
      </c>
      <c r="T32" s="7"/>
      <c r="U32" s="7"/>
      <c r="V32" s="7"/>
    </row>
    <row r="33" spans="1:22" x14ac:dyDescent="0.25">
      <c r="A33" s="2">
        <v>45692</v>
      </c>
      <c r="B33" t="s">
        <v>77</v>
      </c>
      <c r="C33" t="s">
        <v>83</v>
      </c>
      <c r="D33" t="s">
        <v>85</v>
      </c>
      <c r="E33">
        <v>2134</v>
      </c>
      <c r="F33">
        <v>11</v>
      </c>
      <c r="G33" t="s">
        <v>403</v>
      </c>
      <c r="H33" t="s">
        <v>406</v>
      </c>
      <c r="I33">
        <v>489</v>
      </c>
      <c r="M33" t="s">
        <v>220</v>
      </c>
      <c r="N33">
        <v>70</v>
      </c>
      <c r="O33" t="s">
        <v>224</v>
      </c>
      <c r="P33">
        <f>_xlfn.RANK.EQ(Table12[[#This Row],[marks]],Table12[marks],0)</f>
        <v>4</v>
      </c>
      <c r="Q33" s="15" t="s">
        <v>226</v>
      </c>
      <c r="R33" s="3" t="str">
        <f>_xlfn.XLOOKUP(N30,Table12[marks],Table12[dept],0,1,-1)</f>
        <v>CSE</v>
      </c>
      <c r="S33" s="7" cm="1">
        <f t="array" ref="S33">IF(Table12[[#This Row],[rank]]=1,Table12[#This Row],0)</f>
        <v>0</v>
      </c>
      <c r="T33" s="7"/>
      <c r="U33" s="7"/>
      <c r="V33" s="7"/>
    </row>
    <row r="34" spans="1:22" x14ac:dyDescent="0.25">
      <c r="A34" s="2">
        <v>45747</v>
      </c>
      <c r="B34" t="s">
        <v>79</v>
      </c>
      <c r="C34" t="s">
        <v>81</v>
      </c>
      <c r="D34" t="s">
        <v>86</v>
      </c>
      <c r="E34">
        <v>311</v>
      </c>
      <c r="F34">
        <v>1</v>
      </c>
      <c r="G34" t="s">
        <v>404</v>
      </c>
      <c r="H34" t="s">
        <v>407</v>
      </c>
      <c r="I34">
        <v>434</v>
      </c>
      <c r="S34" s="7"/>
      <c r="T34" s="7"/>
      <c r="U34" s="7"/>
      <c r="V34" s="7"/>
    </row>
    <row r="35" spans="1:22" x14ac:dyDescent="0.25">
      <c r="A35" s="2">
        <v>45714</v>
      </c>
      <c r="B35" t="s">
        <v>73</v>
      </c>
      <c r="C35" t="s">
        <v>81</v>
      </c>
      <c r="D35" t="s">
        <v>85</v>
      </c>
      <c r="E35">
        <v>2388</v>
      </c>
      <c r="F35">
        <v>3</v>
      </c>
      <c r="G35" t="s">
        <v>403</v>
      </c>
      <c r="H35" t="s">
        <v>406</v>
      </c>
      <c r="I35">
        <v>467</v>
      </c>
    </row>
    <row r="36" spans="1:22" x14ac:dyDescent="0.25">
      <c r="A36" s="2">
        <v>45748</v>
      </c>
      <c r="B36" t="s">
        <v>76</v>
      </c>
      <c r="C36" t="s">
        <v>84</v>
      </c>
      <c r="D36" t="s">
        <v>85</v>
      </c>
      <c r="E36">
        <v>2853</v>
      </c>
      <c r="F36">
        <v>9</v>
      </c>
      <c r="G36" t="s">
        <v>404</v>
      </c>
      <c r="H36" t="s">
        <v>409</v>
      </c>
      <c r="I36">
        <v>433</v>
      </c>
    </row>
    <row r="37" spans="1:22" x14ac:dyDescent="0.25">
      <c r="A37" s="2">
        <v>45677</v>
      </c>
      <c r="B37" t="s">
        <v>80</v>
      </c>
      <c r="C37" t="s">
        <v>82</v>
      </c>
      <c r="D37" t="s">
        <v>88</v>
      </c>
      <c r="E37">
        <v>4382</v>
      </c>
      <c r="F37">
        <v>7</v>
      </c>
      <c r="G37" t="s">
        <v>405</v>
      </c>
      <c r="H37" t="s">
        <v>408</v>
      </c>
      <c r="I37">
        <v>504</v>
      </c>
    </row>
    <row r="38" spans="1:22" x14ac:dyDescent="0.25">
      <c r="A38" s="2">
        <v>45749</v>
      </c>
      <c r="B38" t="s">
        <v>73</v>
      </c>
      <c r="C38" t="s">
        <v>81</v>
      </c>
      <c r="D38" t="s">
        <v>85</v>
      </c>
      <c r="E38">
        <v>2690</v>
      </c>
      <c r="F38">
        <v>5</v>
      </c>
      <c r="G38" t="s">
        <v>404</v>
      </c>
      <c r="H38" t="s">
        <v>409</v>
      </c>
      <c r="I38">
        <v>432</v>
      </c>
      <c r="N38" t="s">
        <v>236</v>
      </c>
      <c r="O38" t="str" cm="1">
        <f t="array" ref="O38">INDEX(_xlfn._xlws.FILTER(Table12[name],P30=1),2)</f>
        <v>B</v>
      </c>
    </row>
    <row r="39" spans="1:22" x14ac:dyDescent="0.25">
      <c r="A39" s="2">
        <v>45697</v>
      </c>
      <c r="B39" t="s">
        <v>77</v>
      </c>
      <c r="C39" t="s">
        <v>83</v>
      </c>
      <c r="D39" t="s">
        <v>87</v>
      </c>
      <c r="E39">
        <v>399</v>
      </c>
      <c r="F39">
        <v>3</v>
      </c>
      <c r="G39" t="s">
        <v>403</v>
      </c>
      <c r="H39" t="s">
        <v>406</v>
      </c>
      <c r="I39">
        <v>484</v>
      </c>
    </row>
    <row r="40" spans="1:22" x14ac:dyDescent="0.25">
      <c r="A40" s="2">
        <v>45670</v>
      </c>
      <c r="B40" t="s">
        <v>74</v>
      </c>
      <c r="C40" t="s">
        <v>82</v>
      </c>
      <c r="D40" t="s">
        <v>85</v>
      </c>
      <c r="E40">
        <v>4459</v>
      </c>
      <c r="F40">
        <v>7</v>
      </c>
      <c r="G40" t="s">
        <v>405</v>
      </c>
      <c r="H40" t="s">
        <v>408</v>
      </c>
      <c r="I40">
        <v>511</v>
      </c>
    </row>
    <row r="41" spans="1:22" x14ac:dyDescent="0.25">
      <c r="A41" s="2">
        <v>45704</v>
      </c>
      <c r="B41" t="s">
        <v>74</v>
      </c>
      <c r="C41" t="s">
        <v>82</v>
      </c>
      <c r="D41" t="s">
        <v>85</v>
      </c>
      <c r="E41">
        <v>2274</v>
      </c>
      <c r="F41">
        <v>3</v>
      </c>
      <c r="G41" t="s">
        <v>403</v>
      </c>
      <c r="H41" t="s">
        <v>406</v>
      </c>
      <c r="I41">
        <v>477</v>
      </c>
    </row>
    <row r="42" spans="1:22" x14ac:dyDescent="0.25">
      <c r="A42" s="2">
        <v>45725</v>
      </c>
      <c r="B42" t="s">
        <v>77</v>
      </c>
      <c r="C42" t="s">
        <v>83</v>
      </c>
      <c r="D42" t="s">
        <v>87</v>
      </c>
      <c r="E42">
        <v>11552</v>
      </c>
      <c r="F42">
        <v>19</v>
      </c>
      <c r="G42" t="s">
        <v>403</v>
      </c>
      <c r="H42" t="s">
        <v>407</v>
      </c>
      <c r="I42">
        <v>456</v>
      </c>
    </row>
    <row r="43" spans="1:22" x14ac:dyDescent="0.25">
      <c r="A43" s="2">
        <v>45749</v>
      </c>
      <c r="B43" t="s">
        <v>73</v>
      </c>
      <c r="C43" t="s">
        <v>81</v>
      </c>
      <c r="D43" t="s">
        <v>87</v>
      </c>
      <c r="E43">
        <v>4540</v>
      </c>
      <c r="F43">
        <v>5</v>
      </c>
      <c r="G43" t="s">
        <v>404</v>
      </c>
      <c r="H43" t="s">
        <v>409</v>
      </c>
      <c r="I43">
        <v>432</v>
      </c>
    </row>
    <row r="44" spans="1:22" x14ac:dyDescent="0.25">
      <c r="A44" s="2">
        <v>45695</v>
      </c>
      <c r="B44" t="s">
        <v>77</v>
      </c>
      <c r="C44" t="s">
        <v>83</v>
      </c>
      <c r="D44" t="s">
        <v>85</v>
      </c>
      <c r="E44">
        <v>4216</v>
      </c>
      <c r="F44">
        <v>8</v>
      </c>
      <c r="G44" t="s">
        <v>403</v>
      </c>
      <c r="H44" t="s">
        <v>406</v>
      </c>
      <c r="I44">
        <v>486</v>
      </c>
    </row>
    <row r="45" spans="1:22" x14ac:dyDescent="0.25">
      <c r="A45" s="2">
        <v>45705</v>
      </c>
      <c r="B45" t="s">
        <v>75</v>
      </c>
      <c r="C45" t="s">
        <v>83</v>
      </c>
      <c r="D45" t="s">
        <v>85</v>
      </c>
      <c r="E45">
        <v>4140</v>
      </c>
      <c r="F45">
        <v>18</v>
      </c>
      <c r="G45" t="s">
        <v>403</v>
      </c>
      <c r="H45" t="s">
        <v>406</v>
      </c>
      <c r="I45">
        <v>476</v>
      </c>
    </row>
    <row r="46" spans="1:22" x14ac:dyDescent="0.25">
      <c r="A46" s="2">
        <v>45728</v>
      </c>
      <c r="B46" t="s">
        <v>74</v>
      </c>
      <c r="C46" t="s">
        <v>82</v>
      </c>
      <c r="D46" t="s">
        <v>88</v>
      </c>
      <c r="E46">
        <v>8610</v>
      </c>
      <c r="F46">
        <v>10</v>
      </c>
      <c r="G46" t="s">
        <v>403</v>
      </c>
      <c r="H46" t="s">
        <v>407</v>
      </c>
      <c r="I46">
        <v>453</v>
      </c>
    </row>
    <row r="47" spans="1:22" x14ac:dyDescent="0.25">
      <c r="A47" s="2">
        <v>45719</v>
      </c>
      <c r="B47" t="s">
        <v>74</v>
      </c>
      <c r="C47" t="s">
        <v>82</v>
      </c>
      <c r="D47" t="s">
        <v>88</v>
      </c>
      <c r="E47">
        <v>7200</v>
      </c>
      <c r="F47">
        <v>8</v>
      </c>
      <c r="G47" t="s">
        <v>403</v>
      </c>
      <c r="H47" t="s">
        <v>407</v>
      </c>
      <c r="I47">
        <v>462</v>
      </c>
    </row>
    <row r="48" spans="1:22" x14ac:dyDescent="0.25">
      <c r="A48" s="2">
        <v>45746</v>
      </c>
      <c r="B48" t="s">
        <v>79</v>
      </c>
      <c r="C48" t="s">
        <v>81</v>
      </c>
      <c r="D48" t="s">
        <v>85</v>
      </c>
      <c r="E48">
        <v>10849</v>
      </c>
      <c r="F48">
        <v>19</v>
      </c>
      <c r="G48" t="s">
        <v>404</v>
      </c>
      <c r="H48" t="s">
        <v>407</v>
      </c>
      <c r="I48">
        <v>435</v>
      </c>
    </row>
    <row r="49" spans="1:9" x14ac:dyDescent="0.25">
      <c r="A49" s="2">
        <v>45660</v>
      </c>
      <c r="B49" t="s">
        <v>78</v>
      </c>
      <c r="C49" t="s">
        <v>84</v>
      </c>
      <c r="D49" t="s">
        <v>85</v>
      </c>
      <c r="E49">
        <v>14256</v>
      </c>
      <c r="F49">
        <v>16</v>
      </c>
      <c r="G49" t="s">
        <v>405</v>
      </c>
      <c r="H49" t="s">
        <v>408</v>
      </c>
      <c r="I49">
        <v>521</v>
      </c>
    </row>
    <row r="50" spans="1:9" x14ac:dyDescent="0.25">
      <c r="A50" s="2">
        <v>45701</v>
      </c>
      <c r="B50" t="s">
        <v>74</v>
      </c>
      <c r="C50" t="s">
        <v>82</v>
      </c>
      <c r="D50" t="s">
        <v>88</v>
      </c>
      <c r="E50">
        <v>1464</v>
      </c>
      <c r="F50">
        <v>2</v>
      </c>
      <c r="G50" t="s">
        <v>403</v>
      </c>
      <c r="H50" t="s">
        <v>406</v>
      </c>
      <c r="I50">
        <v>480</v>
      </c>
    </row>
    <row r="51" spans="1:9" x14ac:dyDescent="0.25">
      <c r="A51" s="2">
        <v>45732</v>
      </c>
      <c r="B51" t="s">
        <v>78</v>
      </c>
      <c r="C51" t="s">
        <v>84</v>
      </c>
      <c r="D51" t="s">
        <v>88</v>
      </c>
      <c r="E51">
        <v>9622</v>
      </c>
      <c r="F51">
        <v>17</v>
      </c>
      <c r="G51" t="s">
        <v>404</v>
      </c>
      <c r="H51" t="s">
        <v>407</v>
      </c>
      <c r="I51">
        <v>449</v>
      </c>
    </row>
    <row r="52" spans="1:9" x14ac:dyDescent="0.25">
      <c r="A52" s="2">
        <v>45707</v>
      </c>
      <c r="B52" t="s">
        <v>75</v>
      </c>
      <c r="C52" t="s">
        <v>83</v>
      </c>
      <c r="D52" t="s">
        <v>87</v>
      </c>
      <c r="E52">
        <v>13420</v>
      </c>
      <c r="F52">
        <v>20</v>
      </c>
      <c r="G52" t="s">
        <v>403</v>
      </c>
      <c r="H52" t="s">
        <v>406</v>
      </c>
      <c r="I52">
        <v>474</v>
      </c>
    </row>
    <row r="53" spans="1:9" x14ac:dyDescent="0.25">
      <c r="A53" s="2">
        <v>45705</v>
      </c>
      <c r="B53" t="s">
        <v>75</v>
      </c>
      <c r="C53" t="s">
        <v>83</v>
      </c>
      <c r="D53" t="s">
        <v>87</v>
      </c>
      <c r="E53">
        <v>3004</v>
      </c>
      <c r="F53">
        <v>4</v>
      </c>
      <c r="G53" t="s">
        <v>403</v>
      </c>
      <c r="H53" t="s">
        <v>406</v>
      </c>
      <c r="I53">
        <v>476</v>
      </c>
    </row>
    <row r="54" spans="1:9" x14ac:dyDescent="0.25">
      <c r="A54" s="2">
        <v>45754</v>
      </c>
      <c r="B54" t="s">
        <v>76</v>
      </c>
      <c r="C54" t="s">
        <v>84</v>
      </c>
      <c r="D54" t="s">
        <v>88</v>
      </c>
      <c r="E54">
        <v>11865</v>
      </c>
      <c r="F54">
        <v>15</v>
      </c>
      <c r="G54" t="s">
        <v>404</v>
      </c>
      <c r="H54" t="s">
        <v>409</v>
      </c>
      <c r="I54">
        <v>427</v>
      </c>
    </row>
    <row r="55" spans="1:9" x14ac:dyDescent="0.25">
      <c r="A55" s="2">
        <v>45719</v>
      </c>
      <c r="B55" t="s">
        <v>80</v>
      </c>
      <c r="C55" t="s">
        <v>82</v>
      </c>
      <c r="D55" t="s">
        <v>87</v>
      </c>
      <c r="E55">
        <v>7395</v>
      </c>
      <c r="F55">
        <v>17</v>
      </c>
      <c r="G55" t="s">
        <v>403</v>
      </c>
      <c r="H55" t="s">
        <v>407</v>
      </c>
      <c r="I55">
        <v>462</v>
      </c>
    </row>
    <row r="56" spans="1:9" x14ac:dyDescent="0.25">
      <c r="A56" s="2">
        <v>45704</v>
      </c>
      <c r="B56" t="s">
        <v>73</v>
      </c>
      <c r="C56" t="s">
        <v>81</v>
      </c>
      <c r="D56" t="s">
        <v>85</v>
      </c>
      <c r="E56">
        <v>12701</v>
      </c>
      <c r="F56">
        <v>13</v>
      </c>
      <c r="G56" t="s">
        <v>403</v>
      </c>
      <c r="H56" t="s">
        <v>406</v>
      </c>
      <c r="I56">
        <v>477</v>
      </c>
    </row>
    <row r="57" spans="1:9" x14ac:dyDescent="0.25">
      <c r="A57" s="2">
        <v>45766</v>
      </c>
      <c r="B57" t="s">
        <v>75</v>
      </c>
      <c r="C57" t="s">
        <v>83</v>
      </c>
      <c r="D57" t="s">
        <v>85</v>
      </c>
      <c r="E57">
        <v>8697</v>
      </c>
      <c r="F57">
        <v>13</v>
      </c>
      <c r="G57" t="s">
        <v>404</v>
      </c>
      <c r="H57" t="s">
        <v>409</v>
      </c>
      <c r="I57">
        <v>415</v>
      </c>
    </row>
    <row r="58" spans="1:9" x14ac:dyDescent="0.25">
      <c r="A58" s="2">
        <v>45693</v>
      </c>
      <c r="B58" t="s">
        <v>76</v>
      </c>
      <c r="C58" t="s">
        <v>84</v>
      </c>
      <c r="D58" t="s">
        <v>88</v>
      </c>
      <c r="E58">
        <v>2728</v>
      </c>
      <c r="F58">
        <v>11</v>
      </c>
      <c r="G58" t="s">
        <v>403</v>
      </c>
      <c r="H58" t="s">
        <v>406</v>
      </c>
      <c r="I58">
        <v>488</v>
      </c>
    </row>
    <row r="59" spans="1:9" x14ac:dyDescent="0.25">
      <c r="A59" s="2">
        <v>45658</v>
      </c>
      <c r="B59" t="s">
        <v>78</v>
      </c>
      <c r="C59" t="s">
        <v>84</v>
      </c>
      <c r="D59" t="s">
        <v>86</v>
      </c>
      <c r="E59">
        <v>7395</v>
      </c>
      <c r="F59">
        <v>17</v>
      </c>
      <c r="G59" t="s">
        <v>405</v>
      </c>
      <c r="H59" t="s">
        <v>408</v>
      </c>
      <c r="I59">
        <v>523</v>
      </c>
    </row>
    <row r="60" spans="1:9" x14ac:dyDescent="0.25">
      <c r="A60" s="2">
        <v>45744</v>
      </c>
      <c r="B60" t="s">
        <v>80</v>
      </c>
      <c r="C60" t="s">
        <v>82</v>
      </c>
      <c r="D60" t="s">
        <v>85</v>
      </c>
      <c r="E60">
        <v>632</v>
      </c>
      <c r="F60">
        <v>1</v>
      </c>
      <c r="G60" t="s">
        <v>404</v>
      </c>
      <c r="H60" t="s">
        <v>407</v>
      </c>
      <c r="I60">
        <v>437</v>
      </c>
    </row>
    <row r="61" spans="1:9" x14ac:dyDescent="0.25">
      <c r="A61" s="2">
        <v>45732</v>
      </c>
      <c r="B61" t="s">
        <v>77</v>
      </c>
      <c r="C61" t="s">
        <v>83</v>
      </c>
      <c r="D61" t="s">
        <v>88</v>
      </c>
      <c r="E61">
        <v>1044</v>
      </c>
      <c r="F61">
        <v>3</v>
      </c>
      <c r="G61" t="s">
        <v>404</v>
      </c>
      <c r="H61" t="s">
        <v>407</v>
      </c>
      <c r="I61">
        <v>449</v>
      </c>
    </row>
    <row r="62" spans="1:9" x14ac:dyDescent="0.25">
      <c r="A62" s="2">
        <v>45713</v>
      </c>
      <c r="B62" t="s">
        <v>75</v>
      </c>
      <c r="C62" t="s">
        <v>83</v>
      </c>
      <c r="D62" t="s">
        <v>85</v>
      </c>
      <c r="E62">
        <v>4779</v>
      </c>
      <c r="F62">
        <v>9</v>
      </c>
      <c r="G62" t="s">
        <v>403</v>
      </c>
      <c r="H62" t="s">
        <v>406</v>
      </c>
      <c r="I62">
        <v>468</v>
      </c>
    </row>
    <row r="63" spans="1:9" x14ac:dyDescent="0.25">
      <c r="A63" s="2">
        <v>45669</v>
      </c>
      <c r="B63" t="s">
        <v>73</v>
      </c>
      <c r="C63" t="s">
        <v>81</v>
      </c>
      <c r="D63" t="s">
        <v>85</v>
      </c>
      <c r="E63">
        <v>636</v>
      </c>
      <c r="F63">
        <v>2</v>
      </c>
      <c r="G63" t="s">
        <v>405</v>
      </c>
      <c r="H63" t="s">
        <v>408</v>
      </c>
      <c r="I63">
        <v>512</v>
      </c>
    </row>
    <row r="64" spans="1:9" x14ac:dyDescent="0.25">
      <c r="A64" s="2">
        <v>45702</v>
      </c>
      <c r="B64" t="s">
        <v>80</v>
      </c>
      <c r="C64" t="s">
        <v>82</v>
      </c>
      <c r="D64" t="s">
        <v>86</v>
      </c>
      <c r="E64">
        <v>7800</v>
      </c>
      <c r="F64">
        <v>10</v>
      </c>
      <c r="G64" t="s">
        <v>403</v>
      </c>
      <c r="H64" t="s">
        <v>406</v>
      </c>
      <c r="I64">
        <v>479</v>
      </c>
    </row>
    <row r="65" spans="1:9" x14ac:dyDescent="0.25">
      <c r="A65" s="2">
        <v>45686</v>
      </c>
      <c r="B65" t="s">
        <v>73</v>
      </c>
      <c r="C65" t="s">
        <v>81</v>
      </c>
      <c r="D65" t="s">
        <v>88</v>
      </c>
      <c r="E65">
        <v>545</v>
      </c>
      <c r="F65">
        <v>5</v>
      </c>
      <c r="G65" t="s">
        <v>403</v>
      </c>
      <c r="H65" t="s">
        <v>408</v>
      </c>
      <c r="I65">
        <v>495</v>
      </c>
    </row>
    <row r="66" spans="1:9" x14ac:dyDescent="0.25">
      <c r="A66" s="2">
        <v>45706</v>
      </c>
      <c r="B66" t="s">
        <v>75</v>
      </c>
      <c r="C66" t="s">
        <v>83</v>
      </c>
      <c r="D66" t="s">
        <v>85</v>
      </c>
      <c r="E66">
        <v>6040</v>
      </c>
      <c r="F66">
        <v>20</v>
      </c>
      <c r="G66" t="s">
        <v>403</v>
      </c>
      <c r="H66" t="s">
        <v>406</v>
      </c>
      <c r="I66">
        <v>475</v>
      </c>
    </row>
    <row r="67" spans="1:9" x14ac:dyDescent="0.25">
      <c r="A67" s="2">
        <v>45724</v>
      </c>
      <c r="B67" t="s">
        <v>74</v>
      </c>
      <c r="C67" t="s">
        <v>82</v>
      </c>
      <c r="D67" t="s">
        <v>88</v>
      </c>
      <c r="E67">
        <v>8136</v>
      </c>
      <c r="F67">
        <v>9</v>
      </c>
      <c r="G67" t="s">
        <v>403</v>
      </c>
      <c r="H67" t="s">
        <v>407</v>
      </c>
      <c r="I67">
        <v>457</v>
      </c>
    </row>
    <row r="68" spans="1:9" x14ac:dyDescent="0.25">
      <c r="A68" s="2">
        <v>45659</v>
      </c>
      <c r="B68" t="s">
        <v>80</v>
      </c>
      <c r="C68" t="s">
        <v>82</v>
      </c>
      <c r="D68" t="s">
        <v>88</v>
      </c>
      <c r="E68">
        <v>3928</v>
      </c>
      <c r="F68">
        <v>4</v>
      </c>
      <c r="G68" t="s">
        <v>405</v>
      </c>
      <c r="H68" t="s">
        <v>408</v>
      </c>
      <c r="I68">
        <v>522</v>
      </c>
    </row>
    <row r="69" spans="1:9" x14ac:dyDescent="0.25">
      <c r="A69" s="2">
        <v>45680</v>
      </c>
      <c r="B69" t="s">
        <v>80</v>
      </c>
      <c r="C69" t="s">
        <v>82</v>
      </c>
      <c r="D69" t="s">
        <v>87</v>
      </c>
      <c r="E69">
        <v>2968</v>
      </c>
      <c r="F69">
        <v>14</v>
      </c>
      <c r="G69" t="s">
        <v>405</v>
      </c>
      <c r="H69" t="s">
        <v>408</v>
      </c>
      <c r="I69">
        <v>501</v>
      </c>
    </row>
    <row r="70" spans="1:9" x14ac:dyDescent="0.25">
      <c r="A70" s="2">
        <v>45689</v>
      </c>
      <c r="B70" t="s">
        <v>74</v>
      </c>
      <c r="C70" t="s">
        <v>82</v>
      </c>
      <c r="D70" t="s">
        <v>87</v>
      </c>
      <c r="E70">
        <v>3955</v>
      </c>
      <c r="F70">
        <v>5</v>
      </c>
      <c r="G70" t="s">
        <v>403</v>
      </c>
      <c r="H70" t="s">
        <v>406</v>
      </c>
      <c r="I70">
        <v>492</v>
      </c>
    </row>
    <row r="71" spans="1:9" x14ac:dyDescent="0.25">
      <c r="A71" s="2">
        <v>45702</v>
      </c>
      <c r="B71" t="s">
        <v>75</v>
      </c>
      <c r="C71" t="s">
        <v>83</v>
      </c>
      <c r="D71" t="s">
        <v>85</v>
      </c>
      <c r="E71">
        <v>4048</v>
      </c>
      <c r="F71">
        <v>8</v>
      </c>
      <c r="G71" t="s">
        <v>403</v>
      </c>
      <c r="H71" t="s">
        <v>406</v>
      </c>
      <c r="I71">
        <v>479</v>
      </c>
    </row>
    <row r="72" spans="1:9" x14ac:dyDescent="0.25">
      <c r="A72" s="2">
        <v>45727</v>
      </c>
      <c r="B72" t="s">
        <v>78</v>
      </c>
      <c r="C72" t="s">
        <v>84</v>
      </c>
      <c r="D72" t="s">
        <v>87</v>
      </c>
      <c r="E72">
        <v>6464</v>
      </c>
      <c r="F72">
        <v>8</v>
      </c>
      <c r="G72" t="s">
        <v>403</v>
      </c>
      <c r="H72" t="s">
        <v>407</v>
      </c>
      <c r="I72">
        <v>454</v>
      </c>
    </row>
    <row r="73" spans="1:9" x14ac:dyDescent="0.25">
      <c r="A73" s="2">
        <v>45710</v>
      </c>
      <c r="B73" t="s">
        <v>73</v>
      </c>
      <c r="C73" t="s">
        <v>81</v>
      </c>
      <c r="D73" t="s">
        <v>88</v>
      </c>
      <c r="E73">
        <v>3042</v>
      </c>
      <c r="F73">
        <v>13</v>
      </c>
      <c r="G73" t="s">
        <v>403</v>
      </c>
      <c r="H73" t="s">
        <v>406</v>
      </c>
      <c r="I73">
        <v>471</v>
      </c>
    </row>
    <row r="74" spans="1:9" x14ac:dyDescent="0.25">
      <c r="A74" s="2">
        <v>45761</v>
      </c>
      <c r="B74" t="s">
        <v>80</v>
      </c>
      <c r="C74" t="s">
        <v>82</v>
      </c>
      <c r="D74" t="s">
        <v>88</v>
      </c>
      <c r="E74">
        <v>9480</v>
      </c>
      <c r="F74">
        <v>15</v>
      </c>
      <c r="G74" t="s">
        <v>404</v>
      </c>
      <c r="H74" t="s">
        <v>409</v>
      </c>
      <c r="I74">
        <v>420</v>
      </c>
    </row>
    <row r="75" spans="1:9" x14ac:dyDescent="0.25">
      <c r="A75" s="2">
        <v>45666</v>
      </c>
      <c r="B75" t="s">
        <v>75</v>
      </c>
      <c r="C75" t="s">
        <v>83</v>
      </c>
      <c r="D75" t="s">
        <v>88</v>
      </c>
      <c r="E75">
        <v>16321</v>
      </c>
      <c r="F75">
        <v>19</v>
      </c>
      <c r="G75" t="s">
        <v>405</v>
      </c>
      <c r="H75" t="s">
        <v>408</v>
      </c>
      <c r="I75">
        <v>515</v>
      </c>
    </row>
    <row r="76" spans="1:9" x14ac:dyDescent="0.25">
      <c r="A76" s="2">
        <v>45756</v>
      </c>
      <c r="B76" t="s">
        <v>74</v>
      </c>
      <c r="C76" t="s">
        <v>82</v>
      </c>
      <c r="D76" t="s">
        <v>87</v>
      </c>
      <c r="E76">
        <v>8436</v>
      </c>
      <c r="F76">
        <v>19</v>
      </c>
      <c r="G76" t="s">
        <v>404</v>
      </c>
      <c r="H76" t="s">
        <v>409</v>
      </c>
      <c r="I76">
        <v>425</v>
      </c>
    </row>
    <row r="77" spans="1:9" x14ac:dyDescent="0.25">
      <c r="A77" s="2">
        <v>45747</v>
      </c>
      <c r="B77" t="s">
        <v>74</v>
      </c>
      <c r="C77" t="s">
        <v>82</v>
      </c>
      <c r="D77" t="s">
        <v>85</v>
      </c>
      <c r="E77">
        <v>2832</v>
      </c>
      <c r="F77">
        <v>8</v>
      </c>
      <c r="G77" t="s">
        <v>404</v>
      </c>
      <c r="H77" t="s">
        <v>407</v>
      </c>
      <c r="I77">
        <v>434</v>
      </c>
    </row>
    <row r="78" spans="1:9" x14ac:dyDescent="0.25">
      <c r="A78" s="2">
        <v>45693</v>
      </c>
      <c r="B78" t="s">
        <v>79</v>
      </c>
      <c r="C78" t="s">
        <v>81</v>
      </c>
      <c r="D78" t="s">
        <v>86</v>
      </c>
      <c r="E78">
        <v>8604</v>
      </c>
      <c r="F78">
        <v>18</v>
      </c>
      <c r="G78" t="s">
        <v>403</v>
      </c>
      <c r="H78" t="s">
        <v>406</v>
      </c>
      <c r="I78">
        <v>488</v>
      </c>
    </row>
    <row r="79" spans="1:9" x14ac:dyDescent="0.25">
      <c r="A79" s="2">
        <v>45665</v>
      </c>
      <c r="B79" t="s">
        <v>73</v>
      </c>
      <c r="C79" t="s">
        <v>81</v>
      </c>
      <c r="D79" t="s">
        <v>86</v>
      </c>
      <c r="E79">
        <v>2805</v>
      </c>
      <c r="F79">
        <v>5</v>
      </c>
      <c r="G79" t="s">
        <v>405</v>
      </c>
      <c r="H79" t="s">
        <v>408</v>
      </c>
      <c r="I79">
        <v>516</v>
      </c>
    </row>
    <row r="80" spans="1:9" x14ac:dyDescent="0.25">
      <c r="A80" s="2">
        <v>45690</v>
      </c>
      <c r="B80" t="s">
        <v>79</v>
      </c>
      <c r="C80" t="s">
        <v>81</v>
      </c>
      <c r="D80" t="s">
        <v>87</v>
      </c>
      <c r="E80">
        <v>5544</v>
      </c>
      <c r="F80">
        <v>7</v>
      </c>
      <c r="G80" t="s">
        <v>403</v>
      </c>
      <c r="H80" t="s">
        <v>406</v>
      </c>
      <c r="I80">
        <v>491</v>
      </c>
    </row>
    <row r="81" spans="1:9" x14ac:dyDescent="0.25">
      <c r="A81" s="2">
        <v>45667</v>
      </c>
      <c r="B81" t="s">
        <v>77</v>
      </c>
      <c r="C81" t="s">
        <v>83</v>
      </c>
      <c r="D81" t="s">
        <v>88</v>
      </c>
      <c r="E81">
        <v>1694</v>
      </c>
      <c r="F81">
        <v>11</v>
      </c>
      <c r="G81" t="s">
        <v>405</v>
      </c>
      <c r="H81" t="s">
        <v>408</v>
      </c>
      <c r="I81">
        <v>514</v>
      </c>
    </row>
    <row r="82" spans="1:9" x14ac:dyDescent="0.25">
      <c r="A82" s="2">
        <v>45665</v>
      </c>
      <c r="B82" t="s">
        <v>75</v>
      </c>
      <c r="C82" t="s">
        <v>83</v>
      </c>
      <c r="D82" t="s">
        <v>86</v>
      </c>
      <c r="E82">
        <v>5760</v>
      </c>
      <c r="F82">
        <v>9</v>
      </c>
      <c r="G82" t="s">
        <v>405</v>
      </c>
      <c r="H82" t="s">
        <v>408</v>
      </c>
      <c r="I82">
        <v>516</v>
      </c>
    </row>
    <row r="83" spans="1:9" x14ac:dyDescent="0.25">
      <c r="A83" s="2">
        <v>45712</v>
      </c>
      <c r="B83" t="s">
        <v>78</v>
      </c>
      <c r="C83" t="s">
        <v>84</v>
      </c>
      <c r="D83" t="s">
        <v>85</v>
      </c>
      <c r="E83">
        <v>8550</v>
      </c>
      <c r="F83">
        <v>10</v>
      </c>
      <c r="G83" t="s">
        <v>403</v>
      </c>
      <c r="H83" t="s">
        <v>406</v>
      </c>
      <c r="I83">
        <v>469</v>
      </c>
    </row>
    <row r="84" spans="1:9" x14ac:dyDescent="0.25">
      <c r="A84" s="2">
        <v>45668</v>
      </c>
      <c r="B84" t="s">
        <v>79</v>
      </c>
      <c r="C84" t="s">
        <v>81</v>
      </c>
      <c r="D84" t="s">
        <v>86</v>
      </c>
      <c r="E84">
        <v>1220</v>
      </c>
      <c r="F84">
        <v>5</v>
      </c>
      <c r="G84" t="s">
        <v>405</v>
      </c>
      <c r="H84" t="s">
        <v>408</v>
      </c>
      <c r="I84">
        <v>513</v>
      </c>
    </row>
    <row r="85" spans="1:9" x14ac:dyDescent="0.25">
      <c r="A85" s="2">
        <v>45777</v>
      </c>
      <c r="B85" t="s">
        <v>77</v>
      </c>
      <c r="C85" t="s">
        <v>83</v>
      </c>
      <c r="D85" t="s">
        <v>88</v>
      </c>
      <c r="E85">
        <v>2490</v>
      </c>
      <c r="F85">
        <v>15</v>
      </c>
      <c r="G85" t="s">
        <v>404</v>
      </c>
      <c r="H85" t="s">
        <v>409</v>
      </c>
      <c r="I85">
        <v>404</v>
      </c>
    </row>
    <row r="86" spans="1:9" x14ac:dyDescent="0.25">
      <c r="A86" s="2">
        <v>45731</v>
      </c>
      <c r="B86" t="s">
        <v>73</v>
      </c>
      <c r="C86" t="s">
        <v>81</v>
      </c>
      <c r="D86" t="s">
        <v>88</v>
      </c>
      <c r="E86">
        <v>3225</v>
      </c>
      <c r="F86">
        <v>15</v>
      </c>
      <c r="G86" t="s">
        <v>404</v>
      </c>
      <c r="H86" t="s">
        <v>407</v>
      </c>
      <c r="I86">
        <v>450</v>
      </c>
    </row>
    <row r="87" spans="1:9" x14ac:dyDescent="0.25">
      <c r="A87" s="2">
        <v>45725</v>
      </c>
      <c r="B87" t="s">
        <v>79</v>
      </c>
      <c r="C87" t="s">
        <v>81</v>
      </c>
      <c r="D87" t="s">
        <v>88</v>
      </c>
      <c r="E87">
        <v>7930</v>
      </c>
      <c r="F87">
        <v>13</v>
      </c>
      <c r="G87" t="s">
        <v>403</v>
      </c>
      <c r="H87" t="s">
        <v>407</v>
      </c>
      <c r="I87">
        <v>456</v>
      </c>
    </row>
    <row r="88" spans="1:9" x14ac:dyDescent="0.25">
      <c r="A88" s="2">
        <v>45756</v>
      </c>
      <c r="B88" t="s">
        <v>78</v>
      </c>
      <c r="C88" t="s">
        <v>84</v>
      </c>
      <c r="D88" t="s">
        <v>85</v>
      </c>
      <c r="E88">
        <v>12920</v>
      </c>
      <c r="F88">
        <v>19</v>
      </c>
      <c r="G88" t="s">
        <v>404</v>
      </c>
      <c r="H88" t="s">
        <v>409</v>
      </c>
      <c r="I88">
        <v>425</v>
      </c>
    </row>
    <row r="89" spans="1:9" x14ac:dyDescent="0.25">
      <c r="A89" s="2">
        <v>45725</v>
      </c>
      <c r="B89" t="s">
        <v>77</v>
      </c>
      <c r="C89" t="s">
        <v>83</v>
      </c>
      <c r="D89" t="s">
        <v>85</v>
      </c>
      <c r="E89">
        <v>4685</v>
      </c>
      <c r="F89">
        <v>5</v>
      </c>
      <c r="G89" t="s">
        <v>403</v>
      </c>
      <c r="H89" t="s">
        <v>407</v>
      </c>
      <c r="I89">
        <v>456</v>
      </c>
    </row>
    <row r="90" spans="1:9" x14ac:dyDescent="0.25">
      <c r="A90" s="2">
        <v>45694</v>
      </c>
      <c r="B90" t="s">
        <v>74</v>
      </c>
      <c r="C90" t="s">
        <v>82</v>
      </c>
      <c r="D90" t="s">
        <v>88</v>
      </c>
      <c r="E90">
        <v>808</v>
      </c>
      <c r="F90">
        <v>8</v>
      </c>
      <c r="G90" t="s">
        <v>403</v>
      </c>
      <c r="H90" t="s">
        <v>406</v>
      </c>
      <c r="I90">
        <v>487</v>
      </c>
    </row>
    <row r="91" spans="1:9" x14ac:dyDescent="0.25">
      <c r="A91" s="2">
        <v>45749</v>
      </c>
      <c r="B91" t="s">
        <v>76</v>
      </c>
      <c r="C91" t="s">
        <v>84</v>
      </c>
      <c r="D91" t="s">
        <v>85</v>
      </c>
      <c r="E91">
        <v>1592</v>
      </c>
      <c r="F91">
        <v>4</v>
      </c>
      <c r="G91" t="s">
        <v>404</v>
      </c>
      <c r="H91" t="s">
        <v>409</v>
      </c>
      <c r="I91">
        <v>432</v>
      </c>
    </row>
    <row r="92" spans="1:9" x14ac:dyDescent="0.25">
      <c r="A92" s="2">
        <v>45778</v>
      </c>
      <c r="B92" t="s">
        <v>75</v>
      </c>
      <c r="C92" t="s">
        <v>83</v>
      </c>
      <c r="D92" t="s">
        <v>86</v>
      </c>
      <c r="E92">
        <v>14860</v>
      </c>
      <c r="F92">
        <v>20</v>
      </c>
      <c r="G92" t="s">
        <v>404</v>
      </c>
      <c r="H92" t="s">
        <v>410</v>
      </c>
      <c r="I92">
        <v>403</v>
      </c>
    </row>
    <row r="93" spans="1:9" x14ac:dyDescent="0.25">
      <c r="A93" s="2">
        <v>45658</v>
      </c>
      <c r="B93" t="s">
        <v>78</v>
      </c>
      <c r="C93" t="s">
        <v>84</v>
      </c>
      <c r="D93" t="s">
        <v>86</v>
      </c>
      <c r="E93">
        <v>8040</v>
      </c>
      <c r="F93">
        <v>10</v>
      </c>
      <c r="G93" t="s">
        <v>405</v>
      </c>
      <c r="H93" t="s">
        <v>408</v>
      </c>
      <c r="I93">
        <v>523</v>
      </c>
    </row>
    <row r="94" spans="1:9" x14ac:dyDescent="0.25">
      <c r="A94" s="2">
        <v>45762</v>
      </c>
      <c r="B94" t="s">
        <v>78</v>
      </c>
      <c r="C94" t="s">
        <v>84</v>
      </c>
      <c r="D94" t="s">
        <v>87</v>
      </c>
      <c r="E94">
        <v>3880</v>
      </c>
      <c r="F94">
        <v>20</v>
      </c>
      <c r="G94" t="s">
        <v>404</v>
      </c>
      <c r="H94" t="s">
        <v>409</v>
      </c>
      <c r="I94">
        <v>419</v>
      </c>
    </row>
    <row r="95" spans="1:9" x14ac:dyDescent="0.25">
      <c r="A95" s="2">
        <v>45765</v>
      </c>
      <c r="B95" t="s">
        <v>75</v>
      </c>
      <c r="C95" t="s">
        <v>83</v>
      </c>
      <c r="D95" t="s">
        <v>87</v>
      </c>
      <c r="E95">
        <v>2522</v>
      </c>
      <c r="F95">
        <v>13</v>
      </c>
      <c r="G95" t="s">
        <v>404</v>
      </c>
      <c r="H95" t="s">
        <v>409</v>
      </c>
      <c r="I95">
        <v>416</v>
      </c>
    </row>
    <row r="96" spans="1:9" x14ac:dyDescent="0.25">
      <c r="A96" s="2">
        <v>45701</v>
      </c>
      <c r="B96" t="s">
        <v>76</v>
      </c>
      <c r="C96" t="s">
        <v>84</v>
      </c>
      <c r="D96" t="s">
        <v>85</v>
      </c>
      <c r="E96">
        <v>852</v>
      </c>
      <c r="F96">
        <v>2</v>
      </c>
      <c r="G96" t="s">
        <v>403</v>
      </c>
      <c r="H96" t="s">
        <v>406</v>
      </c>
      <c r="I96">
        <v>480</v>
      </c>
    </row>
    <row r="97" spans="1:9" x14ac:dyDescent="0.25">
      <c r="A97" s="2">
        <v>45727</v>
      </c>
      <c r="B97" t="s">
        <v>73</v>
      </c>
      <c r="C97" t="s">
        <v>81</v>
      </c>
      <c r="D97" t="s">
        <v>85</v>
      </c>
      <c r="E97">
        <v>1185</v>
      </c>
      <c r="F97">
        <v>5</v>
      </c>
      <c r="G97" t="s">
        <v>403</v>
      </c>
      <c r="H97" t="s">
        <v>407</v>
      </c>
      <c r="I97">
        <v>454</v>
      </c>
    </row>
    <row r="98" spans="1:9" x14ac:dyDescent="0.25">
      <c r="A98" s="2">
        <v>45741</v>
      </c>
      <c r="B98" t="s">
        <v>73</v>
      </c>
      <c r="C98" t="s">
        <v>81</v>
      </c>
      <c r="D98" t="s">
        <v>85</v>
      </c>
      <c r="E98">
        <v>1836</v>
      </c>
      <c r="F98">
        <v>12</v>
      </c>
      <c r="G98" t="s">
        <v>404</v>
      </c>
      <c r="H98" t="s">
        <v>407</v>
      </c>
      <c r="I98">
        <v>440</v>
      </c>
    </row>
    <row r="99" spans="1:9" x14ac:dyDescent="0.25">
      <c r="A99" s="2">
        <v>45679</v>
      </c>
      <c r="B99" t="s">
        <v>80</v>
      </c>
      <c r="C99" t="s">
        <v>82</v>
      </c>
      <c r="D99" t="s">
        <v>87</v>
      </c>
      <c r="E99">
        <v>3835</v>
      </c>
      <c r="F99">
        <v>5</v>
      </c>
      <c r="G99" t="s">
        <v>405</v>
      </c>
      <c r="H99" t="s">
        <v>408</v>
      </c>
      <c r="I99">
        <v>502</v>
      </c>
    </row>
    <row r="100" spans="1:9" x14ac:dyDescent="0.25">
      <c r="A100" s="2">
        <v>45711</v>
      </c>
      <c r="B100" t="s">
        <v>75</v>
      </c>
      <c r="C100" t="s">
        <v>83</v>
      </c>
      <c r="D100" t="s">
        <v>85</v>
      </c>
      <c r="E100">
        <v>2460</v>
      </c>
      <c r="F100">
        <v>12</v>
      </c>
      <c r="G100" t="s">
        <v>403</v>
      </c>
      <c r="H100" t="s">
        <v>406</v>
      </c>
      <c r="I100">
        <v>470</v>
      </c>
    </row>
    <row r="101" spans="1:9" x14ac:dyDescent="0.25">
      <c r="A101" s="2">
        <v>45693</v>
      </c>
      <c r="B101" t="s">
        <v>78</v>
      </c>
      <c r="C101" t="s">
        <v>84</v>
      </c>
      <c r="D101" t="s">
        <v>88</v>
      </c>
      <c r="E101">
        <v>3941</v>
      </c>
      <c r="F101">
        <v>7</v>
      </c>
      <c r="G101" t="s">
        <v>403</v>
      </c>
      <c r="H101" t="s">
        <v>406</v>
      </c>
      <c r="I101">
        <v>488</v>
      </c>
    </row>
  </sheetData>
  <phoneticPr fontId="3" type="noConversion"/>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79B41-81E2-4DE2-A035-A53FAA748E71}">
  <sheetPr codeName="Sheet7"/>
  <dimension ref="A1:X101"/>
  <sheetViews>
    <sheetView topLeftCell="D7" workbookViewId="0">
      <selection activeCell="P30" sqref="P30"/>
    </sheetView>
  </sheetViews>
  <sheetFormatPr defaultRowHeight="15" x14ac:dyDescent="0.25"/>
  <cols>
    <col min="1" max="1" width="10.425781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2" max="12" width="8.85546875" bestFit="1" customWidth="1"/>
    <col min="14" max="14" width="15.140625" bestFit="1" customWidth="1"/>
    <col min="16" max="16" width="11" customWidth="1"/>
    <col min="19" max="19" width="17.5703125" bestFit="1" customWidth="1"/>
    <col min="21" max="21" width="21.7109375" bestFit="1" customWidth="1"/>
    <col min="22" max="22" width="16.28515625" bestFit="1" customWidth="1"/>
  </cols>
  <sheetData>
    <row r="1" spans="1:24" x14ac:dyDescent="0.25">
      <c r="A1" t="s">
        <v>0</v>
      </c>
      <c r="B1" t="s">
        <v>1</v>
      </c>
      <c r="C1" t="s">
        <v>2</v>
      </c>
      <c r="D1" t="s">
        <v>3</v>
      </c>
      <c r="E1" t="s">
        <v>4</v>
      </c>
      <c r="F1" t="s">
        <v>5</v>
      </c>
      <c r="G1" t="s">
        <v>402</v>
      </c>
      <c r="H1" t="s">
        <v>401</v>
      </c>
      <c r="I1" t="s">
        <v>400</v>
      </c>
    </row>
    <row r="2" spans="1:24" x14ac:dyDescent="0.25">
      <c r="A2" s="2">
        <v>45697</v>
      </c>
      <c r="B2" t="s">
        <v>73</v>
      </c>
      <c r="C2" t="s">
        <v>81</v>
      </c>
      <c r="D2" t="s">
        <v>85</v>
      </c>
      <c r="E2">
        <v>4050</v>
      </c>
      <c r="F2">
        <v>18</v>
      </c>
      <c r="G2" t="s">
        <v>403</v>
      </c>
      <c r="H2" t="s">
        <v>406</v>
      </c>
      <c r="I2">
        <v>484</v>
      </c>
    </row>
    <row r="3" spans="1:24" x14ac:dyDescent="0.25">
      <c r="A3" s="2">
        <v>45734</v>
      </c>
      <c r="B3" t="s">
        <v>74</v>
      </c>
      <c r="C3" t="s">
        <v>82</v>
      </c>
      <c r="D3" t="s">
        <v>86</v>
      </c>
      <c r="E3">
        <v>7875</v>
      </c>
      <c r="F3">
        <v>15</v>
      </c>
      <c r="G3" t="s">
        <v>404</v>
      </c>
      <c r="H3" t="s">
        <v>407</v>
      </c>
      <c r="I3">
        <v>447</v>
      </c>
    </row>
    <row r="4" spans="1:24" x14ac:dyDescent="0.25">
      <c r="A4" s="2">
        <v>45676</v>
      </c>
      <c r="B4" t="s">
        <v>75</v>
      </c>
      <c r="C4" t="s">
        <v>83</v>
      </c>
      <c r="D4" t="s">
        <v>85</v>
      </c>
      <c r="E4">
        <v>5832</v>
      </c>
      <c r="F4">
        <v>6</v>
      </c>
      <c r="G4" t="s">
        <v>405</v>
      </c>
      <c r="H4" t="s">
        <v>408</v>
      </c>
      <c r="I4">
        <v>505</v>
      </c>
    </row>
    <row r="5" spans="1:24" x14ac:dyDescent="0.25">
      <c r="A5" s="2">
        <v>45694</v>
      </c>
      <c r="B5" t="s">
        <v>76</v>
      </c>
      <c r="C5" t="s">
        <v>84</v>
      </c>
      <c r="D5" t="s">
        <v>85</v>
      </c>
      <c r="E5">
        <v>676</v>
      </c>
      <c r="F5">
        <v>4</v>
      </c>
      <c r="G5" t="s">
        <v>403</v>
      </c>
      <c r="H5" t="s">
        <v>406</v>
      </c>
      <c r="I5">
        <v>487</v>
      </c>
      <c r="L5" s="20" t="s">
        <v>237</v>
      </c>
      <c r="N5" s="20" t="s">
        <v>238</v>
      </c>
      <c r="P5" s="20" t="s">
        <v>239</v>
      </c>
      <c r="R5" s="20" t="s">
        <v>240</v>
      </c>
      <c r="T5" s="20" t="s">
        <v>241</v>
      </c>
      <c r="V5" s="20" t="s">
        <v>242</v>
      </c>
      <c r="X5" s="20" t="s">
        <v>243</v>
      </c>
    </row>
    <row r="6" spans="1:24" x14ac:dyDescent="0.25">
      <c r="A6" s="2">
        <v>45693</v>
      </c>
      <c r="B6" t="s">
        <v>74</v>
      </c>
      <c r="C6" t="s">
        <v>82</v>
      </c>
      <c r="D6" t="s">
        <v>87</v>
      </c>
      <c r="E6">
        <v>6560</v>
      </c>
      <c r="F6">
        <v>10</v>
      </c>
      <c r="G6" t="s">
        <v>403</v>
      </c>
      <c r="H6" t="s">
        <v>406</v>
      </c>
      <c r="I6">
        <v>488</v>
      </c>
    </row>
    <row r="7" spans="1:24" x14ac:dyDescent="0.25">
      <c r="A7" s="2">
        <v>45775</v>
      </c>
      <c r="B7" t="s">
        <v>76</v>
      </c>
      <c r="C7" t="s">
        <v>84</v>
      </c>
      <c r="D7" t="s">
        <v>87</v>
      </c>
      <c r="E7">
        <v>1905</v>
      </c>
      <c r="F7">
        <v>5</v>
      </c>
      <c r="G7" t="s">
        <v>404</v>
      </c>
      <c r="H7" t="s">
        <v>409</v>
      </c>
      <c r="I7">
        <v>406</v>
      </c>
    </row>
    <row r="8" spans="1:24" x14ac:dyDescent="0.25">
      <c r="A8" s="2">
        <v>45720</v>
      </c>
      <c r="B8" t="s">
        <v>77</v>
      </c>
      <c r="C8" t="s">
        <v>83</v>
      </c>
      <c r="D8" t="s">
        <v>86</v>
      </c>
      <c r="E8">
        <v>6948</v>
      </c>
      <c r="F8">
        <v>18</v>
      </c>
      <c r="G8" t="s">
        <v>403</v>
      </c>
      <c r="H8" t="s">
        <v>407</v>
      </c>
      <c r="I8">
        <v>461</v>
      </c>
    </row>
    <row r="9" spans="1:24" x14ac:dyDescent="0.25">
      <c r="A9" s="2">
        <v>45764</v>
      </c>
      <c r="B9" t="s">
        <v>77</v>
      </c>
      <c r="C9" t="s">
        <v>83</v>
      </c>
      <c r="D9" t="s">
        <v>85</v>
      </c>
      <c r="E9">
        <v>1944</v>
      </c>
      <c r="F9">
        <v>18</v>
      </c>
      <c r="G9" t="s">
        <v>404</v>
      </c>
      <c r="H9" t="s">
        <v>409</v>
      </c>
      <c r="I9">
        <v>417</v>
      </c>
    </row>
    <row r="10" spans="1:24" x14ac:dyDescent="0.25">
      <c r="A10" s="2">
        <v>45735</v>
      </c>
      <c r="B10" t="s">
        <v>78</v>
      </c>
      <c r="C10" t="s">
        <v>84</v>
      </c>
      <c r="D10" t="s">
        <v>85</v>
      </c>
      <c r="E10">
        <v>7776</v>
      </c>
      <c r="F10">
        <v>8</v>
      </c>
      <c r="G10" t="s">
        <v>404</v>
      </c>
      <c r="H10" t="s">
        <v>407</v>
      </c>
      <c r="I10">
        <v>446</v>
      </c>
      <c r="L10" s="20" t="s">
        <v>244</v>
      </c>
      <c r="N10" s="20" t="s">
        <v>245</v>
      </c>
      <c r="P10" s="20" t="s">
        <v>246</v>
      </c>
      <c r="R10" s="15" t="s">
        <v>237</v>
      </c>
      <c r="S10" s="15" t="s">
        <v>238</v>
      </c>
      <c r="U10" s="3" t="s">
        <v>247</v>
      </c>
      <c r="V10" s="3" t="s">
        <v>248</v>
      </c>
    </row>
    <row r="11" spans="1:24" x14ac:dyDescent="0.25">
      <c r="A11" s="2">
        <v>45778</v>
      </c>
      <c r="B11" t="s">
        <v>74</v>
      </c>
      <c r="C11" t="s">
        <v>82</v>
      </c>
      <c r="D11" t="s">
        <v>86</v>
      </c>
      <c r="E11">
        <v>2790</v>
      </c>
      <c r="F11">
        <v>18</v>
      </c>
      <c r="G11" t="s">
        <v>404</v>
      </c>
      <c r="H11" t="s">
        <v>410</v>
      </c>
      <c r="I11">
        <v>403</v>
      </c>
      <c r="L11" s="21" t="str">
        <f t="shared" ref="L11:L22" si="0">IF(F2&gt;15,"Fast Sold")</f>
        <v>Fast Sold</v>
      </c>
      <c r="N11" s="21" t="str">
        <f t="shared" ref="N11:N22" si="1">IF(F2&gt;15,"Fast Sold","Slow Sold Items")</f>
        <v>Fast Sold</v>
      </c>
      <c r="P11" s="21" t="str">
        <f t="shared" ref="P11:P22" si="2">IF(E2&gt;10000,"Above 10k",IF(E2&gt;5000,"Above 5k",IF(E2&gt;2000,"Above 2k","Under2k")))</f>
        <v>Above 2k</v>
      </c>
      <c r="R11" s="22" t="b">
        <f t="shared" ref="R11:R22" si="3">AND(E2&gt;5000,F2&gt;10)</f>
        <v>0</v>
      </c>
      <c r="S11" s="22" t="b">
        <f t="shared" ref="S11:S22" si="4">OR(E2&gt;5000,F2&gt;10)</f>
        <v>1</v>
      </c>
      <c r="U11" s="13" t="str">
        <f>IF(R11,"Fast Growing Products","Slow Growing Products")</f>
        <v>Slow Growing Products</v>
      </c>
      <c r="V11" s="13" t="str">
        <f>IF(S11,"Fast Sold","Slow Sold")</f>
        <v>Fast Sold</v>
      </c>
    </row>
    <row r="12" spans="1:24" x14ac:dyDescent="0.25">
      <c r="A12" s="2">
        <v>45693</v>
      </c>
      <c r="B12" t="s">
        <v>75</v>
      </c>
      <c r="C12" t="s">
        <v>83</v>
      </c>
      <c r="D12" t="s">
        <v>86</v>
      </c>
      <c r="E12">
        <v>7995</v>
      </c>
      <c r="F12">
        <v>13</v>
      </c>
      <c r="G12" t="s">
        <v>403</v>
      </c>
      <c r="H12" t="s">
        <v>406</v>
      </c>
      <c r="I12">
        <v>488</v>
      </c>
      <c r="L12" s="21" t="b">
        <f t="shared" si="0"/>
        <v>0</v>
      </c>
      <c r="N12" s="21" t="str">
        <f t="shared" si="1"/>
        <v>Slow Sold Items</v>
      </c>
      <c r="P12" s="21" t="str">
        <f t="shared" si="2"/>
        <v>Above 5k</v>
      </c>
      <c r="R12" s="22" t="b">
        <f t="shared" si="3"/>
        <v>1</v>
      </c>
      <c r="S12" s="22" t="b">
        <f t="shared" si="4"/>
        <v>1</v>
      </c>
      <c r="U12" s="13" t="str">
        <f t="shared" ref="U12:U22" si="5">IF(R12,"Fast Growing Products","Slow Growing Products")</f>
        <v>Fast Growing Products</v>
      </c>
      <c r="V12" s="13" t="str">
        <f t="shared" ref="V12:V22" si="6">IF(S12,"Fast Sold","Slow Sold")</f>
        <v>Fast Sold</v>
      </c>
    </row>
    <row r="13" spans="1:24" x14ac:dyDescent="0.25">
      <c r="A13" s="2">
        <v>45677</v>
      </c>
      <c r="B13" t="s">
        <v>75</v>
      </c>
      <c r="C13" t="s">
        <v>83</v>
      </c>
      <c r="D13" t="s">
        <v>85</v>
      </c>
      <c r="E13">
        <v>9984</v>
      </c>
      <c r="F13">
        <v>13</v>
      </c>
      <c r="G13" t="s">
        <v>405</v>
      </c>
      <c r="H13" t="s">
        <v>408</v>
      </c>
      <c r="I13">
        <v>504</v>
      </c>
      <c r="L13" s="21" t="b">
        <f t="shared" si="0"/>
        <v>0</v>
      </c>
      <c r="N13" s="21" t="str">
        <f t="shared" si="1"/>
        <v>Slow Sold Items</v>
      </c>
      <c r="P13" s="21" t="str">
        <f t="shared" si="2"/>
        <v>Above 5k</v>
      </c>
      <c r="R13" s="22" t="b">
        <f t="shared" si="3"/>
        <v>0</v>
      </c>
      <c r="S13" s="22" t="b">
        <f t="shared" si="4"/>
        <v>1</v>
      </c>
      <c r="U13" s="13" t="str">
        <f t="shared" si="5"/>
        <v>Slow Growing Products</v>
      </c>
      <c r="V13" s="13" t="str">
        <f t="shared" si="6"/>
        <v>Fast Sold</v>
      </c>
    </row>
    <row r="14" spans="1:24" x14ac:dyDescent="0.25">
      <c r="A14" s="2">
        <v>45739</v>
      </c>
      <c r="B14" t="s">
        <v>75</v>
      </c>
      <c r="C14" t="s">
        <v>83</v>
      </c>
      <c r="D14" t="s">
        <v>87</v>
      </c>
      <c r="E14">
        <v>7683</v>
      </c>
      <c r="F14">
        <v>13</v>
      </c>
      <c r="G14" t="s">
        <v>404</v>
      </c>
      <c r="H14" t="s">
        <v>407</v>
      </c>
      <c r="I14">
        <v>442</v>
      </c>
      <c r="L14" s="21" t="b">
        <f t="shared" si="0"/>
        <v>0</v>
      </c>
      <c r="N14" s="21" t="str">
        <f t="shared" si="1"/>
        <v>Slow Sold Items</v>
      </c>
      <c r="P14" s="21" t="str">
        <f t="shared" si="2"/>
        <v>Under2k</v>
      </c>
      <c r="R14" s="22" t="b">
        <f t="shared" si="3"/>
        <v>0</v>
      </c>
      <c r="S14" s="22" t="b">
        <f t="shared" si="4"/>
        <v>0</v>
      </c>
      <c r="U14" s="13" t="str">
        <f t="shared" si="5"/>
        <v>Slow Growing Products</v>
      </c>
      <c r="V14" s="13" t="str">
        <f t="shared" si="6"/>
        <v>Slow Sold</v>
      </c>
    </row>
    <row r="15" spans="1:24" x14ac:dyDescent="0.25">
      <c r="A15" s="2">
        <v>45699</v>
      </c>
      <c r="B15" t="s">
        <v>76</v>
      </c>
      <c r="C15" t="s">
        <v>84</v>
      </c>
      <c r="D15" t="s">
        <v>88</v>
      </c>
      <c r="E15">
        <v>6885</v>
      </c>
      <c r="F15">
        <v>9</v>
      </c>
      <c r="G15" t="s">
        <v>403</v>
      </c>
      <c r="H15" t="s">
        <v>406</v>
      </c>
      <c r="I15">
        <v>482</v>
      </c>
      <c r="L15" s="21" t="b">
        <f t="shared" si="0"/>
        <v>0</v>
      </c>
      <c r="N15" s="21" t="str">
        <f t="shared" si="1"/>
        <v>Slow Sold Items</v>
      </c>
      <c r="P15" s="21" t="str">
        <f t="shared" si="2"/>
        <v>Above 5k</v>
      </c>
      <c r="R15" s="22" t="b">
        <f t="shared" si="3"/>
        <v>0</v>
      </c>
      <c r="S15" s="22" t="b">
        <f t="shared" si="4"/>
        <v>1</v>
      </c>
      <c r="U15" s="13" t="str">
        <f t="shared" si="5"/>
        <v>Slow Growing Products</v>
      </c>
      <c r="V15" s="13" t="str">
        <f t="shared" si="6"/>
        <v>Fast Sold</v>
      </c>
    </row>
    <row r="16" spans="1:24" x14ac:dyDescent="0.25">
      <c r="A16" s="2">
        <v>45767</v>
      </c>
      <c r="B16" t="s">
        <v>79</v>
      </c>
      <c r="C16" t="s">
        <v>81</v>
      </c>
      <c r="D16" t="s">
        <v>87</v>
      </c>
      <c r="E16">
        <v>229</v>
      </c>
      <c r="F16">
        <v>1</v>
      </c>
      <c r="G16" t="s">
        <v>404</v>
      </c>
      <c r="H16" t="s">
        <v>409</v>
      </c>
      <c r="I16">
        <v>414</v>
      </c>
      <c r="L16" s="21" t="b">
        <f t="shared" si="0"/>
        <v>0</v>
      </c>
      <c r="N16" s="21" t="str">
        <f t="shared" si="1"/>
        <v>Slow Sold Items</v>
      </c>
      <c r="P16" s="21" t="str">
        <f t="shared" si="2"/>
        <v>Under2k</v>
      </c>
      <c r="R16" s="22" t="b">
        <f t="shared" si="3"/>
        <v>0</v>
      </c>
      <c r="S16" s="22" t="b">
        <f t="shared" si="4"/>
        <v>0</v>
      </c>
      <c r="U16" s="13" t="str">
        <f t="shared" si="5"/>
        <v>Slow Growing Products</v>
      </c>
      <c r="V16" s="13" t="str">
        <f t="shared" si="6"/>
        <v>Slow Sold</v>
      </c>
    </row>
    <row r="17" spans="1:22" x14ac:dyDescent="0.25">
      <c r="A17" s="2">
        <v>45735</v>
      </c>
      <c r="B17" t="s">
        <v>80</v>
      </c>
      <c r="C17" t="s">
        <v>82</v>
      </c>
      <c r="D17" t="s">
        <v>87</v>
      </c>
      <c r="E17">
        <v>6104</v>
      </c>
      <c r="F17">
        <v>7</v>
      </c>
      <c r="G17" t="s">
        <v>404</v>
      </c>
      <c r="H17" t="s">
        <v>407</v>
      </c>
      <c r="I17">
        <v>446</v>
      </c>
      <c r="L17" s="21" t="str">
        <f t="shared" si="0"/>
        <v>Fast Sold</v>
      </c>
      <c r="N17" s="21" t="str">
        <f t="shared" si="1"/>
        <v>Fast Sold</v>
      </c>
      <c r="P17" s="21" t="str">
        <f t="shared" si="2"/>
        <v>Above 5k</v>
      </c>
      <c r="R17" s="22" t="b">
        <f t="shared" si="3"/>
        <v>1</v>
      </c>
      <c r="S17" s="22" t="b">
        <f t="shared" si="4"/>
        <v>1</v>
      </c>
      <c r="U17" s="13" t="str">
        <f t="shared" si="5"/>
        <v>Fast Growing Products</v>
      </c>
      <c r="V17" s="13" t="str">
        <f t="shared" si="6"/>
        <v>Fast Sold</v>
      </c>
    </row>
    <row r="18" spans="1:22" x14ac:dyDescent="0.25">
      <c r="A18" s="2">
        <v>45722</v>
      </c>
      <c r="B18" t="s">
        <v>78</v>
      </c>
      <c r="C18" t="s">
        <v>84</v>
      </c>
      <c r="D18" t="s">
        <v>85</v>
      </c>
      <c r="E18">
        <v>558</v>
      </c>
      <c r="F18">
        <v>1</v>
      </c>
      <c r="G18" t="s">
        <v>403</v>
      </c>
      <c r="H18" t="s">
        <v>407</v>
      </c>
      <c r="I18">
        <v>459</v>
      </c>
      <c r="L18" s="21" t="str">
        <f t="shared" si="0"/>
        <v>Fast Sold</v>
      </c>
      <c r="N18" s="21" t="str">
        <f t="shared" si="1"/>
        <v>Fast Sold</v>
      </c>
      <c r="P18" s="21" t="str">
        <f t="shared" si="2"/>
        <v>Under2k</v>
      </c>
      <c r="R18" s="22" t="b">
        <f t="shared" si="3"/>
        <v>0</v>
      </c>
      <c r="S18" s="22" t="b">
        <f t="shared" si="4"/>
        <v>1</v>
      </c>
      <c r="U18" s="13" t="str">
        <f t="shared" si="5"/>
        <v>Slow Growing Products</v>
      </c>
      <c r="V18" s="13" t="str">
        <f t="shared" si="6"/>
        <v>Fast Sold</v>
      </c>
    </row>
    <row r="19" spans="1:22" x14ac:dyDescent="0.25">
      <c r="A19" s="2">
        <v>45741</v>
      </c>
      <c r="B19" t="s">
        <v>76</v>
      </c>
      <c r="C19" t="s">
        <v>84</v>
      </c>
      <c r="D19" t="s">
        <v>85</v>
      </c>
      <c r="E19">
        <v>6413</v>
      </c>
      <c r="F19">
        <v>11</v>
      </c>
      <c r="G19" t="s">
        <v>404</v>
      </c>
      <c r="H19" t="s">
        <v>407</v>
      </c>
      <c r="I19">
        <v>440</v>
      </c>
      <c r="L19" s="21" t="b">
        <f t="shared" si="0"/>
        <v>0</v>
      </c>
      <c r="N19" s="21" t="str">
        <f t="shared" si="1"/>
        <v>Slow Sold Items</v>
      </c>
      <c r="P19" s="21" t="str">
        <f t="shared" si="2"/>
        <v>Above 5k</v>
      </c>
      <c r="R19" s="22" t="b">
        <f t="shared" si="3"/>
        <v>0</v>
      </c>
      <c r="S19" s="22" t="b">
        <f t="shared" si="4"/>
        <v>1</v>
      </c>
      <c r="U19" s="13" t="str">
        <f t="shared" si="5"/>
        <v>Slow Growing Products</v>
      </c>
      <c r="V19" s="13" t="str">
        <f t="shared" si="6"/>
        <v>Fast Sold</v>
      </c>
    </row>
    <row r="20" spans="1:22" x14ac:dyDescent="0.25">
      <c r="A20" s="2">
        <v>45732</v>
      </c>
      <c r="B20" t="s">
        <v>74</v>
      </c>
      <c r="C20" t="s">
        <v>82</v>
      </c>
      <c r="D20" t="s">
        <v>88</v>
      </c>
      <c r="E20">
        <v>1017</v>
      </c>
      <c r="F20">
        <v>9</v>
      </c>
      <c r="G20" t="s">
        <v>404</v>
      </c>
      <c r="H20" t="s">
        <v>407</v>
      </c>
      <c r="I20">
        <v>449</v>
      </c>
      <c r="L20" s="21" t="str">
        <f t="shared" si="0"/>
        <v>Fast Sold</v>
      </c>
      <c r="N20" s="21" t="str">
        <f t="shared" si="1"/>
        <v>Fast Sold</v>
      </c>
      <c r="P20" s="21" t="str">
        <f t="shared" si="2"/>
        <v>Above 2k</v>
      </c>
      <c r="R20" s="22" t="b">
        <f t="shared" si="3"/>
        <v>0</v>
      </c>
      <c r="S20" s="22" t="b">
        <f t="shared" si="4"/>
        <v>1</v>
      </c>
      <c r="U20" s="13" t="str">
        <f t="shared" si="5"/>
        <v>Slow Growing Products</v>
      </c>
      <c r="V20" s="13" t="str">
        <f t="shared" si="6"/>
        <v>Fast Sold</v>
      </c>
    </row>
    <row r="21" spans="1:22" x14ac:dyDescent="0.25">
      <c r="A21" s="2">
        <v>45721</v>
      </c>
      <c r="B21" t="s">
        <v>80</v>
      </c>
      <c r="C21" t="s">
        <v>82</v>
      </c>
      <c r="D21" t="s">
        <v>86</v>
      </c>
      <c r="E21">
        <v>9310</v>
      </c>
      <c r="F21">
        <v>10</v>
      </c>
      <c r="G21" t="s">
        <v>403</v>
      </c>
      <c r="H21" t="s">
        <v>407</v>
      </c>
      <c r="I21">
        <v>460</v>
      </c>
      <c r="L21" s="21" t="b">
        <f t="shared" si="0"/>
        <v>0</v>
      </c>
      <c r="N21" s="21" t="str">
        <f t="shared" si="1"/>
        <v>Slow Sold Items</v>
      </c>
      <c r="P21" s="21" t="str">
        <f t="shared" si="2"/>
        <v>Above 5k</v>
      </c>
      <c r="R21" s="22" t="b">
        <f t="shared" si="3"/>
        <v>1</v>
      </c>
      <c r="S21" s="22" t="b">
        <f t="shared" si="4"/>
        <v>1</v>
      </c>
      <c r="U21" s="13" t="str">
        <f t="shared" si="5"/>
        <v>Fast Growing Products</v>
      </c>
      <c r="V21" s="13" t="str">
        <f t="shared" si="6"/>
        <v>Fast Sold</v>
      </c>
    </row>
    <row r="22" spans="1:22" x14ac:dyDescent="0.25">
      <c r="A22" s="2">
        <v>45703</v>
      </c>
      <c r="B22" t="s">
        <v>75</v>
      </c>
      <c r="C22" t="s">
        <v>83</v>
      </c>
      <c r="D22" t="s">
        <v>87</v>
      </c>
      <c r="E22">
        <v>2560</v>
      </c>
      <c r="F22">
        <v>4</v>
      </c>
      <c r="G22" t="s">
        <v>403</v>
      </c>
      <c r="H22" t="s">
        <v>406</v>
      </c>
      <c r="I22">
        <v>478</v>
      </c>
      <c r="L22" s="21" t="b">
        <f t="shared" si="0"/>
        <v>0</v>
      </c>
      <c r="N22" s="21" t="str">
        <f t="shared" si="1"/>
        <v>Slow Sold Items</v>
      </c>
      <c r="P22" s="21" t="str">
        <f t="shared" si="2"/>
        <v>Above 5k</v>
      </c>
      <c r="R22" s="22" t="b">
        <f t="shared" si="3"/>
        <v>1</v>
      </c>
      <c r="S22" s="22" t="b">
        <f t="shared" si="4"/>
        <v>1</v>
      </c>
      <c r="U22" s="13" t="str">
        <f t="shared" si="5"/>
        <v>Fast Growing Products</v>
      </c>
      <c r="V22" s="13" t="str">
        <f t="shared" si="6"/>
        <v>Fast Sold</v>
      </c>
    </row>
    <row r="23" spans="1:22" x14ac:dyDescent="0.25">
      <c r="A23" s="2">
        <v>45681</v>
      </c>
      <c r="B23" t="s">
        <v>76</v>
      </c>
      <c r="C23" t="s">
        <v>84</v>
      </c>
      <c r="D23" t="s">
        <v>86</v>
      </c>
      <c r="E23">
        <v>6855</v>
      </c>
      <c r="F23">
        <v>15</v>
      </c>
      <c r="G23" t="s">
        <v>403</v>
      </c>
      <c r="H23" t="s">
        <v>408</v>
      </c>
      <c r="I23">
        <v>500</v>
      </c>
    </row>
    <row r="24" spans="1:22" x14ac:dyDescent="0.25">
      <c r="A24" s="2">
        <v>45663</v>
      </c>
      <c r="B24" t="s">
        <v>78</v>
      </c>
      <c r="C24" t="s">
        <v>84</v>
      </c>
      <c r="D24" t="s">
        <v>86</v>
      </c>
      <c r="E24">
        <v>7398</v>
      </c>
      <c r="F24">
        <v>9</v>
      </c>
      <c r="G24" t="s">
        <v>405</v>
      </c>
      <c r="H24" t="s">
        <v>408</v>
      </c>
      <c r="I24">
        <v>518</v>
      </c>
    </row>
    <row r="25" spans="1:22" x14ac:dyDescent="0.25">
      <c r="A25" s="2">
        <v>45660</v>
      </c>
      <c r="B25" t="s">
        <v>74</v>
      </c>
      <c r="C25" t="s">
        <v>82</v>
      </c>
      <c r="D25" t="s">
        <v>85</v>
      </c>
      <c r="E25">
        <v>2094</v>
      </c>
      <c r="F25">
        <v>6</v>
      </c>
      <c r="G25" t="s">
        <v>405</v>
      </c>
      <c r="H25" t="s">
        <v>408</v>
      </c>
      <c r="I25">
        <v>521</v>
      </c>
    </row>
    <row r="26" spans="1:22" x14ac:dyDescent="0.25">
      <c r="A26" s="2">
        <v>45701</v>
      </c>
      <c r="B26" t="s">
        <v>74</v>
      </c>
      <c r="C26" t="s">
        <v>82</v>
      </c>
      <c r="D26" t="s">
        <v>88</v>
      </c>
      <c r="E26">
        <v>3996</v>
      </c>
      <c r="F26">
        <v>4</v>
      </c>
      <c r="G26" t="s">
        <v>403</v>
      </c>
      <c r="H26" t="s">
        <v>406</v>
      </c>
      <c r="I26">
        <v>480</v>
      </c>
    </row>
    <row r="27" spans="1:22" x14ac:dyDescent="0.25">
      <c r="A27" s="2">
        <v>45679</v>
      </c>
      <c r="B27" t="s">
        <v>78</v>
      </c>
      <c r="C27" t="s">
        <v>84</v>
      </c>
      <c r="D27" t="s">
        <v>87</v>
      </c>
      <c r="E27">
        <v>4884</v>
      </c>
      <c r="F27">
        <v>6</v>
      </c>
      <c r="G27" t="s">
        <v>405</v>
      </c>
      <c r="H27" t="s">
        <v>408</v>
      </c>
      <c r="I27">
        <v>502</v>
      </c>
      <c r="L27" s="8" t="s">
        <v>239</v>
      </c>
      <c r="M27" s="8" t="s">
        <v>249</v>
      </c>
      <c r="O27" s="8" t="s">
        <v>250</v>
      </c>
      <c r="S27" s="3" t="e">
        <f>MOD(10,0)</f>
        <v>#DIV/0!</v>
      </c>
      <c r="V27" s="3">
        <v>2</v>
      </c>
    </row>
    <row r="28" spans="1:22" x14ac:dyDescent="0.25">
      <c r="A28" s="2">
        <v>45693</v>
      </c>
      <c r="B28" t="s">
        <v>77</v>
      </c>
      <c r="C28" t="s">
        <v>83</v>
      </c>
      <c r="D28" t="s">
        <v>88</v>
      </c>
      <c r="E28">
        <v>1767</v>
      </c>
      <c r="F28">
        <v>3</v>
      </c>
      <c r="G28" t="s">
        <v>403</v>
      </c>
      <c r="H28" t="s">
        <v>406</v>
      </c>
      <c r="I28">
        <v>488</v>
      </c>
      <c r="L28" s="13" t="b">
        <f>NOT(FALSE)</f>
        <v>1</v>
      </c>
      <c r="M28" s="13" t="b">
        <f>_xlfn.XOR(FALSE,FALSE)</f>
        <v>0</v>
      </c>
      <c r="O28" s="13" t="str">
        <f t="shared" ref="O28:O35" si="7">IF(AND(F2&gt;10,F2&lt;20),"10-20","0-9")</f>
        <v>10-20</v>
      </c>
      <c r="R28" s="15" t="s">
        <v>243</v>
      </c>
      <c r="S28" s="8" t="str">
        <f>IFERROR(S27,"Zero Division Error")</f>
        <v>Zero Division Error</v>
      </c>
      <c r="U28" s="15" t="s">
        <v>251</v>
      </c>
      <c r="V28" s="7">
        <v>1</v>
      </c>
    </row>
    <row r="29" spans="1:22" x14ac:dyDescent="0.25">
      <c r="A29" s="2">
        <v>45744</v>
      </c>
      <c r="B29" t="s">
        <v>78</v>
      </c>
      <c r="C29" t="s">
        <v>84</v>
      </c>
      <c r="D29" t="s">
        <v>85</v>
      </c>
      <c r="E29">
        <v>7840</v>
      </c>
      <c r="F29">
        <v>14</v>
      </c>
      <c r="G29" t="s">
        <v>404</v>
      </c>
      <c r="H29" t="s">
        <v>407</v>
      </c>
      <c r="I29">
        <v>437</v>
      </c>
      <c r="L29" s="13" t="b">
        <f>NOT(TRUE)</f>
        <v>0</v>
      </c>
      <c r="M29" s="13" t="b">
        <f>_xlfn.XOR(TRUE,TRUE)</f>
        <v>0</v>
      </c>
      <c r="O29" s="13" t="str">
        <f t="shared" si="7"/>
        <v>10-20</v>
      </c>
    </row>
    <row r="30" spans="1:22" x14ac:dyDescent="0.25">
      <c r="A30" s="2">
        <v>45670</v>
      </c>
      <c r="B30" t="s">
        <v>78</v>
      </c>
      <c r="C30" t="s">
        <v>84</v>
      </c>
      <c r="D30" t="s">
        <v>86</v>
      </c>
      <c r="E30">
        <v>4806</v>
      </c>
      <c r="F30">
        <v>6</v>
      </c>
      <c r="G30" t="s">
        <v>405</v>
      </c>
      <c r="H30" t="s">
        <v>408</v>
      </c>
      <c r="I30">
        <v>511</v>
      </c>
      <c r="L30" s="13"/>
      <c r="M30" s="13" t="b">
        <f>_xlfn.XOR(FALSE,TRUE)</f>
        <v>1</v>
      </c>
      <c r="O30" s="13" t="str">
        <f t="shared" si="7"/>
        <v>0-9</v>
      </c>
      <c r="S30" s="13">
        <v>1</v>
      </c>
      <c r="T30" s="13">
        <v>1</v>
      </c>
      <c r="U30" s="3" t="b">
        <f>_xlfn.XOR(S30,T30)</f>
        <v>0</v>
      </c>
      <c r="V30" t="s">
        <v>252</v>
      </c>
    </row>
    <row r="31" spans="1:22" x14ac:dyDescent="0.25">
      <c r="A31" s="2">
        <v>45716</v>
      </c>
      <c r="B31" t="s">
        <v>78</v>
      </c>
      <c r="C31" t="s">
        <v>84</v>
      </c>
      <c r="D31" t="s">
        <v>88</v>
      </c>
      <c r="E31">
        <v>2598</v>
      </c>
      <c r="F31">
        <v>3</v>
      </c>
      <c r="G31" t="s">
        <v>403</v>
      </c>
      <c r="H31" t="s">
        <v>406</v>
      </c>
      <c r="I31">
        <v>465</v>
      </c>
      <c r="L31" s="13"/>
      <c r="M31" s="13" t="b">
        <f>_xlfn.XOR(TRUE,FALSE)</f>
        <v>1</v>
      </c>
      <c r="O31" s="13" t="str">
        <f t="shared" si="7"/>
        <v>0-9</v>
      </c>
      <c r="S31" s="13">
        <v>1</v>
      </c>
      <c r="T31" s="13">
        <v>0</v>
      </c>
      <c r="U31" s="3" t="b">
        <f t="shared" ref="U31:U33" si="8">_xlfn.XOR(S31,T31)</f>
        <v>1</v>
      </c>
      <c r="V31" t="s">
        <v>253</v>
      </c>
    </row>
    <row r="32" spans="1:22" x14ac:dyDescent="0.25">
      <c r="A32" s="2">
        <v>45762</v>
      </c>
      <c r="B32" t="s">
        <v>73</v>
      </c>
      <c r="C32" t="s">
        <v>81</v>
      </c>
      <c r="D32" t="s">
        <v>88</v>
      </c>
      <c r="E32">
        <v>12920</v>
      </c>
      <c r="F32">
        <v>17</v>
      </c>
      <c r="G32" t="s">
        <v>404</v>
      </c>
      <c r="H32" t="s">
        <v>409</v>
      </c>
      <c r="I32">
        <v>419</v>
      </c>
      <c r="O32" s="13" t="str">
        <f t="shared" si="7"/>
        <v>0-9</v>
      </c>
      <c r="S32" s="13">
        <v>0</v>
      </c>
      <c r="T32" s="13">
        <v>1</v>
      </c>
      <c r="U32" s="3" t="b">
        <f t="shared" si="8"/>
        <v>1</v>
      </c>
      <c r="V32" t="s">
        <v>253</v>
      </c>
    </row>
    <row r="33" spans="1:22" x14ac:dyDescent="0.25">
      <c r="A33" s="2">
        <v>45692</v>
      </c>
      <c r="B33" t="s">
        <v>77</v>
      </c>
      <c r="C33" t="s">
        <v>83</v>
      </c>
      <c r="D33" t="s">
        <v>85</v>
      </c>
      <c r="E33">
        <v>2134</v>
      </c>
      <c r="F33">
        <v>11</v>
      </c>
      <c r="G33" t="s">
        <v>403</v>
      </c>
      <c r="H33" t="s">
        <v>406</v>
      </c>
      <c r="I33">
        <v>489</v>
      </c>
      <c r="O33" s="13" t="str">
        <f t="shared" si="7"/>
        <v>0-9</v>
      </c>
      <c r="S33" s="13">
        <v>0</v>
      </c>
      <c r="T33" s="13">
        <v>0</v>
      </c>
      <c r="U33" s="3" t="b">
        <f t="shared" si="8"/>
        <v>0</v>
      </c>
      <c r="V33" t="s">
        <v>252</v>
      </c>
    </row>
    <row r="34" spans="1:22" x14ac:dyDescent="0.25">
      <c r="A34" s="2">
        <v>45747</v>
      </c>
      <c r="B34" t="s">
        <v>79</v>
      </c>
      <c r="C34" t="s">
        <v>81</v>
      </c>
      <c r="D34" t="s">
        <v>86</v>
      </c>
      <c r="E34">
        <v>311</v>
      </c>
      <c r="F34">
        <v>1</v>
      </c>
      <c r="G34" t="s">
        <v>404</v>
      </c>
      <c r="H34" t="s">
        <v>407</v>
      </c>
      <c r="I34">
        <v>434</v>
      </c>
      <c r="O34" s="13" t="str">
        <f t="shared" si="7"/>
        <v>10-20</v>
      </c>
    </row>
    <row r="35" spans="1:22" x14ac:dyDescent="0.25">
      <c r="A35" s="2">
        <v>45714</v>
      </c>
      <c r="B35" t="s">
        <v>73</v>
      </c>
      <c r="C35" t="s">
        <v>81</v>
      </c>
      <c r="D35" t="s">
        <v>85</v>
      </c>
      <c r="E35">
        <v>2388</v>
      </c>
      <c r="F35">
        <v>3</v>
      </c>
      <c r="G35" t="s">
        <v>403</v>
      </c>
      <c r="H35" t="s">
        <v>406</v>
      </c>
      <c r="I35">
        <v>467</v>
      </c>
      <c r="O35" s="13" t="str">
        <f t="shared" si="7"/>
        <v>10-20</v>
      </c>
    </row>
    <row r="36" spans="1:22" x14ac:dyDescent="0.25">
      <c r="A36" s="2">
        <v>45748</v>
      </c>
      <c r="B36" t="s">
        <v>76</v>
      </c>
      <c r="C36" t="s">
        <v>84</v>
      </c>
      <c r="D36" t="s">
        <v>85</v>
      </c>
      <c r="E36">
        <v>2853</v>
      </c>
      <c r="F36">
        <v>9</v>
      </c>
      <c r="G36" t="s">
        <v>404</v>
      </c>
      <c r="H36" t="s">
        <v>409</v>
      </c>
      <c r="I36">
        <v>433</v>
      </c>
    </row>
    <row r="37" spans="1:22" x14ac:dyDescent="0.25">
      <c r="A37" s="2">
        <v>45677</v>
      </c>
      <c r="B37" t="s">
        <v>80</v>
      </c>
      <c r="C37" t="s">
        <v>82</v>
      </c>
      <c r="D37" t="s">
        <v>88</v>
      </c>
      <c r="E37">
        <v>4382</v>
      </c>
      <c r="F37">
        <v>7</v>
      </c>
      <c r="G37" t="s">
        <v>405</v>
      </c>
      <c r="H37" t="s">
        <v>408</v>
      </c>
      <c r="I37">
        <v>504</v>
      </c>
    </row>
    <row r="38" spans="1:22" x14ac:dyDescent="0.25">
      <c r="A38" s="2">
        <v>45749</v>
      </c>
      <c r="B38" t="s">
        <v>73</v>
      </c>
      <c r="C38" t="s">
        <v>81</v>
      </c>
      <c r="D38" t="s">
        <v>85</v>
      </c>
      <c r="E38">
        <v>2690</v>
      </c>
      <c r="F38">
        <v>5</v>
      </c>
      <c r="G38" t="s">
        <v>404</v>
      </c>
      <c r="H38" t="s">
        <v>409</v>
      </c>
      <c r="I38">
        <v>432</v>
      </c>
    </row>
    <row r="39" spans="1:22" x14ac:dyDescent="0.25">
      <c r="A39" s="2">
        <v>45697</v>
      </c>
      <c r="B39" t="s">
        <v>77</v>
      </c>
      <c r="C39" t="s">
        <v>83</v>
      </c>
      <c r="D39" t="s">
        <v>87</v>
      </c>
      <c r="E39">
        <v>399</v>
      </c>
      <c r="F39">
        <v>3</v>
      </c>
      <c r="G39" t="s">
        <v>403</v>
      </c>
      <c r="H39" t="s">
        <v>406</v>
      </c>
      <c r="I39">
        <v>484</v>
      </c>
      <c r="L39" s="3" t="s">
        <v>254</v>
      </c>
    </row>
    <row r="40" spans="1:22" x14ac:dyDescent="0.25">
      <c r="A40" s="2">
        <v>45670</v>
      </c>
      <c r="B40" t="s">
        <v>74</v>
      </c>
      <c r="C40" t="s">
        <v>82</v>
      </c>
      <c r="D40" t="s">
        <v>85</v>
      </c>
      <c r="E40">
        <v>4459</v>
      </c>
      <c r="F40">
        <v>7</v>
      </c>
      <c r="G40" t="s">
        <v>405</v>
      </c>
      <c r="H40" t="s">
        <v>408</v>
      </c>
      <c r="I40">
        <v>511</v>
      </c>
      <c r="L40" s="23">
        <v>1</v>
      </c>
      <c r="M40" s="23" t="str" cm="1">
        <f t="array" ref="M40">_xlfn.SWITCH(L40,1,"Sun",2,"Mon",3,"Tue",4,"Wed",5,"Thur",6,"Fri",7,"Sat","Non")</f>
        <v>Sun</v>
      </c>
    </row>
    <row r="41" spans="1:22" x14ac:dyDescent="0.25">
      <c r="A41" s="2">
        <v>45704</v>
      </c>
      <c r="B41" t="s">
        <v>74</v>
      </c>
      <c r="C41" t="s">
        <v>82</v>
      </c>
      <c r="D41" t="s">
        <v>85</v>
      </c>
      <c r="E41">
        <v>2274</v>
      </c>
      <c r="F41">
        <v>3</v>
      </c>
      <c r="G41" t="s">
        <v>403</v>
      </c>
      <c r="H41" t="s">
        <v>406</v>
      </c>
      <c r="I41">
        <v>477</v>
      </c>
      <c r="L41" s="23">
        <v>2</v>
      </c>
      <c r="M41" s="23" t="str" cm="1">
        <f t="array" ref="M41">_xlfn.SWITCH(L41,1,"Sun",2,"Mon",3,"Tue",4,"Wed",5,"Thur",6,"Fri",7,"Sat","Non")</f>
        <v>Mon</v>
      </c>
    </row>
    <row r="42" spans="1:22" x14ac:dyDescent="0.25">
      <c r="A42" s="2">
        <v>45725</v>
      </c>
      <c r="B42" t="s">
        <v>77</v>
      </c>
      <c r="C42" t="s">
        <v>83</v>
      </c>
      <c r="D42" t="s">
        <v>87</v>
      </c>
      <c r="E42">
        <v>11552</v>
      </c>
      <c r="F42">
        <v>19</v>
      </c>
      <c r="G42" t="s">
        <v>403</v>
      </c>
      <c r="H42" t="s">
        <v>407</v>
      </c>
      <c r="I42">
        <v>456</v>
      </c>
      <c r="L42" s="23">
        <v>3</v>
      </c>
      <c r="M42" s="23" t="str" cm="1">
        <f t="array" ref="M42">_xlfn.SWITCH(L42,1,"Sun",2,"Mon",3,"Tue",4,"Wed",5,"Thur",6,"Fri",7,"Sat","Non")</f>
        <v>Tue</v>
      </c>
    </row>
    <row r="43" spans="1:22" x14ac:dyDescent="0.25">
      <c r="A43" s="2">
        <v>45749</v>
      </c>
      <c r="B43" t="s">
        <v>73</v>
      </c>
      <c r="C43" t="s">
        <v>81</v>
      </c>
      <c r="D43" t="s">
        <v>87</v>
      </c>
      <c r="E43">
        <v>4540</v>
      </c>
      <c r="F43">
        <v>5</v>
      </c>
      <c r="G43" t="s">
        <v>404</v>
      </c>
      <c r="H43" t="s">
        <v>409</v>
      </c>
      <c r="I43">
        <v>432</v>
      </c>
      <c r="L43" s="23">
        <v>4</v>
      </c>
      <c r="M43" s="23" t="str" cm="1">
        <f t="array" ref="M43">_xlfn.SWITCH(L43,1,"Sun",2,"Mon",3,"Tue",4,"Wed",5,"Thur",6,"Fri",7,"Sat","Non")</f>
        <v>Wed</v>
      </c>
    </row>
    <row r="44" spans="1:22" x14ac:dyDescent="0.25">
      <c r="A44" s="2">
        <v>45695</v>
      </c>
      <c r="B44" t="s">
        <v>77</v>
      </c>
      <c r="C44" t="s">
        <v>83</v>
      </c>
      <c r="D44" t="s">
        <v>85</v>
      </c>
      <c r="E44">
        <v>4216</v>
      </c>
      <c r="F44">
        <v>8</v>
      </c>
      <c r="G44" t="s">
        <v>403</v>
      </c>
      <c r="H44" t="s">
        <v>406</v>
      </c>
      <c r="I44">
        <v>486</v>
      </c>
      <c r="L44" s="23">
        <v>5</v>
      </c>
      <c r="M44" s="23" t="str" cm="1">
        <f t="array" ref="M44">_xlfn.SWITCH(L44,1,"Sun",2,"Mon",3,"Tue",4,"Wed",5,"Thur",6,"Fri",7,"Sat","Non")</f>
        <v>Thur</v>
      </c>
    </row>
    <row r="45" spans="1:22" x14ac:dyDescent="0.25">
      <c r="A45" s="2">
        <v>45705</v>
      </c>
      <c r="B45" t="s">
        <v>75</v>
      </c>
      <c r="C45" t="s">
        <v>83</v>
      </c>
      <c r="D45" t="s">
        <v>85</v>
      </c>
      <c r="E45">
        <v>4140</v>
      </c>
      <c r="F45">
        <v>18</v>
      </c>
      <c r="G45" t="s">
        <v>403</v>
      </c>
      <c r="H45" t="s">
        <v>406</v>
      </c>
      <c r="I45">
        <v>476</v>
      </c>
      <c r="L45" s="23">
        <v>6</v>
      </c>
      <c r="M45" s="23" t="str" cm="1">
        <f t="array" ref="M45">_xlfn.SWITCH(L45,1,"Sun",2,"Mon",3,"Tue",4,"Wed",5,"Thur",6,"Fri",7,"Sat","Non")</f>
        <v>Fri</v>
      </c>
    </row>
    <row r="46" spans="1:22" x14ac:dyDescent="0.25">
      <c r="A46" s="2">
        <v>45728</v>
      </c>
      <c r="B46" t="s">
        <v>74</v>
      </c>
      <c r="C46" t="s">
        <v>82</v>
      </c>
      <c r="D46" t="s">
        <v>88</v>
      </c>
      <c r="E46">
        <v>8610</v>
      </c>
      <c r="F46">
        <v>10</v>
      </c>
      <c r="G46" t="s">
        <v>403</v>
      </c>
      <c r="H46" t="s">
        <v>407</v>
      </c>
      <c r="I46">
        <v>453</v>
      </c>
      <c r="L46" s="23">
        <v>7</v>
      </c>
      <c r="M46" s="23" t="str" cm="1">
        <f t="array" ref="M46">_xlfn.SWITCH(L46,1,"Sun",2,"Mon",3,"Tue",4,"Wed",5,"Thur",6,"Fri",7,"Sat","Non")</f>
        <v>Sat</v>
      </c>
    </row>
    <row r="47" spans="1:22" x14ac:dyDescent="0.25">
      <c r="A47" s="2">
        <v>45719</v>
      </c>
      <c r="B47" t="s">
        <v>74</v>
      </c>
      <c r="C47" t="s">
        <v>82</v>
      </c>
      <c r="D47" t="s">
        <v>88</v>
      </c>
      <c r="E47">
        <v>7200</v>
      </c>
      <c r="F47">
        <v>8</v>
      </c>
      <c r="G47" t="s">
        <v>403</v>
      </c>
      <c r="H47" t="s">
        <v>407</v>
      </c>
      <c r="I47">
        <v>462</v>
      </c>
      <c r="L47" s="23">
        <v>8</v>
      </c>
      <c r="M47" s="23" t="str" cm="1">
        <f t="array" ref="M47">_xlfn.SWITCH(L47,1,"Sun",2,"Mon",3,"Tue",4,"Wed",5,"Thur",6,"Fri",7,"Sat","Non")</f>
        <v>Non</v>
      </c>
    </row>
    <row r="48" spans="1:22" x14ac:dyDescent="0.25">
      <c r="A48" s="2">
        <v>45746</v>
      </c>
      <c r="B48" t="s">
        <v>79</v>
      </c>
      <c r="C48" t="s">
        <v>81</v>
      </c>
      <c r="D48" t="s">
        <v>85</v>
      </c>
      <c r="E48">
        <v>10849</v>
      </c>
      <c r="F48">
        <v>19</v>
      </c>
      <c r="G48" t="s">
        <v>404</v>
      </c>
      <c r="H48" t="s">
        <v>407</v>
      </c>
      <c r="I48">
        <v>435</v>
      </c>
    </row>
    <row r="49" spans="1:9" x14ac:dyDescent="0.25">
      <c r="A49" s="2">
        <v>45660</v>
      </c>
      <c r="B49" t="s">
        <v>78</v>
      </c>
      <c r="C49" t="s">
        <v>84</v>
      </c>
      <c r="D49" t="s">
        <v>85</v>
      </c>
      <c r="E49">
        <v>14256</v>
      </c>
      <c r="F49">
        <v>16</v>
      </c>
      <c r="G49" t="s">
        <v>405</v>
      </c>
      <c r="H49" t="s">
        <v>408</v>
      </c>
      <c r="I49">
        <v>521</v>
      </c>
    </row>
    <row r="50" spans="1:9" x14ac:dyDescent="0.25">
      <c r="A50" s="2">
        <v>45701</v>
      </c>
      <c r="B50" t="s">
        <v>74</v>
      </c>
      <c r="C50" t="s">
        <v>82</v>
      </c>
      <c r="D50" t="s">
        <v>88</v>
      </c>
      <c r="E50">
        <v>1464</v>
      </c>
      <c r="F50">
        <v>2</v>
      </c>
      <c r="G50" t="s">
        <v>403</v>
      </c>
      <c r="H50" t="s">
        <v>406</v>
      </c>
      <c r="I50">
        <v>480</v>
      </c>
    </row>
    <row r="51" spans="1:9" x14ac:dyDescent="0.25">
      <c r="A51" s="2">
        <v>45732</v>
      </c>
      <c r="B51" t="s">
        <v>78</v>
      </c>
      <c r="C51" t="s">
        <v>84</v>
      </c>
      <c r="D51" t="s">
        <v>88</v>
      </c>
      <c r="E51">
        <v>9622</v>
      </c>
      <c r="F51">
        <v>17</v>
      </c>
      <c r="G51" t="s">
        <v>404</v>
      </c>
      <c r="H51" t="s">
        <v>407</v>
      </c>
      <c r="I51">
        <v>449</v>
      </c>
    </row>
    <row r="52" spans="1:9" x14ac:dyDescent="0.25">
      <c r="A52" s="2">
        <v>45707</v>
      </c>
      <c r="B52" t="s">
        <v>75</v>
      </c>
      <c r="C52" t="s">
        <v>83</v>
      </c>
      <c r="D52" t="s">
        <v>87</v>
      </c>
      <c r="E52">
        <v>13420</v>
      </c>
      <c r="F52">
        <v>20</v>
      </c>
      <c r="G52" t="s">
        <v>403</v>
      </c>
      <c r="H52" t="s">
        <v>406</v>
      </c>
      <c r="I52">
        <v>474</v>
      </c>
    </row>
    <row r="53" spans="1:9" x14ac:dyDescent="0.25">
      <c r="A53" s="2">
        <v>45705</v>
      </c>
      <c r="B53" t="s">
        <v>75</v>
      </c>
      <c r="C53" t="s">
        <v>83</v>
      </c>
      <c r="D53" t="s">
        <v>87</v>
      </c>
      <c r="E53">
        <v>3004</v>
      </c>
      <c r="F53">
        <v>4</v>
      </c>
      <c r="G53" t="s">
        <v>403</v>
      </c>
      <c r="H53" t="s">
        <v>406</v>
      </c>
      <c r="I53">
        <v>476</v>
      </c>
    </row>
    <row r="54" spans="1:9" x14ac:dyDescent="0.25">
      <c r="A54" s="2">
        <v>45754</v>
      </c>
      <c r="B54" t="s">
        <v>76</v>
      </c>
      <c r="C54" t="s">
        <v>84</v>
      </c>
      <c r="D54" t="s">
        <v>88</v>
      </c>
      <c r="E54">
        <v>11865</v>
      </c>
      <c r="F54">
        <v>15</v>
      </c>
      <c r="G54" t="s">
        <v>404</v>
      </c>
      <c r="H54" t="s">
        <v>409</v>
      </c>
      <c r="I54">
        <v>427</v>
      </c>
    </row>
    <row r="55" spans="1:9" x14ac:dyDescent="0.25">
      <c r="A55" s="2">
        <v>45719</v>
      </c>
      <c r="B55" t="s">
        <v>80</v>
      </c>
      <c r="C55" t="s">
        <v>82</v>
      </c>
      <c r="D55" t="s">
        <v>87</v>
      </c>
      <c r="E55">
        <v>7395</v>
      </c>
      <c r="F55">
        <v>17</v>
      </c>
      <c r="G55" t="s">
        <v>403</v>
      </c>
      <c r="H55" t="s">
        <v>407</v>
      </c>
      <c r="I55">
        <v>462</v>
      </c>
    </row>
    <row r="56" spans="1:9" x14ac:dyDescent="0.25">
      <c r="A56" s="2">
        <v>45704</v>
      </c>
      <c r="B56" t="s">
        <v>73</v>
      </c>
      <c r="C56" t="s">
        <v>81</v>
      </c>
      <c r="D56" t="s">
        <v>85</v>
      </c>
      <c r="E56">
        <v>12701</v>
      </c>
      <c r="F56">
        <v>13</v>
      </c>
      <c r="G56" t="s">
        <v>403</v>
      </c>
      <c r="H56" t="s">
        <v>406</v>
      </c>
      <c r="I56">
        <v>477</v>
      </c>
    </row>
    <row r="57" spans="1:9" x14ac:dyDescent="0.25">
      <c r="A57" s="2">
        <v>45766</v>
      </c>
      <c r="B57" t="s">
        <v>75</v>
      </c>
      <c r="C57" t="s">
        <v>83</v>
      </c>
      <c r="D57" t="s">
        <v>85</v>
      </c>
      <c r="E57">
        <v>8697</v>
      </c>
      <c r="F57">
        <v>13</v>
      </c>
      <c r="G57" t="s">
        <v>404</v>
      </c>
      <c r="H57" t="s">
        <v>409</v>
      </c>
      <c r="I57">
        <v>415</v>
      </c>
    </row>
    <row r="58" spans="1:9" x14ac:dyDescent="0.25">
      <c r="A58" s="2">
        <v>45693</v>
      </c>
      <c r="B58" t="s">
        <v>76</v>
      </c>
      <c r="C58" t="s">
        <v>84</v>
      </c>
      <c r="D58" t="s">
        <v>88</v>
      </c>
      <c r="E58">
        <v>2728</v>
      </c>
      <c r="F58">
        <v>11</v>
      </c>
      <c r="G58" t="s">
        <v>403</v>
      </c>
      <c r="H58" t="s">
        <v>406</v>
      </c>
      <c r="I58">
        <v>488</v>
      </c>
    </row>
    <row r="59" spans="1:9" x14ac:dyDescent="0.25">
      <c r="A59" s="2">
        <v>45658</v>
      </c>
      <c r="B59" t="s">
        <v>78</v>
      </c>
      <c r="C59" t="s">
        <v>84</v>
      </c>
      <c r="D59" t="s">
        <v>86</v>
      </c>
      <c r="E59">
        <v>7395</v>
      </c>
      <c r="F59">
        <v>17</v>
      </c>
      <c r="G59" t="s">
        <v>405</v>
      </c>
      <c r="H59" t="s">
        <v>408</v>
      </c>
      <c r="I59">
        <v>523</v>
      </c>
    </row>
    <row r="60" spans="1:9" x14ac:dyDescent="0.25">
      <c r="A60" s="2">
        <v>45744</v>
      </c>
      <c r="B60" t="s">
        <v>80</v>
      </c>
      <c r="C60" t="s">
        <v>82</v>
      </c>
      <c r="D60" t="s">
        <v>85</v>
      </c>
      <c r="E60">
        <v>632</v>
      </c>
      <c r="F60">
        <v>1</v>
      </c>
      <c r="G60" t="s">
        <v>404</v>
      </c>
      <c r="H60" t="s">
        <v>407</v>
      </c>
      <c r="I60">
        <v>437</v>
      </c>
    </row>
    <row r="61" spans="1:9" x14ac:dyDescent="0.25">
      <c r="A61" s="2">
        <v>45732</v>
      </c>
      <c r="B61" t="s">
        <v>77</v>
      </c>
      <c r="C61" t="s">
        <v>83</v>
      </c>
      <c r="D61" t="s">
        <v>88</v>
      </c>
      <c r="E61">
        <v>1044</v>
      </c>
      <c r="F61">
        <v>3</v>
      </c>
      <c r="G61" t="s">
        <v>404</v>
      </c>
      <c r="H61" t="s">
        <v>407</v>
      </c>
      <c r="I61">
        <v>449</v>
      </c>
    </row>
    <row r="62" spans="1:9" x14ac:dyDescent="0.25">
      <c r="A62" s="2">
        <v>45713</v>
      </c>
      <c r="B62" t="s">
        <v>75</v>
      </c>
      <c r="C62" t="s">
        <v>83</v>
      </c>
      <c r="D62" t="s">
        <v>85</v>
      </c>
      <c r="E62">
        <v>4779</v>
      </c>
      <c r="F62">
        <v>9</v>
      </c>
      <c r="G62" t="s">
        <v>403</v>
      </c>
      <c r="H62" t="s">
        <v>406</v>
      </c>
      <c r="I62">
        <v>468</v>
      </c>
    </row>
    <row r="63" spans="1:9" x14ac:dyDescent="0.25">
      <c r="A63" s="2">
        <v>45669</v>
      </c>
      <c r="B63" t="s">
        <v>73</v>
      </c>
      <c r="C63" t="s">
        <v>81</v>
      </c>
      <c r="D63" t="s">
        <v>85</v>
      </c>
      <c r="E63">
        <v>636</v>
      </c>
      <c r="F63">
        <v>2</v>
      </c>
      <c r="G63" t="s">
        <v>405</v>
      </c>
      <c r="H63" t="s">
        <v>408</v>
      </c>
      <c r="I63">
        <v>512</v>
      </c>
    </row>
    <row r="64" spans="1:9" x14ac:dyDescent="0.25">
      <c r="A64" s="2">
        <v>45702</v>
      </c>
      <c r="B64" t="s">
        <v>80</v>
      </c>
      <c r="C64" t="s">
        <v>82</v>
      </c>
      <c r="D64" t="s">
        <v>86</v>
      </c>
      <c r="E64">
        <v>7800</v>
      </c>
      <c r="F64">
        <v>10</v>
      </c>
      <c r="G64" t="s">
        <v>403</v>
      </c>
      <c r="H64" t="s">
        <v>406</v>
      </c>
      <c r="I64">
        <v>479</v>
      </c>
    </row>
    <row r="65" spans="1:9" x14ac:dyDescent="0.25">
      <c r="A65" s="2">
        <v>45686</v>
      </c>
      <c r="B65" t="s">
        <v>73</v>
      </c>
      <c r="C65" t="s">
        <v>81</v>
      </c>
      <c r="D65" t="s">
        <v>88</v>
      </c>
      <c r="E65">
        <v>545</v>
      </c>
      <c r="F65">
        <v>5</v>
      </c>
      <c r="G65" t="s">
        <v>403</v>
      </c>
      <c r="H65" t="s">
        <v>408</v>
      </c>
      <c r="I65">
        <v>495</v>
      </c>
    </row>
    <row r="66" spans="1:9" x14ac:dyDescent="0.25">
      <c r="A66" s="2">
        <v>45706</v>
      </c>
      <c r="B66" t="s">
        <v>75</v>
      </c>
      <c r="C66" t="s">
        <v>83</v>
      </c>
      <c r="D66" t="s">
        <v>85</v>
      </c>
      <c r="E66">
        <v>6040</v>
      </c>
      <c r="F66">
        <v>20</v>
      </c>
      <c r="G66" t="s">
        <v>403</v>
      </c>
      <c r="H66" t="s">
        <v>406</v>
      </c>
      <c r="I66">
        <v>475</v>
      </c>
    </row>
    <row r="67" spans="1:9" x14ac:dyDescent="0.25">
      <c r="A67" s="2">
        <v>45724</v>
      </c>
      <c r="B67" t="s">
        <v>74</v>
      </c>
      <c r="C67" t="s">
        <v>82</v>
      </c>
      <c r="D67" t="s">
        <v>88</v>
      </c>
      <c r="E67">
        <v>8136</v>
      </c>
      <c r="F67">
        <v>9</v>
      </c>
      <c r="G67" t="s">
        <v>403</v>
      </c>
      <c r="H67" t="s">
        <v>407</v>
      </c>
      <c r="I67">
        <v>457</v>
      </c>
    </row>
    <row r="68" spans="1:9" x14ac:dyDescent="0.25">
      <c r="A68" s="2">
        <v>45659</v>
      </c>
      <c r="B68" t="s">
        <v>80</v>
      </c>
      <c r="C68" t="s">
        <v>82</v>
      </c>
      <c r="D68" t="s">
        <v>88</v>
      </c>
      <c r="E68">
        <v>3928</v>
      </c>
      <c r="F68">
        <v>4</v>
      </c>
      <c r="G68" t="s">
        <v>405</v>
      </c>
      <c r="H68" t="s">
        <v>408</v>
      </c>
      <c r="I68">
        <v>522</v>
      </c>
    </row>
    <row r="69" spans="1:9" x14ac:dyDescent="0.25">
      <c r="A69" s="2">
        <v>45680</v>
      </c>
      <c r="B69" t="s">
        <v>80</v>
      </c>
      <c r="C69" t="s">
        <v>82</v>
      </c>
      <c r="D69" t="s">
        <v>87</v>
      </c>
      <c r="E69">
        <v>2968</v>
      </c>
      <c r="F69">
        <v>14</v>
      </c>
      <c r="G69" t="s">
        <v>405</v>
      </c>
      <c r="H69" t="s">
        <v>408</v>
      </c>
      <c r="I69">
        <v>501</v>
      </c>
    </row>
    <row r="70" spans="1:9" x14ac:dyDescent="0.25">
      <c r="A70" s="2">
        <v>45689</v>
      </c>
      <c r="B70" t="s">
        <v>74</v>
      </c>
      <c r="C70" t="s">
        <v>82</v>
      </c>
      <c r="D70" t="s">
        <v>87</v>
      </c>
      <c r="E70">
        <v>3955</v>
      </c>
      <c r="F70">
        <v>5</v>
      </c>
      <c r="G70" t="s">
        <v>403</v>
      </c>
      <c r="H70" t="s">
        <v>406</v>
      </c>
      <c r="I70">
        <v>492</v>
      </c>
    </row>
    <row r="71" spans="1:9" x14ac:dyDescent="0.25">
      <c r="A71" s="2">
        <v>45702</v>
      </c>
      <c r="B71" t="s">
        <v>75</v>
      </c>
      <c r="C71" t="s">
        <v>83</v>
      </c>
      <c r="D71" t="s">
        <v>85</v>
      </c>
      <c r="E71">
        <v>4048</v>
      </c>
      <c r="F71">
        <v>8</v>
      </c>
      <c r="G71" t="s">
        <v>403</v>
      </c>
      <c r="H71" t="s">
        <v>406</v>
      </c>
      <c r="I71">
        <v>479</v>
      </c>
    </row>
    <row r="72" spans="1:9" x14ac:dyDescent="0.25">
      <c r="A72" s="2">
        <v>45727</v>
      </c>
      <c r="B72" t="s">
        <v>78</v>
      </c>
      <c r="C72" t="s">
        <v>84</v>
      </c>
      <c r="D72" t="s">
        <v>87</v>
      </c>
      <c r="E72">
        <v>6464</v>
      </c>
      <c r="F72">
        <v>8</v>
      </c>
      <c r="G72" t="s">
        <v>403</v>
      </c>
      <c r="H72" t="s">
        <v>407</v>
      </c>
      <c r="I72">
        <v>454</v>
      </c>
    </row>
    <row r="73" spans="1:9" x14ac:dyDescent="0.25">
      <c r="A73" s="2">
        <v>45710</v>
      </c>
      <c r="B73" t="s">
        <v>73</v>
      </c>
      <c r="C73" t="s">
        <v>81</v>
      </c>
      <c r="D73" t="s">
        <v>88</v>
      </c>
      <c r="E73">
        <v>3042</v>
      </c>
      <c r="F73">
        <v>13</v>
      </c>
      <c r="G73" t="s">
        <v>403</v>
      </c>
      <c r="H73" t="s">
        <v>406</v>
      </c>
      <c r="I73">
        <v>471</v>
      </c>
    </row>
    <row r="74" spans="1:9" x14ac:dyDescent="0.25">
      <c r="A74" s="2">
        <v>45761</v>
      </c>
      <c r="B74" t="s">
        <v>80</v>
      </c>
      <c r="C74" t="s">
        <v>82</v>
      </c>
      <c r="D74" t="s">
        <v>88</v>
      </c>
      <c r="E74">
        <v>9480</v>
      </c>
      <c r="F74">
        <v>15</v>
      </c>
      <c r="G74" t="s">
        <v>404</v>
      </c>
      <c r="H74" t="s">
        <v>409</v>
      </c>
      <c r="I74">
        <v>420</v>
      </c>
    </row>
    <row r="75" spans="1:9" x14ac:dyDescent="0.25">
      <c r="A75" s="2">
        <v>45666</v>
      </c>
      <c r="B75" t="s">
        <v>75</v>
      </c>
      <c r="C75" t="s">
        <v>83</v>
      </c>
      <c r="D75" t="s">
        <v>88</v>
      </c>
      <c r="E75">
        <v>16321</v>
      </c>
      <c r="F75">
        <v>19</v>
      </c>
      <c r="G75" t="s">
        <v>405</v>
      </c>
      <c r="H75" t="s">
        <v>408</v>
      </c>
      <c r="I75">
        <v>515</v>
      </c>
    </row>
    <row r="76" spans="1:9" x14ac:dyDescent="0.25">
      <c r="A76" s="2">
        <v>45756</v>
      </c>
      <c r="B76" t="s">
        <v>74</v>
      </c>
      <c r="C76" t="s">
        <v>82</v>
      </c>
      <c r="D76" t="s">
        <v>87</v>
      </c>
      <c r="E76">
        <v>8436</v>
      </c>
      <c r="F76">
        <v>19</v>
      </c>
      <c r="G76" t="s">
        <v>404</v>
      </c>
      <c r="H76" t="s">
        <v>409</v>
      </c>
      <c r="I76">
        <v>425</v>
      </c>
    </row>
    <row r="77" spans="1:9" x14ac:dyDescent="0.25">
      <c r="A77" s="2">
        <v>45747</v>
      </c>
      <c r="B77" t="s">
        <v>74</v>
      </c>
      <c r="C77" t="s">
        <v>82</v>
      </c>
      <c r="D77" t="s">
        <v>85</v>
      </c>
      <c r="E77">
        <v>2832</v>
      </c>
      <c r="F77">
        <v>8</v>
      </c>
      <c r="G77" t="s">
        <v>404</v>
      </c>
      <c r="H77" t="s">
        <v>407</v>
      </c>
      <c r="I77">
        <v>434</v>
      </c>
    </row>
    <row r="78" spans="1:9" x14ac:dyDescent="0.25">
      <c r="A78" s="2">
        <v>45693</v>
      </c>
      <c r="B78" t="s">
        <v>79</v>
      </c>
      <c r="C78" t="s">
        <v>81</v>
      </c>
      <c r="D78" t="s">
        <v>86</v>
      </c>
      <c r="E78">
        <v>8604</v>
      </c>
      <c r="F78">
        <v>18</v>
      </c>
      <c r="G78" t="s">
        <v>403</v>
      </c>
      <c r="H78" t="s">
        <v>406</v>
      </c>
      <c r="I78">
        <v>488</v>
      </c>
    </row>
    <row r="79" spans="1:9" x14ac:dyDescent="0.25">
      <c r="A79" s="2">
        <v>45665</v>
      </c>
      <c r="B79" t="s">
        <v>73</v>
      </c>
      <c r="C79" t="s">
        <v>81</v>
      </c>
      <c r="D79" t="s">
        <v>86</v>
      </c>
      <c r="E79">
        <v>2805</v>
      </c>
      <c r="F79">
        <v>5</v>
      </c>
      <c r="G79" t="s">
        <v>405</v>
      </c>
      <c r="H79" t="s">
        <v>408</v>
      </c>
      <c r="I79">
        <v>516</v>
      </c>
    </row>
    <row r="80" spans="1:9" x14ac:dyDescent="0.25">
      <c r="A80" s="2">
        <v>45690</v>
      </c>
      <c r="B80" t="s">
        <v>79</v>
      </c>
      <c r="C80" t="s">
        <v>81</v>
      </c>
      <c r="D80" t="s">
        <v>87</v>
      </c>
      <c r="E80">
        <v>5544</v>
      </c>
      <c r="F80">
        <v>7</v>
      </c>
      <c r="G80" t="s">
        <v>403</v>
      </c>
      <c r="H80" t="s">
        <v>406</v>
      </c>
      <c r="I80">
        <v>491</v>
      </c>
    </row>
    <row r="81" spans="1:9" x14ac:dyDescent="0.25">
      <c r="A81" s="2">
        <v>45667</v>
      </c>
      <c r="B81" t="s">
        <v>77</v>
      </c>
      <c r="C81" t="s">
        <v>83</v>
      </c>
      <c r="D81" t="s">
        <v>88</v>
      </c>
      <c r="E81">
        <v>1694</v>
      </c>
      <c r="F81">
        <v>11</v>
      </c>
      <c r="G81" t="s">
        <v>405</v>
      </c>
      <c r="H81" t="s">
        <v>408</v>
      </c>
      <c r="I81">
        <v>514</v>
      </c>
    </row>
    <row r="82" spans="1:9" x14ac:dyDescent="0.25">
      <c r="A82" s="2">
        <v>45665</v>
      </c>
      <c r="B82" t="s">
        <v>75</v>
      </c>
      <c r="C82" t="s">
        <v>83</v>
      </c>
      <c r="D82" t="s">
        <v>86</v>
      </c>
      <c r="E82">
        <v>5760</v>
      </c>
      <c r="F82">
        <v>9</v>
      </c>
      <c r="G82" t="s">
        <v>405</v>
      </c>
      <c r="H82" t="s">
        <v>408</v>
      </c>
      <c r="I82">
        <v>516</v>
      </c>
    </row>
    <row r="83" spans="1:9" x14ac:dyDescent="0.25">
      <c r="A83" s="2">
        <v>45712</v>
      </c>
      <c r="B83" t="s">
        <v>78</v>
      </c>
      <c r="C83" t="s">
        <v>84</v>
      </c>
      <c r="D83" t="s">
        <v>85</v>
      </c>
      <c r="E83">
        <v>8550</v>
      </c>
      <c r="F83">
        <v>10</v>
      </c>
      <c r="G83" t="s">
        <v>403</v>
      </c>
      <c r="H83" t="s">
        <v>406</v>
      </c>
      <c r="I83">
        <v>469</v>
      </c>
    </row>
    <row r="84" spans="1:9" x14ac:dyDescent="0.25">
      <c r="A84" s="2">
        <v>45668</v>
      </c>
      <c r="B84" t="s">
        <v>79</v>
      </c>
      <c r="C84" t="s">
        <v>81</v>
      </c>
      <c r="D84" t="s">
        <v>86</v>
      </c>
      <c r="E84">
        <v>1220</v>
      </c>
      <c r="F84">
        <v>5</v>
      </c>
      <c r="G84" t="s">
        <v>405</v>
      </c>
      <c r="H84" t="s">
        <v>408</v>
      </c>
      <c r="I84">
        <v>513</v>
      </c>
    </row>
    <row r="85" spans="1:9" x14ac:dyDescent="0.25">
      <c r="A85" s="2">
        <v>45777</v>
      </c>
      <c r="B85" t="s">
        <v>77</v>
      </c>
      <c r="C85" t="s">
        <v>83</v>
      </c>
      <c r="D85" t="s">
        <v>88</v>
      </c>
      <c r="E85">
        <v>2490</v>
      </c>
      <c r="F85">
        <v>15</v>
      </c>
      <c r="G85" t="s">
        <v>404</v>
      </c>
      <c r="H85" t="s">
        <v>409</v>
      </c>
      <c r="I85">
        <v>404</v>
      </c>
    </row>
    <row r="86" spans="1:9" x14ac:dyDescent="0.25">
      <c r="A86" s="2">
        <v>45731</v>
      </c>
      <c r="B86" t="s">
        <v>73</v>
      </c>
      <c r="C86" t="s">
        <v>81</v>
      </c>
      <c r="D86" t="s">
        <v>88</v>
      </c>
      <c r="E86">
        <v>3225</v>
      </c>
      <c r="F86">
        <v>15</v>
      </c>
      <c r="G86" t="s">
        <v>404</v>
      </c>
      <c r="H86" t="s">
        <v>407</v>
      </c>
      <c r="I86">
        <v>450</v>
      </c>
    </row>
    <row r="87" spans="1:9" x14ac:dyDescent="0.25">
      <c r="A87" s="2">
        <v>45725</v>
      </c>
      <c r="B87" t="s">
        <v>79</v>
      </c>
      <c r="C87" t="s">
        <v>81</v>
      </c>
      <c r="D87" t="s">
        <v>88</v>
      </c>
      <c r="E87">
        <v>7930</v>
      </c>
      <c r="F87">
        <v>13</v>
      </c>
      <c r="G87" t="s">
        <v>403</v>
      </c>
      <c r="H87" t="s">
        <v>407</v>
      </c>
      <c r="I87">
        <v>456</v>
      </c>
    </row>
    <row r="88" spans="1:9" x14ac:dyDescent="0.25">
      <c r="A88" s="2">
        <v>45756</v>
      </c>
      <c r="B88" t="s">
        <v>78</v>
      </c>
      <c r="C88" t="s">
        <v>84</v>
      </c>
      <c r="D88" t="s">
        <v>85</v>
      </c>
      <c r="E88">
        <v>12920</v>
      </c>
      <c r="F88">
        <v>19</v>
      </c>
      <c r="G88" t="s">
        <v>404</v>
      </c>
      <c r="H88" t="s">
        <v>409</v>
      </c>
      <c r="I88">
        <v>425</v>
      </c>
    </row>
    <row r="89" spans="1:9" x14ac:dyDescent="0.25">
      <c r="A89" s="2">
        <v>45725</v>
      </c>
      <c r="B89" t="s">
        <v>77</v>
      </c>
      <c r="C89" t="s">
        <v>83</v>
      </c>
      <c r="D89" t="s">
        <v>85</v>
      </c>
      <c r="E89">
        <v>4685</v>
      </c>
      <c r="F89">
        <v>5</v>
      </c>
      <c r="G89" t="s">
        <v>403</v>
      </c>
      <c r="H89" t="s">
        <v>407</v>
      </c>
      <c r="I89">
        <v>456</v>
      </c>
    </row>
    <row r="90" spans="1:9" x14ac:dyDescent="0.25">
      <c r="A90" s="2">
        <v>45694</v>
      </c>
      <c r="B90" t="s">
        <v>74</v>
      </c>
      <c r="C90" t="s">
        <v>82</v>
      </c>
      <c r="D90" t="s">
        <v>88</v>
      </c>
      <c r="E90">
        <v>808</v>
      </c>
      <c r="F90">
        <v>8</v>
      </c>
      <c r="G90" t="s">
        <v>403</v>
      </c>
      <c r="H90" t="s">
        <v>406</v>
      </c>
      <c r="I90">
        <v>487</v>
      </c>
    </row>
    <row r="91" spans="1:9" x14ac:dyDescent="0.25">
      <c r="A91" s="2">
        <v>45749</v>
      </c>
      <c r="B91" t="s">
        <v>76</v>
      </c>
      <c r="C91" t="s">
        <v>84</v>
      </c>
      <c r="D91" t="s">
        <v>85</v>
      </c>
      <c r="E91">
        <v>1592</v>
      </c>
      <c r="F91">
        <v>4</v>
      </c>
      <c r="G91" t="s">
        <v>404</v>
      </c>
      <c r="H91" t="s">
        <v>409</v>
      </c>
      <c r="I91">
        <v>432</v>
      </c>
    </row>
    <row r="92" spans="1:9" x14ac:dyDescent="0.25">
      <c r="A92" s="2">
        <v>45778</v>
      </c>
      <c r="B92" t="s">
        <v>75</v>
      </c>
      <c r="C92" t="s">
        <v>83</v>
      </c>
      <c r="D92" t="s">
        <v>86</v>
      </c>
      <c r="E92">
        <v>14860</v>
      </c>
      <c r="F92">
        <v>20</v>
      </c>
      <c r="G92" t="s">
        <v>404</v>
      </c>
      <c r="H92" t="s">
        <v>410</v>
      </c>
      <c r="I92">
        <v>403</v>
      </c>
    </row>
    <row r="93" spans="1:9" x14ac:dyDescent="0.25">
      <c r="A93" s="2">
        <v>45658</v>
      </c>
      <c r="B93" t="s">
        <v>78</v>
      </c>
      <c r="C93" t="s">
        <v>84</v>
      </c>
      <c r="D93" t="s">
        <v>86</v>
      </c>
      <c r="E93">
        <v>8040</v>
      </c>
      <c r="F93">
        <v>10</v>
      </c>
      <c r="G93" t="s">
        <v>405</v>
      </c>
      <c r="H93" t="s">
        <v>408</v>
      </c>
      <c r="I93">
        <v>523</v>
      </c>
    </row>
    <row r="94" spans="1:9" x14ac:dyDescent="0.25">
      <c r="A94" s="2">
        <v>45762</v>
      </c>
      <c r="B94" t="s">
        <v>78</v>
      </c>
      <c r="C94" t="s">
        <v>84</v>
      </c>
      <c r="D94" t="s">
        <v>87</v>
      </c>
      <c r="E94">
        <v>3880</v>
      </c>
      <c r="F94">
        <v>20</v>
      </c>
      <c r="G94" t="s">
        <v>404</v>
      </c>
      <c r="H94" t="s">
        <v>409</v>
      </c>
      <c r="I94">
        <v>419</v>
      </c>
    </row>
    <row r="95" spans="1:9" x14ac:dyDescent="0.25">
      <c r="A95" s="2">
        <v>45765</v>
      </c>
      <c r="B95" t="s">
        <v>75</v>
      </c>
      <c r="C95" t="s">
        <v>83</v>
      </c>
      <c r="D95" t="s">
        <v>87</v>
      </c>
      <c r="E95">
        <v>2522</v>
      </c>
      <c r="F95">
        <v>13</v>
      </c>
      <c r="G95" t="s">
        <v>404</v>
      </c>
      <c r="H95" t="s">
        <v>409</v>
      </c>
      <c r="I95">
        <v>416</v>
      </c>
    </row>
    <row r="96" spans="1:9" x14ac:dyDescent="0.25">
      <c r="A96" s="2">
        <v>45701</v>
      </c>
      <c r="B96" t="s">
        <v>76</v>
      </c>
      <c r="C96" t="s">
        <v>84</v>
      </c>
      <c r="D96" t="s">
        <v>85</v>
      </c>
      <c r="E96">
        <v>852</v>
      </c>
      <c r="F96">
        <v>2</v>
      </c>
      <c r="G96" t="s">
        <v>403</v>
      </c>
      <c r="H96" t="s">
        <v>406</v>
      </c>
      <c r="I96">
        <v>480</v>
      </c>
    </row>
    <row r="97" spans="1:9" x14ac:dyDescent="0.25">
      <c r="A97" s="2">
        <v>45727</v>
      </c>
      <c r="B97" t="s">
        <v>73</v>
      </c>
      <c r="C97" t="s">
        <v>81</v>
      </c>
      <c r="D97" t="s">
        <v>85</v>
      </c>
      <c r="E97">
        <v>1185</v>
      </c>
      <c r="F97">
        <v>5</v>
      </c>
      <c r="G97" t="s">
        <v>403</v>
      </c>
      <c r="H97" t="s">
        <v>407</v>
      </c>
      <c r="I97">
        <v>454</v>
      </c>
    </row>
    <row r="98" spans="1:9" x14ac:dyDescent="0.25">
      <c r="A98" s="2">
        <v>45741</v>
      </c>
      <c r="B98" t="s">
        <v>73</v>
      </c>
      <c r="C98" t="s">
        <v>81</v>
      </c>
      <c r="D98" t="s">
        <v>85</v>
      </c>
      <c r="E98">
        <v>1836</v>
      </c>
      <c r="F98">
        <v>12</v>
      </c>
      <c r="G98" t="s">
        <v>404</v>
      </c>
      <c r="H98" t="s">
        <v>407</v>
      </c>
      <c r="I98">
        <v>440</v>
      </c>
    </row>
    <row r="99" spans="1:9" x14ac:dyDescent="0.25">
      <c r="A99" s="2">
        <v>45679</v>
      </c>
      <c r="B99" t="s">
        <v>80</v>
      </c>
      <c r="C99" t="s">
        <v>82</v>
      </c>
      <c r="D99" t="s">
        <v>87</v>
      </c>
      <c r="E99">
        <v>3835</v>
      </c>
      <c r="F99">
        <v>5</v>
      </c>
      <c r="G99" t="s">
        <v>405</v>
      </c>
      <c r="H99" t="s">
        <v>408</v>
      </c>
      <c r="I99">
        <v>502</v>
      </c>
    </row>
    <row r="100" spans="1:9" x14ac:dyDescent="0.25">
      <c r="A100" s="2">
        <v>45711</v>
      </c>
      <c r="B100" t="s">
        <v>75</v>
      </c>
      <c r="C100" t="s">
        <v>83</v>
      </c>
      <c r="D100" t="s">
        <v>85</v>
      </c>
      <c r="E100">
        <v>2460</v>
      </c>
      <c r="F100">
        <v>12</v>
      </c>
      <c r="G100" t="s">
        <v>403</v>
      </c>
      <c r="H100" t="s">
        <v>406</v>
      </c>
      <c r="I100">
        <v>470</v>
      </c>
    </row>
    <row r="101" spans="1:9" x14ac:dyDescent="0.25">
      <c r="A101" s="2">
        <v>45693</v>
      </c>
      <c r="B101" t="s">
        <v>78</v>
      </c>
      <c r="C101" t="s">
        <v>84</v>
      </c>
      <c r="D101" t="s">
        <v>88</v>
      </c>
      <c r="E101">
        <v>3941</v>
      </c>
      <c r="F101">
        <v>7</v>
      </c>
      <c r="G101" t="s">
        <v>403</v>
      </c>
      <c r="H101" t="s">
        <v>406</v>
      </c>
      <c r="I101">
        <v>488</v>
      </c>
    </row>
  </sheetData>
  <phoneticPr fontId="3" type="noConversion"/>
  <pageMargins left="0.7" right="0.7" top="0.75" bottom="0.75" header="0.3" footer="0.3"/>
  <ignoredErrors>
    <ignoredError sqref="O28:O35" twoDigitTextYear="1"/>
  </ignoredErrors>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4A744-53FC-40E0-9FAE-17ED07E8F141}">
  <sheetPr codeName="Sheet8"/>
  <dimension ref="A1:V101"/>
  <sheetViews>
    <sheetView topLeftCell="A16" workbookViewId="0">
      <selection activeCell="R38" sqref="R38"/>
    </sheetView>
  </sheetViews>
  <sheetFormatPr defaultRowHeight="15" x14ac:dyDescent="0.25"/>
  <cols>
    <col min="1" max="1" width="10.425781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0" max="10" width="17.140625" bestFit="1" customWidth="1"/>
    <col min="12" max="12" width="14" bestFit="1" customWidth="1"/>
    <col min="13" max="13" width="12" bestFit="1" customWidth="1"/>
    <col min="14" max="14" width="14.42578125" customWidth="1"/>
    <col min="15" max="15" width="9.140625" hidden="1" customWidth="1"/>
    <col min="16" max="16" width="14.7109375" customWidth="1"/>
    <col min="17" max="17" width="16" customWidth="1"/>
    <col min="18" max="18" width="16.42578125" bestFit="1" customWidth="1"/>
    <col min="19" max="19" width="16.42578125" customWidth="1"/>
    <col min="20" max="20" width="0.42578125" customWidth="1"/>
    <col min="22" max="22" width="16.42578125" bestFit="1" customWidth="1"/>
  </cols>
  <sheetData>
    <row r="1" spans="1:22" x14ac:dyDescent="0.25">
      <c r="A1" t="s">
        <v>0</v>
      </c>
      <c r="B1" t="s">
        <v>1</v>
      </c>
      <c r="C1" t="s">
        <v>2</v>
      </c>
      <c r="D1" t="s">
        <v>3</v>
      </c>
      <c r="E1" t="s">
        <v>4</v>
      </c>
      <c r="F1" t="s">
        <v>5</v>
      </c>
      <c r="G1" t="s">
        <v>402</v>
      </c>
      <c r="H1" t="s">
        <v>401</v>
      </c>
      <c r="I1" t="s">
        <v>400</v>
      </c>
      <c r="J1" t="s">
        <v>268</v>
      </c>
    </row>
    <row r="2" spans="1:22" x14ac:dyDescent="0.25">
      <c r="A2" s="2">
        <v>45697</v>
      </c>
      <c r="B2" t="s">
        <v>73</v>
      </c>
      <c r="C2" t="s">
        <v>81</v>
      </c>
      <c r="D2" t="s">
        <v>85</v>
      </c>
      <c r="E2">
        <v>4050</v>
      </c>
      <c r="F2">
        <v>18</v>
      </c>
      <c r="G2" t="s">
        <v>403</v>
      </c>
      <c r="H2" t="s">
        <v>406</v>
      </c>
      <c r="I2">
        <v>484</v>
      </c>
      <c r="J2" cm="1">
        <f t="array" ref="J2">_xlfn.SWITCH(Table1__7[[#This Row],[Region]],"North",1,"South",2,"East",3,4)</f>
        <v>3</v>
      </c>
    </row>
    <row r="3" spans="1:22" x14ac:dyDescent="0.25">
      <c r="A3" s="2">
        <v>45734</v>
      </c>
      <c r="B3" t="s">
        <v>74</v>
      </c>
      <c r="C3" t="s">
        <v>82</v>
      </c>
      <c r="D3" t="s">
        <v>86</v>
      </c>
      <c r="E3">
        <v>7875</v>
      </c>
      <c r="F3">
        <v>15</v>
      </c>
      <c r="G3" t="s">
        <v>404</v>
      </c>
      <c r="H3" t="s">
        <v>407</v>
      </c>
      <c r="I3">
        <v>447</v>
      </c>
      <c r="J3" cm="1">
        <f t="array" ref="J3">_xlfn.SWITCH(Table1__7[[#This Row],[Region]],"North",1,"South",2,"East",3,4)</f>
        <v>2</v>
      </c>
    </row>
    <row r="4" spans="1:22" x14ac:dyDescent="0.25">
      <c r="A4" s="2">
        <v>45676</v>
      </c>
      <c r="B4" t="s">
        <v>75</v>
      </c>
      <c r="C4" t="s">
        <v>83</v>
      </c>
      <c r="D4" t="s">
        <v>85</v>
      </c>
      <c r="E4">
        <v>5832</v>
      </c>
      <c r="F4">
        <v>6</v>
      </c>
      <c r="G4" t="s">
        <v>405</v>
      </c>
      <c r="H4" t="s">
        <v>408</v>
      </c>
      <c r="I4">
        <v>505</v>
      </c>
      <c r="J4" cm="1">
        <f t="array" ref="J4">_xlfn.SWITCH(Table1__7[[#This Row],[Region]],"North",1,"South",2,"East",3,4)</f>
        <v>3</v>
      </c>
    </row>
    <row r="5" spans="1:22" x14ac:dyDescent="0.25">
      <c r="A5" s="2">
        <v>45694</v>
      </c>
      <c r="B5" t="s">
        <v>76</v>
      </c>
      <c r="C5" t="s">
        <v>84</v>
      </c>
      <c r="D5" t="s">
        <v>85</v>
      </c>
      <c r="E5">
        <v>676</v>
      </c>
      <c r="F5">
        <v>4</v>
      </c>
      <c r="G5" t="s">
        <v>403</v>
      </c>
      <c r="H5" t="s">
        <v>406</v>
      </c>
      <c r="I5">
        <v>487</v>
      </c>
      <c r="J5" cm="1">
        <f t="array" ref="J5">_xlfn.SWITCH(Table1__7[[#This Row],[Region]],"North",1,"South",2,"East",3,4)</f>
        <v>3</v>
      </c>
      <c r="T5" s="28"/>
    </row>
    <row r="6" spans="1:22" x14ac:dyDescent="0.25">
      <c r="A6" s="2">
        <v>45693</v>
      </c>
      <c r="B6" t="s">
        <v>74</v>
      </c>
      <c r="C6" t="s">
        <v>82</v>
      </c>
      <c r="D6" t="s">
        <v>87</v>
      </c>
      <c r="E6">
        <v>6560</v>
      </c>
      <c r="F6">
        <v>10</v>
      </c>
      <c r="G6" t="s">
        <v>403</v>
      </c>
      <c r="H6" t="s">
        <v>406</v>
      </c>
      <c r="I6">
        <v>488</v>
      </c>
      <c r="J6" cm="1">
        <f t="array" ref="J6">_xlfn.SWITCH(Table1__7[[#This Row],[Region]],"North",1,"South",2,"East",3,4)</f>
        <v>4</v>
      </c>
      <c r="V6">
        <v>5000</v>
      </c>
    </row>
    <row r="7" spans="1:22" x14ac:dyDescent="0.25">
      <c r="A7" s="2">
        <v>45775</v>
      </c>
      <c r="B7" t="s">
        <v>76</v>
      </c>
      <c r="C7" t="s">
        <v>84</v>
      </c>
      <c r="D7" t="s">
        <v>87</v>
      </c>
      <c r="E7">
        <v>1905</v>
      </c>
      <c r="F7">
        <v>5</v>
      </c>
      <c r="G7" t="s">
        <v>404</v>
      </c>
      <c r="H7" t="s">
        <v>409</v>
      </c>
      <c r="I7">
        <v>406</v>
      </c>
      <c r="J7" cm="1">
        <f t="array" ref="J7">_xlfn.SWITCH(Table1__7[[#This Row],[Region]],"North",1,"South",2,"East",3,4)</f>
        <v>4</v>
      </c>
    </row>
    <row r="8" spans="1:22" ht="19.5" thickBot="1" x14ac:dyDescent="0.35">
      <c r="A8" s="2">
        <v>45720</v>
      </c>
      <c r="B8" t="s">
        <v>77</v>
      </c>
      <c r="C8" t="s">
        <v>83</v>
      </c>
      <c r="D8" t="s">
        <v>86</v>
      </c>
      <c r="E8">
        <v>6948</v>
      </c>
      <c r="F8">
        <v>18</v>
      </c>
      <c r="G8" t="s">
        <v>403</v>
      </c>
      <c r="H8" t="s">
        <v>407</v>
      </c>
      <c r="I8">
        <v>461</v>
      </c>
      <c r="J8" cm="1">
        <f t="array" ref="J8">_xlfn.SWITCH(Table1__7[[#This Row],[Region]],"North",1,"South",2,"East",3,4)</f>
        <v>2</v>
      </c>
      <c r="L8" s="24" t="s">
        <v>255</v>
      </c>
      <c r="N8" s="24" t="s">
        <v>256</v>
      </c>
      <c r="P8" s="24" t="s">
        <v>257</v>
      </c>
      <c r="R8" s="24" t="s">
        <v>258</v>
      </c>
      <c r="T8" s="24" t="s">
        <v>263</v>
      </c>
    </row>
    <row r="9" spans="1:22" ht="19.5" thickTop="1" x14ac:dyDescent="0.3">
      <c r="A9" s="2">
        <v>45764</v>
      </c>
      <c r="B9" t="s">
        <v>77</v>
      </c>
      <c r="C9" t="s">
        <v>83</v>
      </c>
      <c r="D9" t="s">
        <v>85</v>
      </c>
      <c r="E9">
        <v>1944</v>
      </c>
      <c r="F9">
        <v>18</v>
      </c>
      <c r="G9" t="s">
        <v>404</v>
      </c>
      <c r="H9" t="s">
        <v>409</v>
      </c>
      <c r="I9">
        <v>417</v>
      </c>
      <c r="J9" cm="1">
        <f t="array" ref="J9">_xlfn.SWITCH(Table1__7[[#This Row],[Region]],"North",1,"South",2,"East",3,4)</f>
        <v>3</v>
      </c>
      <c r="L9" s="26">
        <f>COUNT(E:E)</f>
        <v>100</v>
      </c>
      <c r="N9" s="26">
        <f>COUNTA(D:D)</f>
        <v>101</v>
      </c>
      <c r="P9" s="26">
        <f>COUNTBLANK(Table1__7[Quantity Sold])</f>
        <v>0</v>
      </c>
      <c r="Q9" s="27" t="s">
        <v>85</v>
      </c>
      <c r="R9" s="26">
        <f>COUNTIFS(E:E,"&gt;5000",D:D,Q9)</f>
        <v>12</v>
      </c>
      <c r="T9" s="26">
        <f>COUNTIF(E:E,"&gt;5000")</f>
        <v>43</v>
      </c>
    </row>
    <row r="10" spans="1:22" ht="18.75" x14ac:dyDescent="0.3">
      <c r="A10" s="2">
        <v>45735</v>
      </c>
      <c r="B10" t="s">
        <v>78</v>
      </c>
      <c r="C10" t="s">
        <v>84</v>
      </c>
      <c r="D10" t="s">
        <v>85</v>
      </c>
      <c r="E10">
        <v>7776</v>
      </c>
      <c r="F10">
        <v>8</v>
      </c>
      <c r="G10" t="s">
        <v>404</v>
      </c>
      <c r="H10" t="s">
        <v>407</v>
      </c>
      <c r="I10">
        <v>446</v>
      </c>
      <c r="J10" cm="1">
        <f t="array" ref="J10">_xlfn.SWITCH(Table1__7[[#This Row],[Region]],"North",1,"South",2,"East",3,4)</f>
        <v>3</v>
      </c>
      <c r="Q10" s="27" t="s">
        <v>87</v>
      </c>
      <c r="R10" s="26">
        <f>COUNTIFS(E:E,"&gt;5000",D:D,Q10)</f>
        <v>9</v>
      </c>
    </row>
    <row r="11" spans="1:22" ht="18.75" x14ac:dyDescent="0.3">
      <c r="A11" s="2">
        <v>45778</v>
      </c>
      <c r="B11" t="s">
        <v>74</v>
      </c>
      <c r="C11" t="s">
        <v>82</v>
      </c>
      <c r="D11" t="s">
        <v>86</v>
      </c>
      <c r="E11">
        <v>2790</v>
      </c>
      <c r="F11">
        <v>18</v>
      </c>
      <c r="G11" t="s">
        <v>404</v>
      </c>
      <c r="H11" t="s">
        <v>410</v>
      </c>
      <c r="I11">
        <v>403</v>
      </c>
      <c r="J11" cm="1">
        <f t="array" ref="J11">_xlfn.SWITCH(Table1__7[[#This Row],[Region]],"North",1,"South",2,"East",3,4)</f>
        <v>2</v>
      </c>
      <c r="Q11" s="27" t="s">
        <v>88</v>
      </c>
      <c r="R11" s="26">
        <f>COUNTIFS(E:E,"&gt;5000",D:D,Q11)</f>
        <v>10</v>
      </c>
    </row>
    <row r="12" spans="1:22" ht="19.5" thickBot="1" x14ac:dyDescent="0.35">
      <c r="A12" s="2">
        <v>45693</v>
      </c>
      <c r="B12" t="s">
        <v>75</v>
      </c>
      <c r="C12" t="s">
        <v>83</v>
      </c>
      <c r="D12" t="s">
        <v>86</v>
      </c>
      <c r="E12">
        <v>7995</v>
      </c>
      <c r="F12">
        <v>13</v>
      </c>
      <c r="G12" t="s">
        <v>403</v>
      </c>
      <c r="H12" t="s">
        <v>406</v>
      </c>
      <c r="I12">
        <v>488</v>
      </c>
      <c r="J12" cm="1">
        <f t="array" ref="J12">_xlfn.SWITCH(Table1__7[[#This Row],[Region]],"North",1,"South",2,"East",3,4)</f>
        <v>2</v>
      </c>
      <c r="L12" s="24" t="s">
        <v>261</v>
      </c>
      <c r="Q12" s="27" t="s">
        <v>86</v>
      </c>
      <c r="R12" s="26">
        <f>COUNTIFS(E:E,"&gt;5000",D:D,Q12)</f>
        <v>12</v>
      </c>
    </row>
    <row r="13" spans="1:22" ht="19.5" thickTop="1" x14ac:dyDescent="0.3">
      <c r="A13" s="2">
        <v>45677</v>
      </c>
      <c r="B13" t="s">
        <v>75</v>
      </c>
      <c r="C13" t="s">
        <v>83</v>
      </c>
      <c r="D13" t="s">
        <v>85</v>
      </c>
      <c r="E13">
        <v>9984</v>
      </c>
      <c r="F13">
        <v>13</v>
      </c>
      <c r="G13" t="s">
        <v>405</v>
      </c>
      <c r="H13" t="s">
        <v>408</v>
      </c>
      <c r="I13">
        <v>504</v>
      </c>
      <c r="J13" cm="1">
        <f t="array" ref="J13">_xlfn.SWITCH(Table1__7[[#This Row],[Region]],"North",1,"South",2,"East",3,4)</f>
        <v>3</v>
      </c>
      <c r="L13" s="25">
        <f>CORREL(F:F,E:E)</f>
        <v>0.66042824393439248</v>
      </c>
    </row>
    <row r="14" spans="1:22" x14ac:dyDescent="0.25">
      <c r="A14" s="2">
        <v>45739</v>
      </c>
      <c r="B14" t="s">
        <v>75</v>
      </c>
      <c r="C14" t="s">
        <v>83</v>
      </c>
      <c r="D14" t="s">
        <v>87</v>
      </c>
      <c r="E14">
        <v>7683</v>
      </c>
      <c r="F14">
        <v>13</v>
      </c>
      <c r="G14" t="s">
        <v>404</v>
      </c>
      <c r="H14" t="s">
        <v>407</v>
      </c>
      <c r="I14">
        <v>442</v>
      </c>
      <c r="J14" cm="1">
        <f t="array" ref="J14">_xlfn.SWITCH(Table1__7[[#This Row],[Region]],"North",1,"South",2,"East",3,4)</f>
        <v>4</v>
      </c>
    </row>
    <row r="15" spans="1:22" x14ac:dyDescent="0.25">
      <c r="A15" s="2">
        <v>45699</v>
      </c>
      <c r="B15" t="s">
        <v>76</v>
      </c>
      <c r="C15" t="s">
        <v>84</v>
      </c>
      <c r="D15" t="s">
        <v>88</v>
      </c>
      <c r="E15">
        <v>6885</v>
      </c>
      <c r="F15">
        <v>9</v>
      </c>
      <c r="G15" t="s">
        <v>403</v>
      </c>
      <c r="H15" t="s">
        <v>406</v>
      </c>
      <c r="I15">
        <v>482</v>
      </c>
      <c r="J15" cm="1">
        <f t="array" ref="J15">_xlfn.SWITCH(Table1__7[[#This Row],[Region]],"North",1,"South",2,"East",3,4)</f>
        <v>1</v>
      </c>
    </row>
    <row r="16" spans="1:22" x14ac:dyDescent="0.25">
      <c r="A16" s="2">
        <v>45767</v>
      </c>
      <c r="B16" t="s">
        <v>79</v>
      </c>
      <c r="C16" t="s">
        <v>81</v>
      </c>
      <c r="D16" t="s">
        <v>87</v>
      </c>
      <c r="E16">
        <v>229</v>
      </c>
      <c r="F16">
        <v>1</v>
      </c>
      <c r="G16" t="s">
        <v>404</v>
      </c>
      <c r="H16" t="s">
        <v>409</v>
      </c>
      <c r="I16">
        <v>414</v>
      </c>
      <c r="J16" cm="1">
        <f t="array" ref="J16">_xlfn.SWITCH(Table1__7[[#This Row],[Region]],"North",1,"South",2,"East",3,4)</f>
        <v>4</v>
      </c>
    </row>
    <row r="17" spans="1:22" x14ac:dyDescent="0.25">
      <c r="A17" s="2">
        <v>45735</v>
      </c>
      <c r="B17" t="s">
        <v>80</v>
      </c>
      <c r="C17" t="s">
        <v>82</v>
      </c>
      <c r="D17" t="s">
        <v>87</v>
      </c>
      <c r="E17">
        <v>6104</v>
      </c>
      <c r="F17">
        <v>7</v>
      </c>
      <c r="G17" t="s">
        <v>404</v>
      </c>
      <c r="H17" t="s">
        <v>407</v>
      </c>
      <c r="I17">
        <v>446</v>
      </c>
      <c r="J17" cm="1">
        <f t="array" ref="J17">_xlfn.SWITCH(Table1__7[[#This Row],[Region]],"North",1,"South",2,"East",3,4)</f>
        <v>4</v>
      </c>
    </row>
    <row r="18" spans="1:22" x14ac:dyDescent="0.25">
      <c r="A18" s="2">
        <v>45722</v>
      </c>
      <c r="B18" t="s">
        <v>78</v>
      </c>
      <c r="C18" t="s">
        <v>84</v>
      </c>
      <c r="D18" t="s">
        <v>85</v>
      </c>
      <c r="E18">
        <v>558</v>
      </c>
      <c r="F18">
        <v>1</v>
      </c>
      <c r="G18" t="s">
        <v>403</v>
      </c>
      <c r="H18" t="s">
        <v>407</v>
      </c>
      <c r="I18">
        <v>459</v>
      </c>
      <c r="J18" cm="1">
        <f t="array" ref="J18">_xlfn.SWITCH(Table1__7[[#This Row],[Region]],"North",1,"South",2,"East",3,4)</f>
        <v>3</v>
      </c>
    </row>
    <row r="19" spans="1:22" x14ac:dyDescent="0.25">
      <c r="A19" s="2">
        <v>45741</v>
      </c>
      <c r="B19" t="s">
        <v>76</v>
      </c>
      <c r="C19" t="s">
        <v>84</v>
      </c>
      <c r="D19" t="s">
        <v>85</v>
      </c>
      <c r="E19">
        <v>6413</v>
      </c>
      <c r="F19">
        <v>11</v>
      </c>
      <c r="G19" t="s">
        <v>404</v>
      </c>
      <c r="H19" t="s">
        <v>407</v>
      </c>
      <c r="I19">
        <v>440</v>
      </c>
      <c r="J19" cm="1">
        <f t="array" ref="J19">_xlfn.SWITCH(Table1__7[[#This Row],[Region]],"North",1,"South",2,"East",3,4)</f>
        <v>3</v>
      </c>
    </row>
    <row r="20" spans="1:22" x14ac:dyDescent="0.25">
      <c r="A20" s="2">
        <v>45732</v>
      </c>
      <c r="B20" t="s">
        <v>74</v>
      </c>
      <c r="C20" t="s">
        <v>82</v>
      </c>
      <c r="D20" t="s">
        <v>88</v>
      </c>
      <c r="E20">
        <v>1017</v>
      </c>
      <c r="F20">
        <v>9</v>
      </c>
      <c r="G20" t="s">
        <v>404</v>
      </c>
      <c r="H20" t="s">
        <v>407</v>
      </c>
      <c r="I20">
        <v>449</v>
      </c>
      <c r="J20" cm="1">
        <f t="array" ref="J20">_xlfn.SWITCH(Table1__7[[#This Row],[Region]],"North",1,"South",2,"East",3,4)</f>
        <v>1</v>
      </c>
    </row>
    <row r="21" spans="1:22" x14ac:dyDescent="0.25">
      <c r="A21" s="2">
        <v>45721</v>
      </c>
      <c r="B21" t="s">
        <v>80</v>
      </c>
      <c r="C21" t="s">
        <v>82</v>
      </c>
      <c r="D21" t="s">
        <v>86</v>
      </c>
      <c r="E21">
        <v>9310</v>
      </c>
      <c r="F21">
        <v>10</v>
      </c>
      <c r="G21" t="s">
        <v>403</v>
      </c>
      <c r="H21" t="s">
        <v>407</v>
      </c>
      <c r="I21">
        <v>460</v>
      </c>
      <c r="J21" cm="1">
        <f t="array" ref="J21">_xlfn.SWITCH(Table1__7[[#This Row],[Region]],"North",1,"South",2,"East",3,4)</f>
        <v>2</v>
      </c>
    </row>
    <row r="22" spans="1:22" x14ac:dyDescent="0.25">
      <c r="A22" s="2">
        <v>45703</v>
      </c>
      <c r="B22" t="s">
        <v>75</v>
      </c>
      <c r="C22" t="s">
        <v>83</v>
      </c>
      <c r="D22" t="s">
        <v>87</v>
      </c>
      <c r="E22">
        <v>2560</v>
      </c>
      <c r="F22">
        <v>4</v>
      </c>
      <c r="G22" t="s">
        <v>403</v>
      </c>
      <c r="H22" t="s">
        <v>406</v>
      </c>
      <c r="I22">
        <v>478</v>
      </c>
      <c r="J22" cm="1">
        <f t="array" ref="J22">_xlfn.SWITCH(Table1__7[[#This Row],[Region]],"North",1,"South",2,"East",3,4)</f>
        <v>4</v>
      </c>
    </row>
    <row r="23" spans="1:22" x14ac:dyDescent="0.25">
      <c r="A23" s="2">
        <v>45681</v>
      </c>
      <c r="B23" t="s">
        <v>76</v>
      </c>
      <c r="C23" t="s">
        <v>84</v>
      </c>
      <c r="D23" t="s">
        <v>86</v>
      </c>
      <c r="E23">
        <v>6855</v>
      </c>
      <c r="F23">
        <v>15</v>
      </c>
      <c r="G23" t="s">
        <v>403</v>
      </c>
      <c r="H23" t="s">
        <v>408</v>
      </c>
      <c r="I23">
        <v>500</v>
      </c>
      <c r="J23" cm="1">
        <f t="array" ref="J23">_xlfn.SWITCH(Table1__7[[#This Row],[Region]],"North",1,"South",2,"East",3,4)</f>
        <v>2</v>
      </c>
    </row>
    <row r="24" spans="1:22" ht="19.5" thickBot="1" x14ac:dyDescent="0.35">
      <c r="A24" s="2">
        <v>45663</v>
      </c>
      <c r="B24" t="s">
        <v>78</v>
      </c>
      <c r="C24" t="s">
        <v>84</v>
      </c>
      <c r="D24" t="s">
        <v>86</v>
      </c>
      <c r="E24">
        <v>7398</v>
      </c>
      <c r="F24">
        <v>9</v>
      </c>
      <c r="G24" t="s">
        <v>405</v>
      </c>
      <c r="H24" t="s">
        <v>408</v>
      </c>
      <c r="I24">
        <v>518</v>
      </c>
      <c r="J24" cm="1">
        <f t="array" ref="J24">_xlfn.SWITCH(Table1__7[[#This Row],[Region]],"North",1,"South",2,"East",3,4)</f>
        <v>2</v>
      </c>
      <c r="L24" s="24" t="s">
        <v>259</v>
      </c>
      <c r="N24" s="24" t="s">
        <v>97</v>
      </c>
      <c r="P24" s="24" t="s">
        <v>260</v>
      </c>
      <c r="T24" s="24" t="s">
        <v>262</v>
      </c>
      <c r="V24" s="24" t="s">
        <v>264</v>
      </c>
    </row>
    <row r="25" spans="1:22" ht="19.5" thickTop="1" x14ac:dyDescent="0.3">
      <c r="A25" s="2">
        <v>45660</v>
      </c>
      <c r="B25" t="s">
        <v>74</v>
      </c>
      <c r="C25" t="s">
        <v>82</v>
      </c>
      <c r="D25" t="s">
        <v>85</v>
      </c>
      <c r="E25">
        <v>2094</v>
      </c>
      <c r="F25">
        <v>6</v>
      </c>
      <c r="G25" t="s">
        <v>405</v>
      </c>
      <c r="H25" t="s">
        <v>408</v>
      </c>
      <c r="I25">
        <v>521</v>
      </c>
      <c r="J25" cm="1">
        <f t="array" ref="J25">_xlfn.SWITCH(Table1__7[[#This Row],[Region]],"North",1,"South",2,"East",3,4)</f>
        <v>3</v>
      </c>
      <c r="K25" s="27" t="s">
        <v>205</v>
      </c>
      <c r="L25" s="26">
        <f>AVERAGE(E:E)</f>
        <v>5281.2</v>
      </c>
      <c r="M25" s="3"/>
      <c r="N25" s="26">
        <f>MEDIAN(E:E)</f>
        <v>4299</v>
      </c>
      <c r="O25" s="3"/>
      <c r="P25" s="26">
        <f>MODE(E:E)</f>
        <v>12920</v>
      </c>
      <c r="S25" s="27" t="s">
        <v>267</v>
      </c>
      <c r="T25" s="26">
        <f>_xlfn.STDEV.P(E:E)</f>
        <v>3742.0129850122112</v>
      </c>
      <c r="U25" s="3"/>
      <c r="V25" s="26">
        <f>_xlfn.VAR.P(E:E)</f>
        <v>14002661.18</v>
      </c>
    </row>
    <row r="26" spans="1:22" ht="18.75" x14ac:dyDescent="0.3">
      <c r="A26" s="2">
        <v>45701</v>
      </c>
      <c r="B26" t="s">
        <v>74</v>
      </c>
      <c r="C26" t="s">
        <v>82</v>
      </c>
      <c r="D26" t="s">
        <v>88</v>
      </c>
      <c r="E26">
        <v>3996</v>
      </c>
      <c r="F26">
        <v>4</v>
      </c>
      <c r="G26" t="s">
        <v>403</v>
      </c>
      <c r="H26" t="s">
        <v>406</v>
      </c>
      <c r="I26">
        <v>480</v>
      </c>
      <c r="J26" cm="1">
        <f t="array" ref="J26">_xlfn.SWITCH(Table1__7[[#This Row],[Region]],"North",1,"South",2,"East",3,4)</f>
        <v>1</v>
      </c>
      <c r="K26" s="27" t="s">
        <v>265</v>
      </c>
      <c r="L26" s="26">
        <f>AVERAGE(F:F)</f>
        <v>9.9700000000000006</v>
      </c>
      <c r="M26" s="3"/>
      <c r="N26" s="26">
        <f>MEDIAN(F:F)</f>
        <v>9</v>
      </c>
      <c r="O26" s="3"/>
      <c r="P26" s="26">
        <f>MODE(F:F)</f>
        <v>5</v>
      </c>
      <c r="S26" s="27" t="s">
        <v>266</v>
      </c>
      <c r="T26" s="26">
        <f>_xlfn.STDEV.S(E:E)</f>
        <v>3760.8645551282757</v>
      </c>
      <c r="U26" s="3"/>
      <c r="V26" s="26">
        <f>_xlfn.VAR.S(E:E)</f>
        <v>14144102.202020202</v>
      </c>
    </row>
    <row r="27" spans="1:22" x14ac:dyDescent="0.25">
      <c r="A27" s="2">
        <v>45679</v>
      </c>
      <c r="B27" t="s">
        <v>78</v>
      </c>
      <c r="C27" t="s">
        <v>84</v>
      </c>
      <c r="D27" t="s">
        <v>87</v>
      </c>
      <c r="E27">
        <v>4884</v>
      </c>
      <c r="F27">
        <v>6</v>
      </c>
      <c r="G27" t="s">
        <v>405</v>
      </c>
      <c r="H27" t="s">
        <v>408</v>
      </c>
      <c r="I27">
        <v>502</v>
      </c>
      <c r="J27" cm="1">
        <f t="array" ref="J27">_xlfn.SWITCH(Table1__7[[#This Row],[Region]],"North",1,"South",2,"East",3,4)</f>
        <v>4</v>
      </c>
    </row>
    <row r="28" spans="1:22" x14ac:dyDescent="0.25">
      <c r="A28" s="2">
        <v>45693</v>
      </c>
      <c r="B28" t="s">
        <v>77</v>
      </c>
      <c r="C28" t="s">
        <v>83</v>
      </c>
      <c r="D28" t="s">
        <v>88</v>
      </c>
      <c r="E28">
        <v>1767</v>
      </c>
      <c r="F28">
        <v>3</v>
      </c>
      <c r="G28" t="s">
        <v>403</v>
      </c>
      <c r="H28" t="s">
        <v>406</v>
      </c>
      <c r="I28">
        <v>488</v>
      </c>
      <c r="J28" cm="1">
        <f t="array" ref="J28">_xlfn.SWITCH(Table1__7[[#This Row],[Region]],"North",1,"South",2,"East",3,4)</f>
        <v>1</v>
      </c>
    </row>
    <row r="29" spans="1:22" x14ac:dyDescent="0.25">
      <c r="A29" s="2">
        <v>45744</v>
      </c>
      <c r="B29" t="s">
        <v>78</v>
      </c>
      <c r="C29" t="s">
        <v>84</v>
      </c>
      <c r="D29" t="s">
        <v>85</v>
      </c>
      <c r="E29">
        <v>7840</v>
      </c>
      <c r="F29">
        <v>14</v>
      </c>
      <c r="G29" t="s">
        <v>404</v>
      </c>
      <c r="H29" t="s">
        <v>407</v>
      </c>
      <c r="I29">
        <v>437</v>
      </c>
      <c r="J29" cm="1">
        <f t="array" ref="J29">_xlfn.SWITCH(Table1__7[[#This Row],[Region]],"North",1,"South",2,"East",3,4)</f>
        <v>3</v>
      </c>
    </row>
    <row r="30" spans="1:22" x14ac:dyDescent="0.25">
      <c r="A30" s="2">
        <v>45670</v>
      </c>
      <c r="B30" t="s">
        <v>78</v>
      </c>
      <c r="C30" t="s">
        <v>84</v>
      </c>
      <c r="D30" t="s">
        <v>86</v>
      </c>
      <c r="E30">
        <v>4806</v>
      </c>
      <c r="F30">
        <v>6</v>
      </c>
      <c r="G30" t="s">
        <v>405</v>
      </c>
      <c r="H30" t="s">
        <v>408</v>
      </c>
      <c r="I30">
        <v>511</v>
      </c>
      <c r="J30" cm="1">
        <f t="array" ref="J30">_xlfn.SWITCH(Table1__7[[#This Row],[Region]],"North",1,"South",2,"East",3,4)</f>
        <v>2</v>
      </c>
    </row>
    <row r="31" spans="1:22" x14ac:dyDescent="0.25">
      <c r="A31" s="2">
        <v>45716</v>
      </c>
      <c r="B31" t="s">
        <v>78</v>
      </c>
      <c r="C31" t="s">
        <v>84</v>
      </c>
      <c r="D31" t="s">
        <v>88</v>
      </c>
      <c r="E31">
        <v>2598</v>
      </c>
      <c r="F31">
        <v>3</v>
      </c>
      <c r="G31" t="s">
        <v>403</v>
      </c>
      <c r="H31" t="s">
        <v>406</v>
      </c>
      <c r="I31">
        <v>465</v>
      </c>
      <c r="J31" cm="1">
        <f t="array" ref="J31">_xlfn.SWITCH(Table1__7[[#This Row],[Region]],"North",1,"South",2,"East",3,4)</f>
        <v>1</v>
      </c>
    </row>
    <row r="32" spans="1:22" x14ac:dyDescent="0.25">
      <c r="A32" s="2">
        <v>45762</v>
      </c>
      <c r="B32" t="s">
        <v>73</v>
      </c>
      <c r="C32" t="s">
        <v>81</v>
      </c>
      <c r="D32" t="s">
        <v>88</v>
      </c>
      <c r="E32">
        <v>12920</v>
      </c>
      <c r="F32">
        <v>17</v>
      </c>
      <c r="G32" t="s">
        <v>404</v>
      </c>
      <c r="H32" t="s">
        <v>409</v>
      </c>
      <c r="I32">
        <v>419</v>
      </c>
      <c r="J32" cm="1">
        <f t="array" ref="J32">_xlfn.SWITCH(Table1__7[[#This Row],[Region]],"North",1,"South",2,"East",3,4)</f>
        <v>1</v>
      </c>
    </row>
    <row r="33" spans="1:20" ht="18.75" x14ac:dyDescent="0.3">
      <c r="A33" s="2">
        <v>45692</v>
      </c>
      <c r="B33" t="s">
        <v>77</v>
      </c>
      <c r="C33" t="s">
        <v>83</v>
      </c>
      <c r="D33" t="s">
        <v>85</v>
      </c>
      <c r="E33">
        <v>2134</v>
      </c>
      <c r="F33">
        <v>11</v>
      </c>
      <c r="G33" t="s">
        <v>403</v>
      </c>
      <c r="H33" t="s">
        <v>406</v>
      </c>
      <c r="I33">
        <v>489</v>
      </c>
      <c r="J33" cm="1">
        <f t="array" ref="J33">_xlfn.SWITCH(Table1__7[[#This Row],[Region]],"North",1,"South",2,"East",3,4)</f>
        <v>3</v>
      </c>
      <c r="L33" s="29"/>
      <c r="M33" s="27" t="s">
        <v>205</v>
      </c>
      <c r="N33" s="27" t="s">
        <v>265</v>
      </c>
      <c r="O33" s="29"/>
      <c r="P33" s="29"/>
      <c r="Q33" s="29"/>
      <c r="R33" s="27" t="s">
        <v>267</v>
      </c>
      <c r="S33" s="27" t="s">
        <v>266</v>
      </c>
      <c r="T33" s="29"/>
    </row>
    <row r="34" spans="1:20" ht="19.5" thickBot="1" x14ac:dyDescent="0.35">
      <c r="A34" s="2">
        <v>45747</v>
      </c>
      <c r="B34" t="s">
        <v>79</v>
      </c>
      <c r="C34" t="s">
        <v>81</v>
      </c>
      <c r="D34" t="s">
        <v>86</v>
      </c>
      <c r="E34">
        <v>311</v>
      </c>
      <c r="F34">
        <v>1</v>
      </c>
      <c r="G34" t="s">
        <v>404</v>
      </c>
      <c r="H34" t="s">
        <v>407</v>
      </c>
      <c r="I34">
        <v>434</v>
      </c>
      <c r="J34" cm="1">
        <f t="array" ref="J34">_xlfn.SWITCH(Table1__7[[#This Row],[Region]],"North",1,"South",2,"East",3,4)</f>
        <v>2</v>
      </c>
      <c r="L34" s="24" t="s">
        <v>259</v>
      </c>
      <c r="M34" s="30">
        <f>AVERAGE(E:E)</f>
        <v>5281.2</v>
      </c>
      <c r="N34" s="30">
        <f>AVERAGE(F:F)</f>
        <v>9.9700000000000006</v>
      </c>
      <c r="O34" s="29"/>
      <c r="P34" s="29"/>
      <c r="Q34" s="24" t="s">
        <v>262</v>
      </c>
      <c r="R34" s="30">
        <f>_xlfn.STDEV.P(E:E)</f>
        <v>3742.0129850122112</v>
      </c>
      <c r="S34" s="30">
        <f>_xlfn.STDEV.S(E:E)</f>
        <v>3760.8645551282757</v>
      </c>
      <c r="T34" s="29"/>
    </row>
    <row r="35" spans="1:20" ht="15.75" thickTop="1" x14ac:dyDescent="0.25">
      <c r="A35" s="2">
        <v>45714</v>
      </c>
      <c r="B35" t="s">
        <v>73</v>
      </c>
      <c r="C35" t="s">
        <v>81</v>
      </c>
      <c r="D35" t="s">
        <v>85</v>
      </c>
      <c r="E35">
        <v>2388</v>
      </c>
      <c r="F35">
        <v>3</v>
      </c>
      <c r="G35" t="s">
        <v>403</v>
      </c>
      <c r="H35" t="s">
        <v>406</v>
      </c>
      <c r="I35">
        <v>467</v>
      </c>
      <c r="J35" cm="1">
        <f t="array" ref="J35">_xlfn.SWITCH(Table1__7[[#This Row],[Region]],"North",1,"South",2,"East",3,4)</f>
        <v>3</v>
      </c>
      <c r="L35" s="29"/>
      <c r="M35" s="29"/>
      <c r="N35" s="29"/>
      <c r="O35" s="29"/>
      <c r="P35" s="29"/>
      <c r="Q35" s="29"/>
      <c r="R35" s="29"/>
      <c r="S35" s="29"/>
      <c r="T35" s="29"/>
    </row>
    <row r="36" spans="1:20" ht="19.5" thickBot="1" x14ac:dyDescent="0.35">
      <c r="A36" s="2">
        <v>45748</v>
      </c>
      <c r="B36" t="s">
        <v>76</v>
      </c>
      <c r="C36" t="s">
        <v>84</v>
      </c>
      <c r="D36" t="s">
        <v>85</v>
      </c>
      <c r="E36">
        <v>2853</v>
      </c>
      <c r="F36">
        <v>9</v>
      </c>
      <c r="G36" t="s">
        <v>404</v>
      </c>
      <c r="H36" t="s">
        <v>409</v>
      </c>
      <c r="I36">
        <v>433</v>
      </c>
      <c r="J36" cm="1">
        <f t="array" ref="J36">_xlfn.SWITCH(Table1__7[[#This Row],[Region]],"North",1,"South",2,"East",3,4)</f>
        <v>3</v>
      </c>
      <c r="L36" s="24" t="s">
        <v>97</v>
      </c>
      <c r="M36" s="30">
        <f>MEDIAN(E:E)</f>
        <v>4299</v>
      </c>
      <c r="N36" s="30">
        <f>MEDIAN(F:F)</f>
        <v>9</v>
      </c>
      <c r="O36" s="29"/>
      <c r="P36" s="29"/>
      <c r="Q36" s="24" t="s">
        <v>264</v>
      </c>
      <c r="R36" s="30">
        <f>_xlfn.VAR.P(E:E)</f>
        <v>14002661.18</v>
      </c>
      <c r="S36" s="30">
        <f>_xlfn.VAR.S(E:E)</f>
        <v>14144102.202020202</v>
      </c>
      <c r="T36" s="29"/>
    </row>
    <row r="37" spans="1:20" ht="15.75" thickTop="1" x14ac:dyDescent="0.25">
      <c r="A37" s="2">
        <v>45677</v>
      </c>
      <c r="B37" t="s">
        <v>80</v>
      </c>
      <c r="C37" t="s">
        <v>82</v>
      </c>
      <c r="D37" t="s">
        <v>88</v>
      </c>
      <c r="E37">
        <v>4382</v>
      </c>
      <c r="F37">
        <v>7</v>
      </c>
      <c r="G37" t="s">
        <v>405</v>
      </c>
      <c r="H37" t="s">
        <v>408</v>
      </c>
      <c r="I37">
        <v>504</v>
      </c>
      <c r="J37" cm="1">
        <f t="array" ref="J37">_xlfn.SWITCH(Table1__7[[#This Row],[Region]],"North",1,"South",2,"East",3,4)</f>
        <v>1</v>
      </c>
      <c r="L37" s="29"/>
      <c r="M37" s="29"/>
      <c r="N37" s="29"/>
      <c r="O37" s="29"/>
      <c r="P37" s="29"/>
      <c r="Q37" s="29"/>
      <c r="R37" s="29"/>
      <c r="S37" s="29"/>
      <c r="T37" s="29"/>
    </row>
    <row r="38" spans="1:20" ht="19.5" thickBot="1" x14ac:dyDescent="0.35">
      <c r="A38" s="2">
        <v>45749</v>
      </c>
      <c r="B38" t="s">
        <v>73</v>
      </c>
      <c r="C38" t="s">
        <v>81</v>
      </c>
      <c r="D38" t="s">
        <v>85</v>
      </c>
      <c r="E38">
        <v>2690</v>
      </c>
      <c r="F38">
        <v>5</v>
      </c>
      <c r="G38" t="s">
        <v>404</v>
      </c>
      <c r="H38" t="s">
        <v>409</v>
      </c>
      <c r="I38">
        <v>432</v>
      </c>
      <c r="J38" cm="1">
        <f t="array" ref="J38">_xlfn.SWITCH(Table1__7[[#This Row],[Region]],"North",1,"South",2,"East",3,4)</f>
        <v>3</v>
      </c>
      <c r="L38" s="24" t="s">
        <v>260</v>
      </c>
      <c r="M38" s="30">
        <f>MODE(E:E)</f>
        <v>12920</v>
      </c>
      <c r="N38" s="30">
        <f>MODE(F:F)</f>
        <v>5</v>
      </c>
      <c r="O38" s="29"/>
      <c r="P38" s="29"/>
      <c r="Q38" s="29"/>
      <c r="R38" s="29"/>
      <c r="S38" s="29"/>
      <c r="T38" s="29"/>
    </row>
    <row r="39" spans="1:20" ht="15.75" thickTop="1" x14ac:dyDescent="0.25">
      <c r="A39" s="2">
        <v>45697</v>
      </c>
      <c r="B39" t="s">
        <v>77</v>
      </c>
      <c r="C39" t="s">
        <v>83</v>
      </c>
      <c r="D39" t="s">
        <v>87</v>
      </c>
      <c r="E39">
        <v>399</v>
      </c>
      <c r="F39">
        <v>3</v>
      </c>
      <c r="G39" t="s">
        <v>403</v>
      </c>
      <c r="H39" t="s">
        <v>406</v>
      </c>
      <c r="I39">
        <v>484</v>
      </c>
      <c r="J39" cm="1">
        <f t="array" ref="J39">_xlfn.SWITCH(Table1__7[[#This Row],[Region]],"North",1,"South",2,"East",3,4)</f>
        <v>4</v>
      </c>
      <c r="L39" s="29"/>
      <c r="M39" s="29"/>
      <c r="N39" s="29"/>
      <c r="O39" s="29"/>
      <c r="P39" s="29"/>
      <c r="Q39" s="29"/>
      <c r="R39" s="29"/>
      <c r="S39" s="29"/>
      <c r="T39" s="29"/>
    </row>
    <row r="40" spans="1:20" x14ac:dyDescent="0.25">
      <c r="A40" s="2">
        <v>45670</v>
      </c>
      <c r="B40" t="s">
        <v>74</v>
      </c>
      <c r="C40" t="s">
        <v>82</v>
      </c>
      <c r="D40" t="s">
        <v>85</v>
      </c>
      <c r="E40">
        <v>4459</v>
      </c>
      <c r="F40">
        <v>7</v>
      </c>
      <c r="G40" t="s">
        <v>405</v>
      </c>
      <c r="H40" t="s">
        <v>408</v>
      </c>
      <c r="I40">
        <v>511</v>
      </c>
      <c r="J40" cm="1">
        <f t="array" ref="J40">_xlfn.SWITCH(Table1__7[[#This Row],[Region]],"North",1,"South",2,"East",3,4)</f>
        <v>3</v>
      </c>
      <c r="L40" s="29"/>
      <c r="M40" s="29"/>
      <c r="N40" s="29"/>
      <c r="O40" s="29"/>
      <c r="P40" s="29"/>
      <c r="Q40" s="29"/>
      <c r="R40" s="29"/>
      <c r="S40" s="29"/>
      <c r="T40" s="29"/>
    </row>
    <row r="41" spans="1:20" x14ac:dyDescent="0.25">
      <c r="A41" s="2">
        <v>45704</v>
      </c>
      <c r="B41" t="s">
        <v>74</v>
      </c>
      <c r="C41" t="s">
        <v>82</v>
      </c>
      <c r="D41" t="s">
        <v>85</v>
      </c>
      <c r="E41">
        <v>2274</v>
      </c>
      <c r="F41">
        <v>3</v>
      </c>
      <c r="G41" t="s">
        <v>403</v>
      </c>
      <c r="H41" t="s">
        <v>406</v>
      </c>
      <c r="I41">
        <v>477</v>
      </c>
      <c r="J41" cm="1">
        <f t="array" ref="J41">_xlfn.SWITCH(Table1__7[[#This Row],[Region]],"North",1,"South",2,"East",3,4)</f>
        <v>3</v>
      </c>
      <c r="L41" s="29"/>
      <c r="M41" s="29"/>
      <c r="N41" s="29"/>
      <c r="O41" s="29"/>
      <c r="P41" s="29"/>
      <c r="Q41" s="29"/>
      <c r="R41" s="29"/>
      <c r="S41" s="29"/>
      <c r="T41" s="29"/>
    </row>
    <row r="42" spans="1:20" ht="19.5" thickBot="1" x14ac:dyDescent="0.35">
      <c r="A42" s="2">
        <v>45725</v>
      </c>
      <c r="B42" t="s">
        <v>77</v>
      </c>
      <c r="C42" t="s">
        <v>83</v>
      </c>
      <c r="D42" t="s">
        <v>87</v>
      </c>
      <c r="E42">
        <v>11552</v>
      </c>
      <c r="F42">
        <v>19</v>
      </c>
      <c r="G42" t="s">
        <v>403</v>
      </c>
      <c r="H42" t="s">
        <v>407</v>
      </c>
      <c r="I42">
        <v>456</v>
      </c>
      <c r="J42" cm="1">
        <f t="array" ref="J42">_xlfn.SWITCH(Table1__7[[#This Row],[Region]],"North",1,"South",2,"East",3,4)</f>
        <v>4</v>
      </c>
      <c r="L42" s="24" t="s">
        <v>255</v>
      </c>
      <c r="M42" s="26">
        <f>COUNT(E:E)</f>
        <v>100</v>
      </c>
      <c r="N42" s="29"/>
      <c r="O42" s="29"/>
      <c r="P42" s="24" t="s">
        <v>263</v>
      </c>
      <c r="Q42" s="29"/>
      <c r="R42" s="29"/>
      <c r="S42" s="24" t="s">
        <v>258</v>
      </c>
      <c r="T42" s="29"/>
    </row>
    <row r="43" spans="1:20" ht="19.5" thickTop="1" x14ac:dyDescent="0.3">
      <c r="A43" s="2">
        <v>45749</v>
      </c>
      <c r="B43" t="s">
        <v>73</v>
      </c>
      <c r="C43" t="s">
        <v>81</v>
      </c>
      <c r="D43" t="s">
        <v>87</v>
      </c>
      <c r="E43">
        <v>4540</v>
      </c>
      <c r="F43">
        <v>5</v>
      </c>
      <c r="G43" t="s">
        <v>404</v>
      </c>
      <c r="H43" t="s">
        <v>409</v>
      </c>
      <c r="I43">
        <v>432</v>
      </c>
      <c r="J43" cm="1">
        <f t="array" ref="J43">_xlfn.SWITCH(Table1__7[[#This Row],[Region]],"North",1,"South",2,"East",3,4)</f>
        <v>4</v>
      </c>
      <c r="L43" s="29"/>
      <c r="M43" s="29"/>
      <c r="N43" s="29"/>
      <c r="O43" s="29"/>
      <c r="P43" s="26">
        <f>COUNTIF(E:E,"&gt;5000")</f>
        <v>43</v>
      </c>
      <c r="Q43" s="29"/>
      <c r="R43" s="27" t="s">
        <v>85</v>
      </c>
      <c r="S43" s="26">
        <f>COUNTIFS(E:E,"&gt;5000",D:D,Q9)</f>
        <v>12</v>
      </c>
      <c r="T43" s="29"/>
    </row>
    <row r="44" spans="1:20" ht="19.5" thickBot="1" x14ac:dyDescent="0.35">
      <c r="A44" s="2">
        <v>45695</v>
      </c>
      <c r="B44" t="s">
        <v>77</v>
      </c>
      <c r="C44" t="s">
        <v>83</v>
      </c>
      <c r="D44" t="s">
        <v>85</v>
      </c>
      <c r="E44">
        <v>4216</v>
      </c>
      <c r="F44">
        <v>8</v>
      </c>
      <c r="G44" t="s">
        <v>403</v>
      </c>
      <c r="H44" t="s">
        <v>406</v>
      </c>
      <c r="I44">
        <v>486</v>
      </c>
      <c r="J44" cm="1">
        <f t="array" ref="J44">_xlfn.SWITCH(Table1__7[[#This Row],[Region]],"North",1,"South",2,"East",3,4)</f>
        <v>3</v>
      </c>
      <c r="L44" s="24" t="s">
        <v>256</v>
      </c>
      <c r="M44" s="26">
        <f>COUNTA(D:D)</f>
        <v>101</v>
      </c>
      <c r="N44" s="29"/>
      <c r="O44" s="29"/>
      <c r="P44" s="29"/>
      <c r="Q44" s="29"/>
      <c r="R44" s="27" t="s">
        <v>87</v>
      </c>
      <c r="S44" s="26">
        <f>COUNTIFS(E:E,"&gt;5000",D:D,Q10)</f>
        <v>9</v>
      </c>
      <c r="T44" s="29"/>
    </row>
    <row r="45" spans="1:20" ht="19.5" thickTop="1" x14ac:dyDescent="0.3">
      <c r="A45" s="2">
        <v>45705</v>
      </c>
      <c r="B45" t="s">
        <v>75</v>
      </c>
      <c r="C45" t="s">
        <v>83</v>
      </c>
      <c r="D45" t="s">
        <v>85</v>
      </c>
      <c r="E45">
        <v>4140</v>
      </c>
      <c r="F45">
        <v>18</v>
      </c>
      <c r="G45" t="s">
        <v>403</v>
      </c>
      <c r="H45" t="s">
        <v>406</v>
      </c>
      <c r="I45">
        <v>476</v>
      </c>
      <c r="J45" cm="1">
        <f t="array" ref="J45">_xlfn.SWITCH(Table1__7[[#This Row],[Region]],"North",1,"South",2,"East",3,4)</f>
        <v>3</v>
      </c>
      <c r="L45" s="29"/>
      <c r="M45" s="29"/>
      <c r="N45" s="29"/>
      <c r="O45" s="29"/>
      <c r="P45" s="29"/>
      <c r="Q45" s="29"/>
      <c r="R45" s="27" t="s">
        <v>88</v>
      </c>
      <c r="S45" s="26">
        <f>COUNTIFS(E:E,"&gt;5000",D:D,Q11)</f>
        <v>10</v>
      </c>
      <c r="T45" s="29"/>
    </row>
    <row r="46" spans="1:20" ht="19.5" thickBot="1" x14ac:dyDescent="0.35">
      <c r="A46" s="2">
        <v>45728</v>
      </c>
      <c r="B46" t="s">
        <v>74</v>
      </c>
      <c r="C46" t="s">
        <v>82</v>
      </c>
      <c r="D46" t="s">
        <v>88</v>
      </c>
      <c r="E46">
        <v>8610</v>
      </c>
      <c r="F46">
        <v>10</v>
      </c>
      <c r="G46" t="s">
        <v>403</v>
      </c>
      <c r="H46" t="s">
        <v>407</v>
      </c>
      <c r="I46">
        <v>453</v>
      </c>
      <c r="J46" cm="1">
        <f t="array" ref="J46">_xlfn.SWITCH(Table1__7[[#This Row],[Region]],"North",1,"South",2,"East",3,4)</f>
        <v>1</v>
      </c>
      <c r="L46" s="24" t="s">
        <v>257</v>
      </c>
      <c r="M46" s="26">
        <f>COUNTBLANK(Table1__7[Quantity Sold])</f>
        <v>0</v>
      </c>
      <c r="N46" s="29"/>
      <c r="O46" s="29"/>
      <c r="P46" s="29"/>
      <c r="Q46" s="29"/>
      <c r="R46" s="27" t="s">
        <v>86</v>
      </c>
      <c r="S46" s="26">
        <f>COUNTIFS(E:E,"&gt;5000",D:D,Q12)</f>
        <v>12</v>
      </c>
      <c r="T46" s="29"/>
    </row>
    <row r="47" spans="1:20" ht="15.75" thickTop="1" x14ac:dyDescent="0.25">
      <c r="A47" s="2">
        <v>45719</v>
      </c>
      <c r="B47" t="s">
        <v>74</v>
      </c>
      <c r="C47" t="s">
        <v>82</v>
      </c>
      <c r="D47" t="s">
        <v>88</v>
      </c>
      <c r="E47">
        <v>7200</v>
      </c>
      <c r="F47">
        <v>8</v>
      </c>
      <c r="G47" t="s">
        <v>403</v>
      </c>
      <c r="H47" t="s">
        <v>407</v>
      </c>
      <c r="I47">
        <v>462</v>
      </c>
      <c r="J47" cm="1">
        <f t="array" ref="J47">_xlfn.SWITCH(Table1__7[[#This Row],[Region]],"North",1,"South",2,"East",3,4)</f>
        <v>1</v>
      </c>
      <c r="L47" s="29"/>
      <c r="M47" s="29"/>
      <c r="N47" s="29"/>
      <c r="O47" s="29"/>
      <c r="P47" s="29"/>
      <c r="Q47" s="29"/>
      <c r="R47" s="29"/>
      <c r="S47" s="29"/>
      <c r="T47" s="29"/>
    </row>
    <row r="48" spans="1:20" x14ac:dyDescent="0.25">
      <c r="A48" s="2">
        <v>45746</v>
      </c>
      <c r="B48" t="s">
        <v>79</v>
      </c>
      <c r="C48" t="s">
        <v>81</v>
      </c>
      <c r="D48" t="s">
        <v>85</v>
      </c>
      <c r="E48">
        <v>10849</v>
      </c>
      <c r="F48">
        <v>19</v>
      </c>
      <c r="G48" t="s">
        <v>404</v>
      </c>
      <c r="H48" t="s">
        <v>407</v>
      </c>
      <c r="I48">
        <v>435</v>
      </c>
      <c r="J48" cm="1">
        <f t="array" ref="J48">_xlfn.SWITCH(Table1__7[[#This Row],[Region]],"North",1,"South",2,"East",3,4)</f>
        <v>3</v>
      </c>
      <c r="L48" s="29"/>
      <c r="M48" s="29"/>
      <c r="N48" s="29"/>
      <c r="O48" s="29"/>
      <c r="P48" s="29"/>
      <c r="Q48" s="29"/>
      <c r="R48" s="29"/>
      <c r="S48" s="29"/>
      <c r="T48" s="29"/>
    </row>
    <row r="49" spans="1:20" ht="19.5" thickBot="1" x14ac:dyDescent="0.35">
      <c r="A49" s="2">
        <v>45660</v>
      </c>
      <c r="B49" t="s">
        <v>78</v>
      </c>
      <c r="C49" t="s">
        <v>84</v>
      </c>
      <c r="D49" t="s">
        <v>85</v>
      </c>
      <c r="E49">
        <v>14256</v>
      </c>
      <c r="F49">
        <v>16</v>
      </c>
      <c r="G49" t="s">
        <v>405</v>
      </c>
      <c r="H49" t="s">
        <v>408</v>
      </c>
      <c r="I49">
        <v>521</v>
      </c>
      <c r="J49" cm="1">
        <f t="array" ref="J49">_xlfn.SWITCH(Table1__7[[#This Row],[Region]],"North",1,"South",2,"East",3,4)</f>
        <v>3</v>
      </c>
      <c r="L49" s="24" t="s">
        <v>261</v>
      </c>
      <c r="M49" s="31">
        <f>CORREL(F:F,E:E)</f>
        <v>0.66042824393439248</v>
      </c>
      <c r="N49" s="29"/>
      <c r="O49" s="29"/>
      <c r="P49" s="29"/>
      <c r="Q49" s="29"/>
      <c r="R49" s="29"/>
      <c r="S49" s="29"/>
      <c r="T49" s="29"/>
    </row>
    <row r="50" spans="1:20" ht="15.75" thickTop="1" x14ac:dyDescent="0.25">
      <c r="A50" s="2">
        <v>45701</v>
      </c>
      <c r="B50" t="s">
        <v>74</v>
      </c>
      <c r="C50" t="s">
        <v>82</v>
      </c>
      <c r="D50" t="s">
        <v>88</v>
      </c>
      <c r="E50">
        <v>1464</v>
      </c>
      <c r="F50">
        <v>2</v>
      </c>
      <c r="G50" t="s">
        <v>403</v>
      </c>
      <c r="H50" t="s">
        <v>406</v>
      </c>
      <c r="I50">
        <v>480</v>
      </c>
      <c r="J50" cm="1">
        <f t="array" ref="J50">_xlfn.SWITCH(Table1__7[[#This Row],[Region]],"North",1,"South",2,"East",3,4)</f>
        <v>1</v>
      </c>
      <c r="L50" s="29"/>
      <c r="M50" s="29"/>
      <c r="N50" s="29"/>
      <c r="O50" s="29"/>
      <c r="P50" s="29"/>
      <c r="Q50" s="29"/>
      <c r="R50" s="29"/>
      <c r="S50" s="29"/>
      <c r="T50" s="29"/>
    </row>
    <row r="51" spans="1:20" x14ac:dyDescent="0.25">
      <c r="A51" s="2">
        <v>45732</v>
      </c>
      <c r="B51" t="s">
        <v>78</v>
      </c>
      <c r="C51" t="s">
        <v>84</v>
      </c>
      <c r="D51" t="s">
        <v>88</v>
      </c>
      <c r="E51">
        <v>9622</v>
      </c>
      <c r="F51">
        <v>17</v>
      </c>
      <c r="G51" t="s">
        <v>404</v>
      </c>
      <c r="H51" t="s">
        <v>407</v>
      </c>
      <c r="I51">
        <v>449</v>
      </c>
      <c r="J51" cm="1">
        <f t="array" ref="J51">_xlfn.SWITCH(Table1__7[[#This Row],[Region]],"North",1,"South",2,"East",3,4)</f>
        <v>1</v>
      </c>
      <c r="L51" s="29"/>
      <c r="M51" s="29"/>
      <c r="N51" s="29"/>
      <c r="O51" s="29"/>
      <c r="P51" s="29">
        <f>MODE(J:J)</f>
        <v>3</v>
      </c>
      <c r="Q51" s="29"/>
      <c r="R51" s="29"/>
      <c r="S51" s="29"/>
      <c r="T51" s="29"/>
    </row>
    <row r="52" spans="1:20" x14ac:dyDescent="0.25">
      <c r="A52" s="2">
        <v>45707</v>
      </c>
      <c r="B52" t="s">
        <v>75</v>
      </c>
      <c r="C52" t="s">
        <v>83</v>
      </c>
      <c r="D52" t="s">
        <v>87</v>
      </c>
      <c r="E52">
        <v>13420</v>
      </c>
      <c r="F52">
        <v>20</v>
      </c>
      <c r="G52" t="s">
        <v>403</v>
      </c>
      <c r="H52" t="s">
        <v>406</v>
      </c>
      <c r="I52">
        <v>474</v>
      </c>
      <c r="J52" cm="1">
        <f t="array" ref="J52">_xlfn.SWITCH(Table1__7[[#This Row],[Region]],"North",1,"South",2,"East",3,4)</f>
        <v>4</v>
      </c>
      <c r="L52" s="29"/>
      <c r="M52" s="29"/>
      <c r="N52" s="29"/>
      <c r="O52" s="29"/>
      <c r="P52" s="29"/>
      <c r="Q52" s="29"/>
      <c r="R52" s="29"/>
      <c r="S52" s="29"/>
      <c r="T52" s="29"/>
    </row>
    <row r="53" spans="1:20" x14ac:dyDescent="0.25">
      <c r="A53" s="2">
        <v>45705</v>
      </c>
      <c r="B53" t="s">
        <v>75</v>
      </c>
      <c r="C53" t="s">
        <v>83</v>
      </c>
      <c r="D53" t="s">
        <v>87</v>
      </c>
      <c r="E53">
        <v>3004</v>
      </c>
      <c r="F53">
        <v>4</v>
      </c>
      <c r="G53" t="s">
        <v>403</v>
      </c>
      <c r="H53" t="s">
        <v>406</v>
      </c>
      <c r="I53">
        <v>476</v>
      </c>
      <c r="J53" cm="1">
        <f t="array" ref="J53">_xlfn.SWITCH(Table1__7[[#This Row],[Region]],"North",1,"South",2,"East",3,4)</f>
        <v>4</v>
      </c>
      <c r="L53" s="29"/>
      <c r="M53" s="29"/>
      <c r="N53" s="29"/>
      <c r="O53" s="29"/>
      <c r="P53" s="29"/>
      <c r="Q53" s="29"/>
      <c r="R53" s="29"/>
      <c r="S53" s="29"/>
      <c r="T53" s="29"/>
    </row>
    <row r="54" spans="1:20" x14ac:dyDescent="0.25">
      <c r="A54" s="2">
        <v>45754</v>
      </c>
      <c r="B54" t="s">
        <v>76</v>
      </c>
      <c r="C54" t="s">
        <v>84</v>
      </c>
      <c r="D54" t="s">
        <v>88</v>
      </c>
      <c r="E54">
        <v>11865</v>
      </c>
      <c r="F54">
        <v>15</v>
      </c>
      <c r="G54" t="s">
        <v>404</v>
      </c>
      <c r="H54" t="s">
        <v>409</v>
      </c>
      <c r="I54">
        <v>427</v>
      </c>
      <c r="J54" cm="1">
        <f t="array" ref="J54">_xlfn.SWITCH(Table1__7[[#This Row],[Region]],"North",1,"South",2,"East",3,4)</f>
        <v>1</v>
      </c>
      <c r="L54" s="29"/>
      <c r="M54" s="29"/>
      <c r="N54" s="29"/>
      <c r="O54" s="29"/>
      <c r="P54" s="29"/>
      <c r="Q54" s="29"/>
      <c r="R54" s="29"/>
      <c r="S54" s="29"/>
      <c r="T54" s="29"/>
    </row>
    <row r="55" spans="1:20" x14ac:dyDescent="0.25">
      <c r="A55" s="2">
        <v>45719</v>
      </c>
      <c r="B55" t="s">
        <v>80</v>
      </c>
      <c r="C55" t="s">
        <v>82</v>
      </c>
      <c r="D55" t="s">
        <v>87</v>
      </c>
      <c r="E55">
        <v>7395</v>
      </c>
      <c r="F55">
        <v>17</v>
      </c>
      <c r="G55" t="s">
        <v>403</v>
      </c>
      <c r="H55" t="s">
        <v>407</v>
      </c>
      <c r="I55">
        <v>462</v>
      </c>
      <c r="J55" cm="1">
        <f t="array" ref="J55">_xlfn.SWITCH(Table1__7[[#This Row],[Region]],"North",1,"South",2,"East",3,4)</f>
        <v>4</v>
      </c>
    </row>
    <row r="56" spans="1:20" x14ac:dyDescent="0.25">
      <c r="A56" s="2">
        <v>45704</v>
      </c>
      <c r="B56" t="s">
        <v>73</v>
      </c>
      <c r="C56" t="s">
        <v>81</v>
      </c>
      <c r="D56" t="s">
        <v>85</v>
      </c>
      <c r="E56">
        <v>12701</v>
      </c>
      <c r="F56">
        <v>13</v>
      </c>
      <c r="G56" t="s">
        <v>403</v>
      </c>
      <c r="H56" t="s">
        <v>406</v>
      </c>
      <c r="I56">
        <v>477</v>
      </c>
      <c r="J56" cm="1">
        <f t="array" ref="J56">_xlfn.SWITCH(Table1__7[[#This Row],[Region]],"North",1,"South",2,"East",3,4)</f>
        <v>3</v>
      </c>
    </row>
    <row r="57" spans="1:20" x14ac:dyDescent="0.25">
      <c r="A57" s="2">
        <v>45766</v>
      </c>
      <c r="B57" t="s">
        <v>75</v>
      </c>
      <c r="C57" t="s">
        <v>83</v>
      </c>
      <c r="D57" t="s">
        <v>85</v>
      </c>
      <c r="E57">
        <v>8697</v>
      </c>
      <c r="F57">
        <v>13</v>
      </c>
      <c r="G57" t="s">
        <v>404</v>
      </c>
      <c r="H57" t="s">
        <v>409</v>
      </c>
      <c r="I57">
        <v>415</v>
      </c>
      <c r="J57" cm="1">
        <f t="array" ref="J57">_xlfn.SWITCH(Table1__7[[#This Row],[Region]],"North",1,"South",2,"East",3,4)</f>
        <v>3</v>
      </c>
    </row>
    <row r="58" spans="1:20" x14ac:dyDescent="0.25">
      <c r="A58" s="2">
        <v>45693</v>
      </c>
      <c r="B58" t="s">
        <v>76</v>
      </c>
      <c r="C58" t="s">
        <v>84</v>
      </c>
      <c r="D58" t="s">
        <v>88</v>
      </c>
      <c r="E58">
        <v>2728</v>
      </c>
      <c r="F58">
        <v>11</v>
      </c>
      <c r="G58" t="s">
        <v>403</v>
      </c>
      <c r="H58" t="s">
        <v>406</v>
      </c>
      <c r="I58">
        <v>488</v>
      </c>
      <c r="J58" cm="1">
        <f t="array" ref="J58">_xlfn.SWITCH(Table1__7[[#This Row],[Region]],"North",1,"South",2,"East",3,4)</f>
        <v>1</v>
      </c>
    </row>
    <row r="59" spans="1:20" x14ac:dyDescent="0.25">
      <c r="A59" s="2">
        <v>45658</v>
      </c>
      <c r="B59" t="s">
        <v>78</v>
      </c>
      <c r="C59" t="s">
        <v>84</v>
      </c>
      <c r="D59" t="s">
        <v>86</v>
      </c>
      <c r="E59">
        <v>7395</v>
      </c>
      <c r="F59">
        <v>17</v>
      </c>
      <c r="G59" t="s">
        <v>405</v>
      </c>
      <c r="H59" t="s">
        <v>408</v>
      </c>
      <c r="I59">
        <v>523</v>
      </c>
      <c r="J59" cm="1">
        <f t="array" ref="J59">_xlfn.SWITCH(Table1__7[[#This Row],[Region]],"North",1,"South",2,"East",3,4)</f>
        <v>2</v>
      </c>
    </row>
    <row r="60" spans="1:20" x14ac:dyDescent="0.25">
      <c r="A60" s="2">
        <v>45744</v>
      </c>
      <c r="B60" t="s">
        <v>80</v>
      </c>
      <c r="C60" t="s">
        <v>82</v>
      </c>
      <c r="D60" t="s">
        <v>85</v>
      </c>
      <c r="E60">
        <v>632</v>
      </c>
      <c r="F60">
        <v>1</v>
      </c>
      <c r="G60" t="s">
        <v>404</v>
      </c>
      <c r="H60" t="s">
        <v>407</v>
      </c>
      <c r="I60">
        <v>437</v>
      </c>
      <c r="J60" cm="1">
        <f t="array" ref="J60">_xlfn.SWITCH(Table1__7[[#This Row],[Region]],"North",1,"South",2,"East",3,4)</f>
        <v>3</v>
      </c>
    </row>
    <row r="61" spans="1:20" x14ac:dyDescent="0.25">
      <c r="A61" s="2">
        <v>45732</v>
      </c>
      <c r="B61" t="s">
        <v>77</v>
      </c>
      <c r="C61" t="s">
        <v>83</v>
      </c>
      <c r="D61" t="s">
        <v>88</v>
      </c>
      <c r="E61">
        <v>1044</v>
      </c>
      <c r="F61">
        <v>3</v>
      </c>
      <c r="G61" t="s">
        <v>404</v>
      </c>
      <c r="H61" t="s">
        <v>407</v>
      </c>
      <c r="I61">
        <v>449</v>
      </c>
      <c r="J61" cm="1">
        <f t="array" ref="J61">_xlfn.SWITCH(Table1__7[[#This Row],[Region]],"North",1,"South",2,"East",3,4)</f>
        <v>1</v>
      </c>
    </row>
    <row r="62" spans="1:20" x14ac:dyDescent="0.25">
      <c r="A62" s="2">
        <v>45713</v>
      </c>
      <c r="B62" t="s">
        <v>75</v>
      </c>
      <c r="C62" t="s">
        <v>83</v>
      </c>
      <c r="D62" t="s">
        <v>85</v>
      </c>
      <c r="E62">
        <v>4779</v>
      </c>
      <c r="F62">
        <v>9</v>
      </c>
      <c r="G62" t="s">
        <v>403</v>
      </c>
      <c r="H62" t="s">
        <v>406</v>
      </c>
      <c r="I62">
        <v>468</v>
      </c>
      <c r="J62" cm="1">
        <f t="array" ref="J62">_xlfn.SWITCH(Table1__7[[#This Row],[Region]],"North",1,"South",2,"East",3,4)</f>
        <v>3</v>
      </c>
    </row>
    <row r="63" spans="1:20" x14ac:dyDescent="0.25">
      <c r="A63" s="2">
        <v>45669</v>
      </c>
      <c r="B63" t="s">
        <v>73</v>
      </c>
      <c r="C63" t="s">
        <v>81</v>
      </c>
      <c r="D63" t="s">
        <v>85</v>
      </c>
      <c r="E63">
        <v>636</v>
      </c>
      <c r="F63">
        <v>2</v>
      </c>
      <c r="G63" t="s">
        <v>405</v>
      </c>
      <c r="H63" t="s">
        <v>408</v>
      </c>
      <c r="I63">
        <v>512</v>
      </c>
      <c r="J63" cm="1">
        <f t="array" ref="J63">_xlfn.SWITCH(Table1__7[[#This Row],[Region]],"North",1,"South",2,"East",3,4)</f>
        <v>3</v>
      </c>
    </row>
    <row r="64" spans="1:20" x14ac:dyDescent="0.25">
      <c r="A64" s="2">
        <v>45702</v>
      </c>
      <c r="B64" t="s">
        <v>80</v>
      </c>
      <c r="C64" t="s">
        <v>82</v>
      </c>
      <c r="D64" t="s">
        <v>86</v>
      </c>
      <c r="E64">
        <v>7800</v>
      </c>
      <c r="F64">
        <v>10</v>
      </c>
      <c r="G64" t="s">
        <v>403</v>
      </c>
      <c r="H64" t="s">
        <v>406</v>
      </c>
      <c r="I64">
        <v>479</v>
      </c>
      <c r="J64" cm="1">
        <f t="array" ref="J64">_xlfn.SWITCH(Table1__7[[#This Row],[Region]],"North",1,"South",2,"East",3,4)</f>
        <v>2</v>
      </c>
    </row>
    <row r="65" spans="1:10" x14ac:dyDescent="0.25">
      <c r="A65" s="2">
        <v>45686</v>
      </c>
      <c r="B65" t="s">
        <v>73</v>
      </c>
      <c r="C65" t="s">
        <v>81</v>
      </c>
      <c r="D65" t="s">
        <v>88</v>
      </c>
      <c r="E65">
        <v>545</v>
      </c>
      <c r="F65">
        <v>5</v>
      </c>
      <c r="G65" t="s">
        <v>403</v>
      </c>
      <c r="H65" t="s">
        <v>408</v>
      </c>
      <c r="I65">
        <v>495</v>
      </c>
      <c r="J65" cm="1">
        <f t="array" ref="J65">_xlfn.SWITCH(Table1__7[[#This Row],[Region]],"North",1,"South",2,"East",3,4)</f>
        <v>1</v>
      </c>
    </row>
    <row r="66" spans="1:10" x14ac:dyDescent="0.25">
      <c r="A66" s="2">
        <v>45706</v>
      </c>
      <c r="B66" t="s">
        <v>75</v>
      </c>
      <c r="C66" t="s">
        <v>83</v>
      </c>
      <c r="D66" t="s">
        <v>85</v>
      </c>
      <c r="E66">
        <v>6040</v>
      </c>
      <c r="F66">
        <v>20</v>
      </c>
      <c r="G66" t="s">
        <v>403</v>
      </c>
      <c r="H66" t="s">
        <v>406</v>
      </c>
      <c r="I66">
        <v>475</v>
      </c>
      <c r="J66" cm="1">
        <f t="array" ref="J66">_xlfn.SWITCH(Table1__7[[#This Row],[Region]],"North",1,"South",2,"East",3,4)</f>
        <v>3</v>
      </c>
    </row>
    <row r="67" spans="1:10" x14ac:dyDescent="0.25">
      <c r="A67" s="2">
        <v>45724</v>
      </c>
      <c r="B67" t="s">
        <v>74</v>
      </c>
      <c r="C67" t="s">
        <v>82</v>
      </c>
      <c r="D67" t="s">
        <v>88</v>
      </c>
      <c r="E67">
        <v>8136</v>
      </c>
      <c r="F67">
        <v>9</v>
      </c>
      <c r="G67" t="s">
        <v>403</v>
      </c>
      <c r="H67" t="s">
        <v>407</v>
      </c>
      <c r="I67">
        <v>457</v>
      </c>
      <c r="J67" cm="1">
        <f t="array" ref="J67">_xlfn.SWITCH(Table1__7[[#This Row],[Region]],"North",1,"South",2,"East",3,4)</f>
        <v>1</v>
      </c>
    </row>
    <row r="68" spans="1:10" x14ac:dyDescent="0.25">
      <c r="A68" s="2">
        <v>45659</v>
      </c>
      <c r="B68" t="s">
        <v>80</v>
      </c>
      <c r="C68" t="s">
        <v>82</v>
      </c>
      <c r="D68" t="s">
        <v>88</v>
      </c>
      <c r="E68">
        <v>3928</v>
      </c>
      <c r="F68">
        <v>4</v>
      </c>
      <c r="G68" t="s">
        <v>405</v>
      </c>
      <c r="H68" t="s">
        <v>408</v>
      </c>
      <c r="I68">
        <v>522</v>
      </c>
      <c r="J68" cm="1">
        <f t="array" ref="J68">_xlfn.SWITCH(Table1__7[[#This Row],[Region]],"North",1,"South",2,"East",3,4)</f>
        <v>1</v>
      </c>
    </row>
    <row r="69" spans="1:10" x14ac:dyDescent="0.25">
      <c r="A69" s="2">
        <v>45680</v>
      </c>
      <c r="B69" t="s">
        <v>80</v>
      </c>
      <c r="C69" t="s">
        <v>82</v>
      </c>
      <c r="D69" t="s">
        <v>87</v>
      </c>
      <c r="E69">
        <v>2968</v>
      </c>
      <c r="F69">
        <v>14</v>
      </c>
      <c r="G69" t="s">
        <v>405</v>
      </c>
      <c r="H69" t="s">
        <v>408</v>
      </c>
      <c r="I69">
        <v>501</v>
      </c>
      <c r="J69" cm="1">
        <f t="array" ref="J69">_xlfn.SWITCH(Table1__7[[#This Row],[Region]],"North",1,"South",2,"East",3,4)</f>
        <v>4</v>
      </c>
    </row>
    <row r="70" spans="1:10" x14ac:dyDescent="0.25">
      <c r="A70" s="2">
        <v>45689</v>
      </c>
      <c r="B70" t="s">
        <v>74</v>
      </c>
      <c r="C70" t="s">
        <v>82</v>
      </c>
      <c r="D70" t="s">
        <v>87</v>
      </c>
      <c r="E70">
        <v>3955</v>
      </c>
      <c r="F70">
        <v>5</v>
      </c>
      <c r="G70" t="s">
        <v>403</v>
      </c>
      <c r="H70" t="s">
        <v>406</v>
      </c>
      <c r="I70">
        <v>492</v>
      </c>
      <c r="J70" cm="1">
        <f t="array" ref="J70">_xlfn.SWITCH(Table1__7[[#This Row],[Region]],"North",1,"South",2,"East",3,4)</f>
        <v>4</v>
      </c>
    </row>
    <row r="71" spans="1:10" x14ac:dyDescent="0.25">
      <c r="A71" s="2">
        <v>45702</v>
      </c>
      <c r="B71" t="s">
        <v>75</v>
      </c>
      <c r="C71" t="s">
        <v>83</v>
      </c>
      <c r="D71" t="s">
        <v>85</v>
      </c>
      <c r="E71">
        <v>4048</v>
      </c>
      <c r="F71">
        <v>8</v>
      </c>
      <c r="G71" t="s">
        <v>403</v>
      </c>
      <c r="H71" t="s">
        <v>406</v>
      </c>
      <c r="I71">
        <v>479</v>
      </c>
      <c r="J71" cm="1">
        <f t="array" ref="J71">_xlfn.SWITCH(Table1__7[[#This Row],[Region]],"North",1,"South",2,"East",3,4)</f>
        <v>3</v>
      </c>
    </row>
    <row r="72" spans="1:10" x14ac:dyDescent="0.25">
      <c r="A72" s="2">
        <v>45727</v>
      </c>
      <c r="B72" t="s">
        <v>78</v>
      </c>
      <c r="C72" t="s">
        <v>84</v>
      </c>
      <c r="D72" t="s">
        <v>87</v>
      </c>
      <c r="E72">
        <v>6464</v>
      </c>
      <c r="F72">
        <v>8</v>
      </c>
      <c r="G72" t="s">
        <v>403</v>
      </c>
      <c r="H72" t="s">
        <v>407</v>
      </c>
      <c r="I72">
        <v>454</v>
      </c>
      <c r="J72" cm="1">
        <f t="array" ref="J72">_xlfn.SWITCH(Table1__7[[#This Row],[Region]],"North",1,"South",2,"East",3,4)</f>
        <v>4</v>
      </c>
    </row>
    <row r="73" spans="1:10" x14ac:dyDescent="0.25">
      <c r="A73" s="2">
        <v>45710</v>
      </c>
      <c r="B73" t="s">
        <v>73</v>
      </c>
      <c r="C73" t="s">
        <v>81</v>
      </c>
      <c r="D73" t="s">
        <v>88</v>
      </c>
      <c r="E73">
        <v>3042</v>
      </c>
      <c r="F73">
        <v>13</v>
      </c>
      <c r="G73" t="s">
        <v>403</v>
      </c>
      <c r="H73" t="s">
        <v>406</v>
      </c>
      <c r="I73">
        <v>471</v>
      </c>
      <c r="J73" cm="1">
        <f t="array" ref="J73">_xlfn.SWITCH(Table1__7[[#This Row],[Region]],"North",1,"South",2,"East",3,4)</f>
        <v>1</v>
      </c>
    </row>
    <row r="74" spans="1:10" x14ac:dyDescent="0.25">
      <c r="A74" s="2">
        <v>45761</v>
      </c>
      <c r="B74" t="s">
        <v>80</v>
      </c>
      <c r="C74" t="s">
        <v>82</v>
      </c>
      <c r="D74" t="s">
        <v>88</v>
      </c>
      <c r="E74">
        <v>9480</v>
      </c>
      <c r="F74">
        <v>15</v>
      </c>
      <c r="G74" t="s">
        <v>404</v>
      </c>
      <c r="H74" t="s">
        <v>409</v>
      </c>
      <c r="I74">
        <v>420</v>
      </c>
      <c r="J74" cm="1">
        <f t="array" ref="J74">_xlfn.SWITCH(Table1__7[[#This Row],[Region]],"North",1,"South",2,"East",3,4)</f>
        <v>1</v>
      </c>
    </row>
    <row r="75" spans="1:10" x14ac:dyDescent="0.25">
      <c r="A75" s="2">
        <v>45666</v>
      </c>
      <c r="B75" t="s">
        <v>75</v>
      </c>
      <c r="C75" t="s">
        <v>83</v>
      </c>
      <c r="D75" t="s">
        <v>88</v>
      </c>
      <c r="E75">
        <v>16321</v>
      </c>
      <c r="F75">
        <v>19</v>
      </c>
      <c r="G75" t="s">
        <v>405</v>
      </c>
      <c r="H75" t="s">
        <v>408</v>
      </c>
      <c r="I75">
        <v>515</v>
      </c>
      <c r="J75" cm="1">
        <f t="array" ref="J75">_xlfn.SWITCH(Table1__7[[#This Row],[Region]],"North",1,"South",2,"East",3,4)</f>
        <v>1</v>
      </c>
    </row>
    <row r="76" spans="1:10" x14ac:dyDescent="0.25">
      <c r="A76" s="2">
        <v>45756</v>
      </c>
      <c r="B76" t="s">
        <v>74</v>
      </c>
      <c r="C76" t="s">
        <v>82</v>
      </c>
      <c r="D76" t="s">
        <v>87</v>
      </c>
      <c r="E76">
        <v>8436</v>
      </c>
      <c r="F76">
        <v>19</v>
      </c>
      <c r="G76" t="s">
        <v>404</v>
      </c>
      <c r="H76" t="s">
        <v>409</v>
      </c>
      <c r="I76">
        <v>425</v>
      </c>
      <c r="J76" cm="1">
        <f t="array" ref="J76">_xlfn.SWITCH(Table1__7[[#This Row],[Region]],"North",1,"South",2,"East",3,4)</f>
        <v>4</v>
      </c>
    </row>
    <row r="77" spans="1:10" x14ac:dyDescent="0.25">
      <c r="A77" s="2">
        <v>45747</v>
      </c>
      <c r="B77" t="s">
        <v>74</v>
      </c>
      <c r="C77" t="s">
        <v>82</v>
      </c>
      <c r="D77" t="s">
        <v>85</v>
      </c>
      <c r="E77">
        <v>2832</v>
      </c>
      <c r="F77">
        <v>8</v>
      </c>
      <c r="G77" t="s">
        <v>404</v>
      </c>
      <c r="H77" t="s">
        <v>407</v>
      </c>
      <c r="I77">
        <v>434</v>
      </c>
      <c r="J77" cm="1">
        <f t="array" ref="J77">_xlfn.SWITCH(Table1__7[[#This Row],[Region]],"North",1,"South",2,"East",3,4)</f>
        <v>3</v>
      </c>
    </row>
    <row r="78" spans="1:10" x14ac:dyDescent="0.25">
      <c r="A78" s="2">
        <v>45693</v>
      </c>
      <c r="B78" t="s">
        <v>79</v>
      </c>
      <c r="C78" t="s">
        <v>81</v>
      </c>
      <c r="D78" t="s">
        <v>86</v>
      </c>
      <c r="E78">
        <v>8604</v>
      </c>
      <c r="F78">
        <v>18</v>
      </c>
      <c r="G78" t="s">
        <v>403</v>
      </c>
      <c r="H78" t="s">
        <v>406</v>
      </c>
      <c r="I78">
        <v>488</v>
      </c>
      <c r="J78" cm="1">
        <f t="array" ref="J78">_xlfn.SWITCH(Table1__7[[#This Row],[Region]],"North",1,"South",2,"East",3,4)</f>
        <v>2</v>
      </c>
    </row>
    <row r="79" spans="1:10" x14ac:dyDescent="0.25">
      <c r="A79" s="2">
        <v>45665</v>
      </c>
      <c r="B79" t="s">
        <v>73</v>
      </c>
      <c r="C79" t="s">
        <v>81</v>
      </c>
      <c r="D79" t="s">
        <v>86</v>
      </c>
      <c r="E79">
        <v>2805</v>
      </c>
      <c r="F79">
        <v>5</v>
      </c>
      <c r="G79" t="s">
        <v>405</v>
      </c>
      <c r="H79" t="s">
        <v>408</v>
      </c>
      <c r="I79">
        <v>516</v>
      </c>
      <c r="J79" cm="1">
        <f t="array" ref="J79">_xlfn.SWITCH(Table1__7[[#This Row],[Region]],"North",1,"South",2,"East",3,4)</f>
        <v>2</v>
      </c>
    </row>
    <row r="80" spans="1:10" x14ac:dyDescent="0.25">
      <c r="A80" s="2">
        <v>45690</v>
      </c>
      <c r="B80" t="s">
        <v>79</v>
      </c>
      <c r="C80" t="s">
        <v>81</v>
      </c>
      <c r="D80" t="s">
        <v>87</v>
      </c>
      <c r="E80">
        <v>5544</v>
      </c>
      <c r="F80">
        <v>7</v>
      </c>
      <c r="G80" t="s">
        <v>403</v>
      </c>
      <c r="H80" t="s">
        <v>406</v>
      </c>
      <c r="I80">
        <v>491</v>
      </c>
      <c r="J80" cm="1">
        <f t="array" ref="J80">_xlfn.SWITCH(Table1__7[[#This Row],[Region]],"North",1,"South",2,"East",3,4)</f>
        <v>4</v>
      </c>
    </row>
    <row r="81" spans="1:10" x14ac:dyDescent="0.25">
      <c r="A81" s="2">
        <v>45667</v>
      </c>
      <c r="B81" t="s">
        <v>77</v>
      </c>
      <c r="C81" t="s">
        <v>83</v>
      </c>
      <c r="D81" t="s">
        <v>88</v>
      </c>
      <c r="E81">
        <v>1694</v>
      </c>
      <c r="F81">
        <v>11</v>
      </c>
      <c r="G81" t="s">
        <v>405</v>
      </c>
      <c r="H81" t="s">
        <v>408</v>
      </c>
      <c r="I81">
        <v>514</v>
      </c>
      <c r="J81" cm="1">
        <f t="array" ref="J81">_xlfn.SWITCH(Table1__7[[#This Row],[Region]],"North",1,"South",2,"East",3,4)</f>
        <v>1</v>
      </c>
    </row>
    <row r="82" spans="1:10" x14ac:dyDescent="0.25">
      <c r="A82" s="2">
        <v>45665</v>
      </c>
      <c r="B82" t="s">
        <v>75</v>
      </c>
      <c r="C82" t="s">
        <v>83</v>
      </c>
      <c r="D82" t="s">
        <v>86</v>
      </c>
      <c r="E82">
        <v>5760</v>
      </c>
      <c r="F82">
        <v>9</v>
      </c>
      <c r="G82" t="s">
        <v>405</v>
      </c>
      <c r="H82" t="s">
        <v>408</v>
      </c>
      <c r="I82">
        <v>516</v>
      </c>
      <c r="J82" cm="1">
        <f t="array" ref="J82">_xlfn.SWITCH(Table1__7[[#This Row],[Region]],"North",1,"South",2,"East",3,4)</f>
        <v>2</v>
      </c>
    </row>
    <row r="83" spans="1:10" x14ac:dyDescent="0.25">
      <c r="A83" s="2">
        <v>45712</v>
      </c>
      <c r="B83" t="s">
        <v>78</v>
      </c>
      <c r="C83" t="s">
        <v>84</v>
      </c>
      <c r="D83" t="s">
        <v>85</v>
      </c>
      <c r="E83">
        <v>8550</v>
      </c>
      <c r="F83">
        <v>10</v>
      </c>
      <c r="G83" t="s">
        <v>403</v>
      </c>
      <c r="H83" t="s">
        <v>406</v>
      </c>
      <c r="I83">
        <v>469</v>
      </c>
      <c r="J83" cm="1">
        <f t="array" ref="J83">_xlfn.SWITCH(Table1__7[[#This Row],[Region]],"North",1,"South",2,"East",3,4)</f>
        <v>3</v>
      </c>
    </row>
    <row r="84" spans="1:10" x14ac:dyDescent="0.25">
      <c r="A84" s="2">
        <v>45668</v>
      </c>
      <c r="B84" t="s">
        <v>79</v>
      </c>
      <c r="C84" t="s">
        <v>81</v>
      </c>
      <c r="D84" t="s">
        <v>86</v>
      </c>
      <c r="E84">
        <v>1220</v>
      </c>
      <c r="F84">
        <v>5</v>
      </c>
      <c r="G84" t="s">
        <v>405</v>
      </c>
      <c r="H84" t="s">
        <v>408</v>
      </c>
      <c r="I84">
        <v>513</v>
      </c>
      <c r="J84" cm="1">
        <f t="array" ref="J84">_xlfn.SWITCH(Table1__7[[#This Row],[Region]],"North",1,"South",2,"East",3,4)</f>
        <v>2</v>
      </c>
    </row>
    <row r="85" spans="1:10" x14ac:dyDescent="0.25">
      <c r="A85" s="2">
        <v>45777</v>
      </c>
      <c r="B85" t="s">
        <v>77</v>
      </c>
      <c r="C85" t="s">
        <v>83</v>
      </c>
      <c r="D85" t="s">
        <v>88</v>
      </c>
      <c r="E85">
        <v>2490</v>
      </c>
      <c r="F85">
        <v>15</v>
      </c>
      <c r="G85" t="s">
        <v>404</v>
      </c>
      <c r="H85" t="s">
        <v>409</v>
      </c>
      <c r="I85">
        <v>404</v>
      </c>
      <c r="J85" cm="1">
        <f t="array" ref="J85">_xlfn.SWITCH(Table1__7[[#This Row],[Region]],"North",1,"South",2,"East",3,4)</f>
        <v>1</v>
      </c>
    </row>
    <row r="86" spans="1:10" x14ac:dyDescent="0.25">
      <c r="A86" s="2">
        <v>45731</v>
      </c>
      <c r="B86" t="s">
        <v>73</v>
      </c>
      <c r="C86" t="s">
        <v>81</v>
      </c>
      <c r="D86" t="s">
        <v>88</v>
      </c>
      <c r="E86">
        <v>3225</v>
      </c>
      <c r="F86">
        <v>15</v>
      </c>
      <c r="G86" t="s">
        <v>404</v>
      </c>
      <c r="H86" t="s">
        <v>407</v>
      </c>
      <c r="I86">
        <v>450</v>
      </c>
      <c r="J86" cm="1">
        <f t="array" ref="J86">_xlfn.SWITCH(Table1__7[[#This Row],[Region]],"North",1,"South",2,"East",3,4)</f>
        <v>1</v>
      </c>
    </row>
    <row r="87" spans="1:10" x14ac:dyDescent="0.25">
      <c r="A87" s="2">
        <v>45725</v>
      </c>
      <c r="B87" t="s">
        <v>79</v>
      </c>
      <c r="C87" t="s">
        <v>81</v>
      </c>
      <c r="D87" t="s">
        <v>88</v>
      </c>
      <c r="E87">
        <v>7930</v>
      </c>
      <c r="F87">
        <v>13</v>
      </c>
      <c r="G87" t="s">
        <v>403</v>
      </c>
      <c r="H87" t="s">
        <v>407</v>
      </c>
      <c r="I87">
        <v>456</v>
      </c>
      <c r="J87" cm="1">
        <f t="array" ref="J87">_xlfn.SWITCH(Table1__7[[#This Row],[Region]],"North",1,"South",2,"East",3,4)</f>
        <v>1</v>
      </c>
    </row>
    <row r="88" spans="1:10" x14ac:dyDescent="0.25">
      <c r="A88" s="2">
        <v>45756</v>
      </c>
      <c r="B88" t="s">
        <v>78</v>
      </c>
      <c r="C88" t="s">
        <v>84</v>
      </c>
      <c r="D88" t="s">
        <v>85</v>
      </c>
      <c r="E88">
        <v>12920</v>
      </c>
      <c r="F88">
        <v>19</v>
      </c>
      <c r="G88" t="s">
        <v>404</v>
      </c>
      <c r="H88" t="s">
        <v>409</v>
      </c>
      <c r="I88">
        <v>425</v>
      </c>
      <c r="J88" cm="1">
        <f t="array" ref="J88">_xlfn.SWITCH(Table1__7[[#This Row],[Region]],"North",1,"South",2,"East",3,4)</f>
        <v>3</v>
      </c>
    </row>
    <row r="89" spans="1:10" x14ac:dyDescent="0.25">
      <c r="A89" s="2">
        <v>45725</v>
      </c>
      <c r="B89" t="s">
        <v>77</v>
      </c>
      <c r="C89" t="s">
        <v>83</v>
      </c>
      <c r="D89" t="s">
        <v>85</v>
      </c>
      <c r="E89">
        <v>4685</v>
      </c>
      <c r="F89">
        <v>5</v>
      </c>
      <c r="G89" t="s">
        <v>403</v>
      </c>
      <c r="H89" t="s">
        <v>407</v>
      </c>
      <c r="I89">
        <v>456</v>
      </c>
      <c r="J89" cm="1">
        <f t="array" ref="J89">_xlfn.SWITCH(Table1__7[[#This Row],[Region]],"North",1,"South",2,"East",3,4)</f>
        <v>3</v>
      </c>
    </row>
    <row r="90" spans="1:10" x14ac:dyDescent="0.25">
      <c r="A90" s="2">
        <v>45694</v>
      </c>
      <c r="B90" t="s">
        <v>74</v>
      </c>
      <c r="C90" t="s">
        <v>82</v>
      </c>
      <c r="D90" t="s">
        <v>88</v>
      </c>
      <c r="E90">
        <v>808</v>
      </c>
      <c r="F90">
        <v>8</v>
      </c>
      <c r="G90" t="s">
        <v>403</v>
      </c>
      <c r="H90" t="s">
        <v>406</v>
      </c>
      <c r="I90">
        <v>487</v>
      </c>
      <c r="J90" cm="1">
        <f t="array" ref="J90">_xlfn.SWITCH(Table1__7[[#This Row],[Region]],"North",1,"South",2,"East",3,4)</f>
        <v>1</v>
      </c>
    </row>
    <row r="91" spans="1:10" x14ac:dyDescent="0.25">
      <c r="A91" s="2">
        <v>45749</v>
      </c>
      <c r="B91" t="s">
        <v>76</v>
      </c>
      <c r="C91" t="s">
        <v>84</v>
      </c>
      <c r="D91" t="s">
        <v>85</v>
      </c>
      <c r="E91">
        <v>1592</v>
      </c>
      <c r="F91">
        <v>4</v>
      </c>
      <c r="G91" t="s">
        <v>404</v>
      </c>
      <c r="H91" t="s">
        <v>409</v>
      </c>
      <c r="I91">
        <v>432</v>
      </c>
      <c r="J91" cm="1">
        <f t="array" ref="J91">_xlfn.SWITCH(Table1__7[[#This Row],[Region]],"North",1,"South",2,"East",3,4)</f>
        <v>3</v>
      </c>
    </row>
    <row r="92" spans="1:10" x14ac:dyDescent="0.25">
      <c r="A92" s="2">
        <v>45778</v>
      </c>
      <c r="B92" t="s">
        <v>75</v>
      </c>
      <c r="C92" t="s">
        <v>83</v>
      </c>
      <c r="D92" t="s">
        <v>86</v>
      </c>
      <c r="E92">
        <v>14860</v>
      </c>
      <c r="F92">
        <v>20</v>
      </c>
      <c r="G92" t="s">
        <v>404</v>
      </c>
      <c r="H92" t="s">
        <v>410</v>
      </c>
      <c r="I92">
        <v>403</v>
      </c>
      <c r="J92" cm="1">
        <f t="array" ref="J92">_xlfn.SWITCH(Table1__7[[#This Row],[Region]],"North",1,"South",2,"East",3,4)</f>
        <v>2</v>
      </c>
    </row>
    <row r="93" spans="1:10" x14ac:dyDescent="0.25">
      <c r="A93" s="2">
        <v>45658</v>
      </c>
      <c r="B93" t="s">
        <v>78</v>
      </c>
      <c r="C93" t="s">
        <v>84</v>
      </c>
      <c r="D93" t="s">
        <v>86</v>
      </c>
      <c r="E93">
        <v>8040</v>
      </c>
      <c r="F93">
        <v>10</v>
      </c>
      <c r="G93" t="s">
        <v>405</v>
      </c>
      <c r="H93" t="s">
        <v>408</v>
      </c>
      <c r="I93">
        <v>523</v>
      </c>
      <c r="J93" cm="1">
        <f t="array" ref="J93">_xlfn.SWITCH(Table1__7[[#This Row],[Region]],"North",1,"South",2,"East",3,4)</f>
        <v>2</v>
      </c>
    </row>
    <row r="94" spans="1:10" x14ac:dyDescent="0.25">
      <c r="A94" s="2">
        <v>45762</v>
      </c>
      <c r="B94" t="s">
        <v>78</v>
      </c>
      <c r="C94" t="s">
        <v>84</v>
      </c>
      <c r="D94" t="s">
        <v>87</v>
      </c>
      <c r="E94">
        <v>3880</v>
      </c>
      <c r="F94">
        <v>20</v>
      </c>
      <c r="G94" t="s">
        <v>404</v>
      </c>
      <c r="H94" t="s">
        <v>409</v>
      </c>
      <c r="I94">
        <v>419</v>
      </c>
      <c r="J94" cm="1">
        <f t="array" ref="J94">_xlfn.SWITCH(Table1__7[[#This Row],[Region]],"North",1,"South",2,"East",3,4)</f>
        <v>4</v>
      </c>
    </row>
    <row r="95" spans="1:10" x14ac:dyDescent="0.25">
      <c r="A95" s="2">
        <v>45765</v>
      </c>
      <c r="B95" t="s">
        <v>75</v>
      </c>
      <c r="C95" t="s">
        <v>83</v>
      </c>
      <c r="D95" t="s">
        <v>87</v>
      </c>
      <c r="E95">
        <v>2522</v>
      </c>
      <c r="F95">
        <v>13</v>
      </c>
      <c r="G95" t="s">
        <v>404</v>
      </c>
      <c r="H95" t="s">
        <v>409</v>
      </c>
      <c r="I95">
        <v>416</v>
      </c>
      <c r="J95" cm="1">
        <f t="array" ref="J95">_xlfn.SWITCH(Table1__7[[#This Row],[Region]],"North",1,"South",2,"East",3,4)</f>
        <v>4</v>
      </c>
    </row>
    <row r="96" spans="1:10" x14ac:dyDescent="0.25">
      <c r="A96" s="2">
        <v>45701</v>
      </c>
      <c r="B96" t="s">
        <v>76</v>
      </c>
      <c r="C96" t="s">
        <v>84</v>
      </c>
      <c r="D96" t="s">
        <v>85</v>
      </c>
      <c r="E96">
        <v>852</v>
      </c>
      <c r="F96">
        <v>2</v>
      </c>
      <c r="G96" t="s">
        <v>403</v>
      </c>
      <c r="H96" t="s">
        <v>406</v>
      </c>
      <c r="I96">
        <v>480</v>
      </c>
      <c r="J96" cm="1">
        <f t="array" ref="J96">_xlfn.SWITCH(Table1__7[[#This Row],[Region]],"North",1,"South",2,"East",3,4)</f>
        <v>3</v>
      </c>
    </row>
    <row r="97" spans="1:10" x14ac:dyDescent="0.25">
      <c r="A97" s="2">
        <v>45727</v>
      </c>
      <c r="B97" t="s">
        <v>73</v>
      </c>
      <c r="C97" t="s">
        <v>81</v>
      </c>
      <c r="D97" t="s">
        <v>85</v>
      </c>
      <c r="E97">
        <v>1185</v>
      </c>
      <c r="F97">
        <v>5</v>
      </c>
      <c r="G97" t="s">
        <v>403</v>
      </c>
      <c r="H97" t="s">
        <v>407</v>
      </c>
      <c r="I97">
        <v>454</v>
      </c>
      <c r="J97" cm="1">
        <f t="array" ref="J97">_xlfn.SWITCH(Table1__7[[#This Row],[Region]],"North",1,"South",2,"East",3,4)</f>
        <v>3</v>
      </c>
    </row>
    <row r="98" spans="1:10" x14ac:dyDescent="0.25">
      <c r="A98" s="2">
        <v>45741</v>
      </c>
      <c r="B98" t="s">
        <v>73</v>
      </c>
      <c r="C98" t="s">
        <v>81</v>
      </c>
      <c r="D98" t="s">
        <v>85</v>
      </c>
      <c r="E98">
        <v>1836</v>
      </c>
      <c r="F98">
        <v>12</v>
      </c>
      <c r="G98" t="s">
        <v>404</v>
      </c>
      <c r="H98" t="s">
        <v>407</v>
      </c>
      <c r="I98">
        <v>440</v>
      </c>
      <c r="J98" cm="1">
        <f t="array" ref="J98">_xlfn.SWITCH(Table1__7[[#This Row],[Region]],"North",1,"South",2,"East",3,4)</f>
        <v>3</v>
      </c>
    </row>
    <row r="99" spans="1:10" x14ac:dyDescent="0.25">
      <c r="A99" s="2">
        <v>45679</v>
      </c>
      <c r="B99" t="s">
        <v>80</v>
      </c>
      <c r="C99" t="s">
        <v>82</v>
      </c>
      <c r="D99" t="s">
        <v>87</v>
      </c>
      <c r="E99">
        <v>3835</v>
      </c>
      <c r="F99">
        <v>5</v>
      </c>
      <c r="G99" t="s">
        <v>405</v>
      </c>
      <c r="H99" t="s">
        <v>408</v>
      </c>
      <c r="I99">
        <v>502</v>
      </c>
      <c r="J99" cm="1">
        <f t="array" ref="J99">_xlfn.SWITCH(Table1__7[[#This Row],[Region]],"North",1,"South",2,"East",3,4)</f>
        <v>4</v>
      </c>
    </row>
    <row r="100" spans="1:10" x14ac:dyDescent="0.25">
      <c r="A100" s="2">
        <v>45711</v>
      </c>
      <c r="B100" t="s">
        <v>75</v>
      </c>
      <c r="C100" t="s">
        <v>83</v>
      </c>
      <c r="D100" t="s">
        <v>85</v>
      </c>
      <c r="E100">
        <v>2460</v>
      </c>
      <c r="F100">
        <v>12</v>
      </c>
      <c r="G100" t="s">
        <v>403</v>
      </c>
      <c r="H100" t="s">
        <v>406</v>
      </c>
      <c r="I100">
        <v>470</v>
      </c>
      <c r="J100" cm="1">
        <f t="array" ref="J100">_xlfn.SWITCH(Table1__7[[#This Row],[Region]],"North",1,"South",2,"East",3,4)</f>
        <v>3</v>
      </c>
    </row>
    <row r="101" spans="1:10" x14ac:dyDescent="0.25">
      <c r="A101" s="2">
        <v>45693</v>
      </c>
      <c r="B101" t="s">
        <v>78</v>
      </c>
      <c r="C101" t="s">
        <v>84</v>
      </c>
      <c r="D101" t="s">
        <v>88</v>
      </c>
      <c r="E101">
        <v>3941</v>
      </c>
      <c r="F101">
        <v>7</v>
      </c>
      <c r="G101" t="s">
        <v>403</v>
      </c>
      <c r="H101" t="s">
        <v>406</v>
      </c>
      <c r="I101">
        <v>488</v>
      </c>
      <c r="J101" cm="1">
        <f t="array" ref="J101">_xlfn.SWITCH(Table1__7[[#This Row],[Region]],"North",1,"South",2,"East",3,4)</f>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F919E-B352-45E8-99E8-6FFCBBD98D1D}">
  <sheetPr codeName="Sheet9"/>
  <dimension ref="A1:AQ101"/>
  <sheetViews>
    <sheetView topLeftCell="V24" zoomScale="115" zoomScaleNormal="115" workbookViewId="0">
      <selection activeCell="AM39" sqref="AM39"/>
    </sheetView>
  </sheetViews>
  <sheetFormatPr defaultRowHeight="15" x14ac:dyDescent="0.25"/>
  <cols>
    <col min="1" max="1" width="11.42578125" bestFit="1" customWidth="1"/>
    <col min="2" max="2" width="12.42578125" style="46" bestFit="1" customWidth="1"/>
    <col min="3" max="3" width="11.140625" bestFit="1" customWidth="1"/>
    <col min="4" max="4" width="9.42578125" bestFit="1" customWidth="1"/>
    <col min="5" max="5" width="16.42578125" style="57" bestFit="1" customWidth="1"/>
    <col min="6" max="6" width="15.42578125" style="37" bestFit="1" customWidth="1"/>
    <col min="7" max="7" width="10.5703125" style="37" bestFit="1" customWidth="1"/>
    <col min="8" max="8" width="11.140625" style="37" bestFit="1" customWidth="1"/>
    <col min="9" max="9" width="6.42578125" style="37" bestFit="1" customWidth="1"/>
    <col min="11" max="11" width="11" customWidth="1"/>
    <col min="12" max="12" width="20.140625" style="55" customWidth="1"/>
    <col min="13" max="15" width="16" style="49" customWidth="1"/>
    <col min="16" max="16" width="16" style="52" customWidth="1"/>
    <col min="17" max="17" width="19.140625" style="41" customWidth="1"/>
    <col min="20" max="20" width="13.85546875" customWidth="1"/>
    <col min="22" max="22" width="13.5703125" customWidth="1"/>
    <col min="23" max="23" width="10.42578125" bestFit="1" customWidth="1"/>
    <col min="27" max="27" width="22.140625" customWidth="1"/>
    <col min="29" max="30" width="10.5703125" customWidth="1"/>
    <col min="31" max="31" width="14.140625" bestFit="1" customWidth="1"/>
    <col min="32" max="32" width="13.140625" bestFit="1" customWidth="1"/>
    <col min="33" max="33" width="13.5703125" bestFit="1" customWidth="1"/>
    <col min="35" max="35" width="18.85546875" bestFit="1" customWidth="1"/>
    <col min="37" max="37" width="18.42578125" bestFit="1" customWidth="1"/>
    <col min="38" max="38" width="13.5703125" customWidth="1"/>
    <col min="40" max="40" width="14.5703125" customWidth="1"/>
  </cols>
  <sheetData>
    <row r="1" spans="1:37" ht="19.5" thickBot="1" x14ac:dyDescent="0.35">
      <c r="A1" t="s">
        <v>0</v>
      </c>
      <c r="B1" s="46" t="s">
        <v>1</v>
      </c>
      <c r="C1" t="s">
        <v>2</v>
      </c>
      <c r="D1" t="s">
        <v>3</v>
      </c>
      <c r="E1" s="57" t="s">
        <v>4</v>
      </c>
      <c r="F1" s="37" t="s">
        <v>5</v>
      </c>
      <c r="G1" t="s">
        <v>402</v>
      </c>
      <c r="H1" t="s">
        <v>401</v>
      </c>
      <c r="I1" t="s">
        <v>400</v>
      </c>
      <c r="L1" s="53" t="s">
        <v>0</v>
      </c>
      <c r="M1" s="47" t="s">
        <v>1</v>
      </c>
      <c r="N1" s="47" t="s">
        <v>2</v>
      </c>
      <c r="O1" s="47" t="s">
        <v>3</v>
      </c>
      <c r="P1" s="50" t="s">
        <v>4</v>
      </c>
      <c r="Q1" s="42" t="s">
        <v>5</v>
      </c>
    </row>
    <row r="2" spans="1:37" ht="15.75" thickBot="1" x14ac:dyDescent="0.3">
      <c r="A2" s="2">
        <v>45735</v>
      </c>
      <c r="B2" s="46" t="s">
        <v>78</v>
      </c>
      <c r="C2" t="s">
        <v>84</v>
      </c>
      <c r="D2" t="s">
        <v>85</v>
      </c>
      <c r="E2" s="57">
        <v>7776</v>
      </c>
      <c r="F2" s="37">
        <v>8</v>
      </c>
      <c r="G2" t="s">
        <v>404</v>
      </c>
      <c r="H2" t="s">
        <v>407</v>
      </c>
      <c r="I2">
        <v>446</v>
      </c>
      <c r="K2" t="str">
        <f>TEXT(L2,"dd-mm-yyyy")</f>
        <v>09-02-2025</v>
      </c>
      <c r="L2" s="54">
        <v>45697</v>
      </c>
      <c r="M2" s="48" t="s">
        <v>73</v>
      </c>
      <c r="N2" s="48" t="s">
        <v>81</v>
      </c>
      <c r="O2" s="48" t="s">
        <v>85</v>
      </c>
      <c r="P2" s="51">
        <v>4050</v>
      </c>
      <c r="Q2" s="40">
        <v>18</v>
      </c>
    </row>
    <row r="3" spans="1:37" ht="15.75" thickBot="1" x14ac:dyDescent="0.3">
      <c r="A3" s="2">
        <v>45722</v>
      </c>
      <c r="B3" s="46" t="s">
        <v>78</v>
      </c>
      <c r="C3" t="s">
        <v>84</v>
      </c>
      <c r="D3" t="s">
        <v>85</v>
      </c>
      <c r="E3" s="57">
        <v>558</v>
      </c>
      <c r="F3" s="37">
        <v>1</v>
      </c>
      <c r="G3" t="s">
        <v>403</v>
      </c>
      <c r="H3" t="s">
        <v>407</v>
      </c>
      <c r="I3">
        <v>459</v>
      </c>
      <c r="L3" s="55">
        <v>45734</v>
      </c>
      <c r="M3" s="49" t="s">
        <v>74</v>
      </c>
      <c r="N3" s="49" t="s">
        <v>82</v>
      </c>
      <c r="O3" s="49" t="s">
        <v>86</v>
      </c>
      <c r="P3" s="52">
        <v>7875</v>
      </c>
      <c r="Q3" s="41">
        <v>15</v>
      </c>
      <c r="AC3" s="38" t="s">
        <v>284</v>
      </c>
      <c r="AE3" s="38" t="s">
        <v>285</v>
      </c>
      <c r="AG3" s="38" t="s">
        <v>286</v>
      </c>
      <c r="AI3" s="38" t="s">
        <v>287</v>
      </c>
      <c r="AK3" s="38" t="s">
        <v>288</v>
      </c>
    </row>
    <row r="4" spans="1:37" x14ac:dyDescent="0.25">
      <c r="A4" s="2">
        <v>45663</v>
      </c>
      <c r="B4" s="46" t="s">
        <v>78</v>
      </c>
      <c r="C4" t="s">
        <v>84</v>
      </c>
      <c r="D4" t="s">
        <v>86</v>
      </c>
      <c r="E4" s="57">
        <v>7398</v>
      </c>
      <c r="F4" s="37">
        <v>9</v>
      </c>
      <c r="G4" t="s">
        <v>405</v>
      </c>
      <c r="H4" t="s">
        <v>408</v>
      </c>
      <c r="I4">
        <v>518</v>
      </c>
      <c r="L4" s="54">
        <v>45676</v>
      </c>
      <c r="M4" s="48" t="s">
        <v>75</v>
      </c>
      <c r="N4" s="48" t="s">
        <v>83</v>
      </c>
      <c r="O4" s="48" t="s">
        <v>85</v>
      </c>
      <c r="P4" s="51">
        <v>5832</v>
      </c>
      <c r="Q4" s="40">
        <v>6</v>
      </c>
      <c r="AA4" s="62">
        <v>50000</v>
      </c>
      <c r="AC4" s="62" t="str">
        <f>TEXT(AA4,"#,##0;-#,##0;;")</f>
        <v>50,000</v>
      </c>
      <c r="AE4" s="62" t="str">
        <f>TEXT(AA4,"#,##0;;#,##0;")</f>
        <v>50,000</v>
      </c>
      <c r="AG4" s="62" t="str">
        <f>TEXT(AA4,";-#,##0;#,##0;")</f>
        <v/>
      </c>
      <c r="AI4" s="69">
        <v>50000</v>
      </c>
      <c r="AK4" s="66">
        <v>50000</v>
      </c>
    </row>
    <row r="5" spans="1:37" x14ac:dyDescent="0.25">
      <c r="A5" s="2">
        <v>45679</v>
      </c>
      <c r="B5" s="46" t="s">
        <v>78</v>
      </c>
      <c r="C5" t="s">
        <v>84</v>
      </c>
      <c r="D5" t="s">
        <v>87</v>
      </c>
      <c r="E5" s="57">
        <v>4884</v>
      </c>
      <c r="F5" s="37">
        <v>6</v>
      </c>
      <c r="G5" t="s">
        <v>405</v>
      </c>
      <c r="H5" t="s">
        <v>408</v>
      </c>
      <c r="I5">
        <v>502</v>
      </c>
      <c r="L5" s="55">
        <v>45694</v>
      </c>
      <c r="M5" s="49" t="s">
        <v>76</v>
      </c>
      <c r="N5" s="49" t="s">
        <v>84</v>
      </c>
      <c r="O5" s="49" t="s">
        <v>85</v>
      </c>
      <c r="P5" s="52">
        <v>676</v>
      </c>
      <c r="Q5" s="41">
        <v>4</v>
      </c>
      <c r="W5" t="s">
        <v>282</v>
      </c>
      <c r="AA5" s="62">
        <v>-6000</v>
      </c>
      <c r="AC5" s="62" t="str">
        <f t="shared" ref="AC5:AC9" si="0">TEXT(AA5,"#,##0;-#,##0;;")</f>
        <v>-6,000</v>
      </c>
      <c r="AE5" s="62" t="str">
        <f t="shared" ref="AE5:AE9" si="1">TEXT(AA5,"#,##0;;#,##0;")</f>
        <v/>
      </c>
      <c r="AG5" s="62" t="str">
        <f t="shared" ref="AG5:AG9" si="2">TEXT(AA5,";-#,##0;#,##0;")</f>
        <v>-6,000</v>
      </c>
      <c r="AI5" s="69">
        <v>-6000</v>
      </c>
      <c r="AK5" s="66">
        <v>-6000</v>
      </c>
    </row>
    <row r="6" spans="1:37" x14ac:dyDescent="0.25">
      <c r="A6" s="2">
        <v>45744</v>
      </c>
      <c r="B6" s="46" t="s">
        <v>78</v>
      </c>
      <c r="C6" t="s">
        <v>84</v>
      </c>
      <c r="D6" t="s">
        <v>85</v>
      </c>
      <c r="E6" s="57">
        <v>7840</v>
      </c>
      <c r="F6" s="37">
        <v>14</v>
      </c>
      <c r="G6" t="s">
        <v>404</v>
      </c>
      <c r="H6" t="s">
        <v>407</v>
      </c>
      <c r="I6">
        <v>437</v>
      </c>
      <c r="L6" s="54">
        <v>45693</v>
      </c>
      <c r="M6" s="48" t="s">
        <v>74</v>
      </c>
      <c r="N6" s="48" t="s">
        <v>82</v>
      </c>
      <c r="O6" s="48" t="s">
        <v>87</v>
      </c>
      <c r="P6" s="51">
        <v>6560</v>
      </c>
      <c r="Q6" s="40">
        <v>10</v>
      </c>
      <c r="V6" t="s">
        <v>282</v>
      </c>
      <c r="AA6" s="62">
        <v>0</v>
      </c>
      <c r="AC6" s="62" t="str">
        <f t="shared" si="0"/>
        <v/>
      </c>
      <c r="AE6" s="62" t="str">
        <f t="shared" si="1"/>
        <v>0</v>
      </c>
      <c r="AG6" s="62" t="str">
        <f t="shared" si="2"/>
        <v>0</v>
      </c>
      <c r="AI6" s="69">
        <v>0</v>
      </c>
      <c r="AK6" s="66">
        <v>0</v>
      </c>
    </row>
    <row r="7" spans="1:37" x14ac:dyDescent="0.25">
      <c r="A7" s="2">
        <v>45670</v>
      </c>
      <c r="B7" s="46" t="s">
        <v>78</v>
      </c>
      <c r="C7" t="s">
        <v>84</v>
      </c>
      <c r="D7" t="s">
        <v>86</v>
      </c>
      <c r="E7" s="57">
        <v>4806</v>
      </c>
      <c r="F7" s="37">
        <v>6</v>
      </c>
      <c r="G7" t="s">
        <v>405</v>
      </c>
      <c r="H7" t="s">
        <v>408</v>
      </c>
      <c r="I7">
        <v>511</v>
      </c>
      <c r="L7" s="55">
        <v>45775</v>
      </c>
      <c r="M7" s="49" t="s">
        <v>76</v>
      </c>
      <c r="N7" s="49" t="s">
        <v>84</v>
      </c>
      <c r="O7" s="49" t="s">
        <v>87</v>
      </c>
      <c r="P7" s="52">
        <v>1905</v>
      </c>
      <c r="Q7" s="41">
        <v>5</v>
      </c>
      <c r="AA7" s="62">
        <v>4000</v>
      </c>
      <c r="AC7" s="62" t="str">
        <f t="shared" si="0"/>
        <v>4,000</v>
      </c>
      <c r="AE7" s="62" t="str">
        <f t="shared" si="1"/>
        <v>4,000</v>
      </c>
      <c r="AG7" s="62" t="str">
        <f t="shared" si="2"/>
        <v/>
      </c>
      <c r="AI7" s="69">
        <v>4000</v>
      </c>
      <c r="AK7" s="66">
        <v>4000</v>
      </c>
    </row>
    <row r="8" spans="1:37" x14ac:dyDescent="0.25">
      <c r="A8" s="2">
        <v>45716</v>
      </c>
      <c r="B8" s="46" t="s">
        <v>78</v>
      </c>
      <c r="C8" t="s">
        <v>84</v>
      </c>
      <c r="D8" t="s">
        <v>88</v>
      </c>
      <c r="E8" s="57">
        <v>2598</v>
      </c>
      <c r="F8" s="37">
        <v>3</v>
      </c>
      <c r="G8" t="s">
        <v>403</v>
      </c>
      <c r="H8" t="s">
        <v>406</v>
      </c>
      <c r="I8">
        <v>465</v>
      </c>
      <c r="L8" s="54">
        <v>45720</v>
      </c>
      <c r="M8" s="48" t="s">
        <v>77</v>
      </c>
      <c r="N8" s="48" t="s">
        <v>83</v>
      </c>
      <c r="O8" s="48" t="s">
        <v>86</v>
      </c>
      <c r="P8" s="51">
        <v>6948</v>
      </c>
      <c r="Q8" s="40">
        <v>18</v>
      </c>
      <c r="W8" s="2"/>
      <c r="AA8" s="62">
        <v>-100000</v>
      </c>
      <c r="AC8" s="62" t="str">
        <f t="shared" si="0"/>
        <v>-1,00,000</v>
      </c>
      <c r="AE8" s="62" t="str">
        <f t="shared" si="1"/>
        <v/>
      </c>
      <c r="AG8" s="62" t="str">
        <f t="shared" si="2"/>
        <v>-1,00,000</v>
      </c>
      <c r="AI8" s="69">
        <v>-100000</v>
      </c>
      <c r="AK8" s="66">
        <v>-100000</v>
      </c>
    </row>
    <row r="9" spans="1:37" ht="18.75" x14ac:dyDescent="0.3">
      <c r="A9" s="2">
        <v>45660</v>
      </c>
      <c r="B9" s="46" t="s">
        <v>78</v>
      </c>
      <c r="C9" t="s">
        <v>84</v>
      </c>
      <c r="D9" t="s">
        <v>85</v>
      </c>
      <c r="E9" s="57">
        <v>14256</v>
      </c>
      <c r="F9" s="37">
        <v>16</v>
      </c>
      <c r="G9" t="s">
        <v>405</v>
      </c>
      <c r="H9" t="s">
        <v>408</v>
      </c>
      <c r="I9">
        <v>521</v>
      </c>
      <c r="L9" s="55">
        <v>45764</v>
      </c>
      <c r="M9" s="49" t="s">
        <v>77</v>
      </c>
      <c r="N9" s="49" t="s">
        <v>83</v>
      </c>
      <c r="O9" s="49" t="s">
        <v>85</v>
      </c>
      <c r="P9" s="52">
        <v>1944</v>
      </c>
      <c r="Q9" s="41">
        <v>18</v>
      </c>
      <c r="S9" s="112" t="s">
        <v>276</v>
      </c>
      <c r="T9" s="113"/>
      <c r="U9" s="113"/>
      <c r="V9" s="113"/>
      <c r="W9" s="2"/>
      <c r="AA9" s="62">
        <v>0</v>
      </c>
      <c r="AC9" s="62" t="str">
        <f t="shared" si="0"/>
        <v/>
      </c>
      <c r="AE9" s="62" t="str">
        <f t="shared" si="1"/>
        <v>0</v>
      </c>
      <c r="AG9" s="62" t="str">
        <f t="shared" si="2"/>
        <v>0</v>
      </c>
      <c r="AI9" s="69">
        <v>0</v>
      </c>
      <c r="AK9" s="66">
        <v>0</v>
      </c>
    </row>
    <row r="10" spans="1:37" x14ac:dyDescent="0.25">
      <c r="A10" s="2">
        <v>45732</v>
      </c>
      <c r="B10" s="46" t="s">
        <v>78</v>
      </c>
      <c r="C10" t="s">
        <v>84</v>
      </c>
      <c r="D10" t="s">
        <v>88</v>
      </c>
      <c r="E10" s="57">
        <v>9622</v>
      </c>
      <c r="F10" s="37">
        <v>17</v>
      </c>
      <c r="G10" t="s">
        <v>404</v>
      </c>
      <c r="H10" t="s">
        <v>407</v>
      </c>
      <c r="I10">
        <v>449</v>
      </c>
      <c r="L10" s="54">
        <v>45735</v>
      </c>
      <c r="M10" s="48" t="s">
        <v>78</v>
      </c>
      <c r="N10" s="48" t="s">
        <v>84</v>
      </c>
      <c r="O10" s="48" t="s">
        <v>85</v>
      </c>
      <c r="P10" s="51">
        <v>7776</v>
      </c>
      <c r="Q10" s="40">
        <v>8</v>
      </c>
      <c r="W10" s="2"/>
    </row>
    <row r="11" spans="1:37" x14ac:dyDescent="0.25">
      <c r="A11" s="2">
        <v>45658</v>
      </c>
      <c r="B11" s="46" t="s">
        <v>78</v>
      </c>
      <c r="C11" t="s">
        <v>84</v>
      </c>
      <c r="D11" t="s">
        <v>86</v>
      </c>
      <c r="E11" s="57">
        <v>7395</v>
      </c>
      <c r="F11" s="37">
        <v>17</v>
      </c>
      <c r="G11" t="s">
        <v>405</v>
      </c>
      <c r="H11" t="s">
        <v>408</v>
      </c>
      <c r="I11">
        <v>523</v>
      </c>
      <c r="L11" s="55">
        <v>45778</v>
      </c>
      <c r="M11" s="49" t="s">
        <v>74</v>
      </c>
      <c r="N11" s="49" t="s">
        <v>82</v>
      </c>
      <c r="O11" s="49" t="s">
        <v>86</v>
      </c>
      <c r="P11" s="52">
        <v>2790</v>
      </c>
      <c r="Q11" s="41">
        <v>18</v>
      </c>
      <c r="S11" t="s">
        <v>277</v>
      </c>
      <c r="U11" t="s">
        <v>280</v>
      </c>
      <c r="W11" s="2"/>
    </row>
    <row r="12" spans="1:37" x14ac:dyDescent="0.25">
      <c r="A12" s="2">
        <v>45727</v>
      </c>
      <c r="B12" s="46" t="s">
        <v>78</v>
      </c>
      <c r="C12" t="s">
        <v>84</v>
      </c>
      <c r="D12" t="s">
        <v>87</v>
      </c>
      <c r="E12" s="57">
        <v>6464</v>
      </c>
      <c r="F12" s="37">
        <v>8</v>
      </c>
      <c r="G12" t="s">
        <v>403</v>
      </c>
      <c r="H12" t="s">
        <v>407</v>
      </c>
      <c r="I12">
        <v>454</v>
      </c>
      <c r="L12" s="54">
        <v>45693</v>
      </c>
      <c r="M12" s="48" t="s">
        <v>75</v>
      </c>
      <c r="N12" s="48" t="s">
        <v>83</v>
      </c>
      <c r="O12" s="48" t="s">
        <v>86</v>
      </c>
      <c r="P12" s="51">
        <v>7995</v>
      </c>
      <c r="Q12" s="40">
        <v>13</v>
      </c>
      <c r="S12" t="s">
        <v>278</v>
      </c>
      <c r="U12" t="s">
        <v>281</v>
      </c>
      <c r="W12" s="2"/>
    </row>
    <row r="13" spans="1:37" ht="15.75" thickBot="1" x14ac:dyDescent="0.3">
      <c r="A13" s="2">
        <v>45712</v>
      </c>
      <c r="B13" s="46" t="s">
        <v>78</v>
      </c>
      <c r="C13" t="s">
        <v>84</v>
      </c>
      <c r="D13" t="s">
        <v>85</v>
      </c>
      <c r="E13" s="57">
        <v>8550</v>
      </c>
      <c r="F13" s="37">
        <v>10</v>
      </c>
      <c r="G13" t="s">
        <v>403</v>
      </c>
      <c r="H13" t="s">
        <v>406</v>
      </c>
      <c r="I13">
        <v>469</v>
      </c>
      <c r="L13" s="55">
        <v>45677</v>
      </c>
      <c r="M13" s="49" t="s">
        <v>75</v>
      </c>
      <c r="N13" s="49" t="s">
        <v>83</v>
      </c>
      <c r="O13" s="49" t="s">
        <v>85</v>
      </c>
      <c r="P13" s="52">
        <v>9984</v>
      </c>
      <c r="Q13" s="41">
        <v>13</v>
      </c>
      <c r="S13" t="s">
        <v>279</v>
      </c>
      <c r="W13" s="2"/>
      <c r="AC13" s="8">
        <v>0</v>
      </c>
      <c r="AD13" s="70" t="s">
        <v>293</v>
      </c>
      <c r="AE13" s="70" t="s">
        <v>289</v>
      </c>
      <c r="AF13" s="70" t="s">
        <v>294</v>
      </c>
      <c r="AG13" s="70" t="s">
        <v>290</v>
      </c>
      <c r="AH13" s="70" t="s">
        <v>291</v>
      </c>
    </row>
    <row r="14" spans="1:37" ht="15.75" thickBot="1" x14ac:dyDescent="0.3">
      <c r="A14" s="2">
        <v>45756</v>
      </c>
      <c r="B14" s="46" t="s">
        <v>78</v>
      </c>
      <c r="C14" t="s">
        <v>84</v>
      </c>
      <c r="D14" t="s">
        <v>85</v>
      </c>
      <c r="E14" s="57">
        <v>12920</v>
      </c>
      <c r="F14" s="37">
        <v>19</v>
      </c>
      <c r="G14" t="s">
        <v>404</v>
      </c>
      <c r="H14" t="s">
        <v>409</v>
      </c>
      <c r="I14">
        <v>425</v>
      </c>
      <c r="L14" s="54">
        <v>45739</v>
      </c>
      <c r="M14" s="48" t="s">
        <v>75</v>
      </c>
      <c r="N14" s="48" t="s">
        <v>83</v>
      </c>
      <c r="O14" s="48" t="s">
        <v>87</v>
      </c>
      <c r="P14" s="51">
        <v>7683</v>
      </c>
      <c r="Q14" s="40">
        <v>13</v>
      </c>
      <c r="AA14" s="62">
        <v>0.5</v>
      </c>
      <c r="AC14" s="63">
        <v>0.5</v>
      </c>
      <c r="AD14" s="64">
        <v>0.5</v>
      </c>
      <c r="AE14" s="65">
        <v>0.5</v>
      </c>
      <c r="AF14" s="62">
        <v>0.5</v>
      </c>
      <c r="AG14" s="67">
        <v>0.5</v>
      </c>
      <c r="AH14" s="68">
        <v>0.5</v>
      </c>
      <c r="AI14" s="38" t="s">
        <v>292</v>
      </c>
    </row>
    <row r="15" spans="1:37" x14ac:dyDescent="0.25">
      <c r="A15" s="2">
        <v>45658</v>
      </c>
      <c r="B15" s="46" t="s">
        <v>78</v>
      </c>
      <c r="C15" t="s">
        <v>84</v>
      </c>
      <c r="D15" t="s">
        <v>86</v>
      </c>
      <c r="E15" s="57">
        <v>8040</v>
      </c>
      <c r="F15" s="37">
        <v>10</v>
      </c>
      <c r="G15" t="s">
        <v>405</v>
      </c>
      <c r="H15" t="s">
        <v>408</v>
      </c>
      <c r="I15">
        <v>523</v>
      </c>
      <c r="L15" s="55">
        <v>45699</v>
      </c>
      <c r="M15" s="49" t="s">
        <v>76</v>
      </c>
      <c r="N15" s="49" t="s">
        <v>84</v>
      </c>
      <c r="O15" s="49" t="s">
        <v>88</v>
      </c>
      <c r="P15" s="52">
        <v>6885</v>
      </c>
      <c r="Q15" s="41">
        <v>9</v>
      </c>
      <c r="AA15" s="62">
        <v>0.55000000000000004</v>
      </c>
      <c r="AC15" s="63">
        <v>0.55000000000000004</v>
      </c>
      <c r="AD15" s="64">
        <v>0.55000000000000004</v>
      </c>
      <c r="AE15" s="65">
        <v>0.55000000000000004</v>
      </c>
      <c r="AF15" s="62">
        <v>0.55000000000000004</v>
      </c>
      <c r="AG15" s="67">
        <v>0.55000000000000004</v>
      </c>
      <c r="AH15" s="68">
        <v>0.55000000000000004</v>
      </c>
    </row>
    <row r="16" spans="1:37" ht="15.75" thickBot="1" x14ac:dyDescent="0.3">
      <c r="A16" s="2">
        <v>45762</v>
      </c>
      <c r="B16" s="46" t="s">
        <v>78</v>
      </c>
      <c r="C16" t="s">
        <v>84</v>
      </c>
      <c r="D16" t="s">
        <v>87</v>
      </c>
      <c r="E16" s="57">
        <v>3880</v>
      </c>
      <c r="F16" s="37">
        <v>20</v>
      </c>
      <c r="G16" t="s">
        <v>404</v>
      </c>
      <c r="H16" t="s">
        <v>409</v>
      </c>
      <c r="I16">
        <v>419</v>
      </c>
      <c r="L16" s="54">
        <v>45767</v>
      </c>
      <c r="M16" s="48" t="s">
        <v>79</v>
      </c>
      <c r="N16" s="48" t="s">
        <v>81</v>
      </c>
      <c r="O16" s="48" t="s">
        <v>87</v>
      </c>
      <c r="P16" s="51">
        <v>229</v>
      </c>
      <c r="Q16" s="40">
        <v>1</v>
      </c>
      <c r="AA16" s="62">
        <v>6</v>
      </c>
      <c r="AC16" s="63">
        <v>6</v>
      </c>
      <c r="AD16" s="64">
        <v>6</v>
      </c>
      <c r="AE16" s="65">
        <v>6</v>
      </c>
      <c r="AF16" s="62">
        <v>6</v>
      </c>
      <c r="AG16" s="67">
        <v>6</v>
      </c>
      <c r="AH16" s="68">
        <v>6</v>
      </c>
    </row>
    <row r="17" spans="1:43" ht="15.75" thickBot="1" x14ac:dyDescent="0.3">
      <c r="A17" s="2">
        <v>45693</v>
      </c>
      <c r="B17" s="46" t="s">
        <v>78</v>
      </c>
      <c r="C17" t="s">
        <v>84</v>
      </c>
      <c r="D17" t="s">
        <v>88</v>
      </c>
      <c r="E17" s="57">
        <v>3941</v>
      </c>
      <c r="F17" s="37">
        <v>7</v>
      </c>
      <c r="G17" t="s">
        <v>403</v>
      </c>
      <c r="H17" t="s">
        <v>406</v>
      </c>
      <c r="I17">
        <v>488</v>
      </c>
      <c r="L17" s="55">
        <v>45735</v>
      </c>
      <c r="M17" s="49" t="s">
        <v>80</v>
      </c>
      <c r="N17" s="49" t="s">
        <v>82</v>
      </c>
      <c r="O17" s="49" t="s">
        <v>87</v>
      </c>
      <c r="P17" s="52">
        <v>6104</v>
      </c>
      <c r="Q17" s="41">
        <v>7</v>
      </c>
      <c r="V17" s="43" t="s">
        <v>4</v>
      </c>
      <c r="AA17" s="62">
        <v>7</v>
      </c>
      <c r="AC17" s="63">
        <v>7</v>
      </c>
      <c r="AD17" s="64">
        <v>7</v>
      </c>
      <c r="AE17" s="65">
        <v>7</v>
      </c>
      <c r="AF17" s="62">
        <v>7</v>
      </c>
      <c r="AG17" s="67">
        <v>7</v>
      </c>
      <c r="AH17" s="68">
        <v>7</v>
      </c>
    </row>
    <row r="18" spans="1:43" x14ac:dyDescent="0.25">
      <c r="A18" s="2">
        <v>45767</v>
      </c>
      <c r="B18" s="46" t="s">
        <v>79</v>
      </c>
      <c r="C18" t="s">
        <v>81</v>
      </c>
      <c r="D18" t="s">
        <v>87</v>
      </c>
      <c r="E18" s="57">
        <v>229</v>
      </c>
      <c r="F18" s="37">
        <v>1</v>
      </c>
      <c r="G18" t="s">
        <v>404</v>
      </c>
      <c r="H18" t="s">
        <v>409</v>
      </c>
      <c r="I18">
        <v>414</v>
      </c>
      <c r="L18" s="54">
        <v>45722</v>
      </c>
      <c r="M18" s="48" t="s">
        <v>78</v>
      </c>
      <c r="N18" s="48" t="s">
        <v>84</v>
      </c>
      <c r="O18" s="48" t="s">
        <v>85</v>
      </c>
      <c r="P18" s="51">
        <v>558</v>
      </c>
      <c r="Q18" s="40">
        <v>1</v>
      </c>
      <c r="V18" s="44">
        <v>4050</v>
      </c>
      <c r="AA18" s="62">
        <v>118.9</v>
      </c>
      <c r="AC18" s="63">
        <v>8.9</v>
      </c>
      <c r="AD18" s="64">
        <v>118.9</v>
      </c>
      <c r="AE18" s="65">
        <v>8.9</v>
      </c>
      <c r="AF18" s="62">
        <v>8.9</v>
      </c>
      <c r="AG18" s="67">
        <v>8.9</v>
      </c>
      <c r="AH18" s="68">
        <v>8.9</v>
      </c>
    </row>
    <row r="19" spans="1:43" x14ac:dyDescent="0.25">
      <c r="A19" s="2">
        <v>45747</v>
      </c>
      <c r="B19" s="46" t="s">
        <v>79</v>
      </c>
      <c r="C19" t="s">
        <v>81</v>
      </c>
      <c r="D19" t="s">
        <v>86</v>
      </c>
      <c r="E19" s="57">
        <v>311</v>
      </c>
      <c r="F19" s="37">
        <v>1</v>
      </c>
      <c r="G19" t="s">
        <v>404</v>
      </c>
      <c r="H19" t="s">
        <v>407</v>
      </c>
      <c r="I19">
        <v>434</v>
      </c>
      <c r="L19" s="55">
        <v>45741</v>
      </c>
      <c r="M19" s="49" t="s">
        <v>76</v>
      </c>
      <c r="N19" s="49" t="s">
        <v>84</v>
      </c>
      <c r="O19" s="49" t="s">
        <v>85</v>
      </c>
      <c r="P19" s="52">
        <v>6413</v>
      </c>
      <c r="Q19" s="41">
        <v>11</v>
      </c>
      <c r="V19" s="45">
        <v>7875</v>
      </c>
      <c r="AA19" s="62">
        <v>2.1</v>
      </c>
      <c r="AC19" s="63">
        <v>2.1</v>
      </c>
      <c r="AD19" s="64">
        <v>2.1</v>
      </c>
      <c r="AE19" s="65">
        <v>2.1</v>
      </c>
      <c r="AF19" s="62">
        <v>2.1</v>
      </c>
      <c r="AG19" s="67">
        <v>2.1</v>
      </c>
      <c r="AH19" s="68">
        <v>2.1</v>
      </c>
    </row>
    <row r="20" spans="1:43" x14ac:dyDescent="0.25">
      <c r="A20" s="2">
        <v>45746</v>
      </c>
      <c r="B20" s="46" t="s">
        <v>79</v>
      </c>
      <c r="C20" t="s">
        <v>81</v>
      </c>
      <c r="D20" t="s">
        <v>85</v>
      </c>
      <c r="E20" s="57">
        <v>10849</v>
      </c>
      <c r="F20" s="37">
        <v>19</v>
      </c>
      <c r="G20" t="s">
        <v>404</v>
      </c>
      <c r="H20" t="s">
        <v>407</v>
      </c>
      <c r="I20">
        <v>435</v>
      </c>
      <c r="L20" s="54">
        <v>45732</v>
      </c>
      <c r="M20" s="48" t="s">
        <v>74</v>
      </c>
      <c r="N20" s="48" t="s">
        <v>82</v>
      </c>
      <c r="O20" s="48" t="s">
        <v>88</v>
      </c>
      <c r="P20" s="51">
        <v>1017</v>
      </c>
      <c r="Q20" s="40">
        <v>9</v>
      </c>
      <c r="V20" s="44">
        <v>5832</v>
      </c>
    </row>
    <row r="21" spans="1:43" x14ac:dyDescent="0.25">
      <c r="A21" s="2">
        <v>45693</v>
      </c>
      <c r="B21" s="46" t="s">
        <v>79</v>
      </c>
      <c r="C21" t="s">
        <v>81</v>
      </c>
      <c r="D21" t="s">
        <v>86</v>
      </c>
      <c r="E21" s="57">
        <v>8604</v>
      </c>
      <c r="F21" s="37">
        <v>18</v>
      </c>
      <c r="G21" t="s">
        <v>403</v>
      </c>
      <c r="H21" t="s">
        <v>406</v>
      </c>
      <c r="I21">
        <v>488</v>
      </c>
      <c r="L21" s="55">
        <v>45721</v>
      </c>
      <c r="M21" s="49" t="s">
        <v>80</v>
      </c>
      <c r="N21" s="49" t="s">
        <v>82</v>
      </c>
      <c r="O21" s="49" t="s">
        <v>86</v>
      </c>
      <c r="P21" s="52">
        <v>9310</v>
      </c>
      <c r="Q21" s="41">
        <v>10</v>
      </c>
      <c r="V21" s="45">
        <v>676</v>
      </c>
    </row>
    <row r="22" spans="1:43" x14ac:dyDescent="0.25">
      <c r="A22" s="2">
        <v>45690</v>
      </c>
      <c r="B22" s="46" t="s">
        <v>79</v>
      </c>
      <c r="C22" t="s">
        <v>81</v>
      </c>
      <c r="D22" t="s">
        <v>87</v>
      </c>
      <c r="E22" s="57">
        <v>5544</v>
      </c>
      <c r="F22" s="37">
        <v>7</v>
      </c>
      <c r="G22" t="s">
        <v>403</v>
      </c>
      <c r="H22" t="s">
        <v>406</v>
      </c>
      <c r="I22">
        <v>491</v>
      </c>
      <c r="L22" s="54">
        <v>45703</v>
      </c>
      <c r="M22" s="48" t="s">
        <v>75</v>
      </c>
      <c r="N22" s="48" t="s">
        <v>83</v>
      </c>
      <c r="O22" s="48" t="s">
        <v>87</v>
      </c>
      <c r="P22" s="51">
        <v>2560</v>
      </c>
      <c r="Q22" s="40">
        <v>4</v>
      </c>
      <c r="V22" s="44">
        <v>6560</v>
      </c>
    </row>
    <row r="23" spans="1:43" x14ac:dyDescent="0.25">
      <c r="A23" s="2">
        <v>45668</v>
      </c>
      <c r="B23" s="46" t="s">
        <v>79</v>
      </c>
      <c r="C23" t="s">
        <v>81</v>
      </c>
      <c r="D23" t="s">
        <v>86</v>
      </c>
      <c r="E23" s="57">
        <v>1220</v>
      </c>
      <c r="F23" s="37">
        <v>5</v>
      </c>
      <c r="G23" t="s">
        <v>405</v>
      </c>
      <c r="H23" t="s">
        <v>408</v>
      </c>
      <c r="I23">
        <v>513</v>
      </c>
      <c r="L23" s="55">
        <v>45681</v>
      </c>
      <c r="M23" s="49" t="s">
        <v>76</v>
      </c>
      <c r="N23" s="49" t="s">
        <v>84</v>
      </c>
      <c r="O23" s="49" t="s">
        <v>86</v>
      </c>
      <c r="P23" s="52">
        <v>6855</v>
      </c>
      <c r="Q23" s="41">
        <v>15</v>
      </c>
      <c r="V23" s="45">
        <v>1905</v>
      </c>
    </row>
    <row r="24" spans="1:43" x14ac:dyDescent="0.25">
      <c r="A24" s="2">
        <v>45725</v>
      </c>
      <c r="B24" s="46" t="s">
        <v>79</v>
      </c>
      <c r="C24" t="s">
        <v>81</v>
      </c>
      <c r="D24" t="s">
        <v>88</v>
      </c>
      <c r="E24" s="57">
        <v>7930</v>
      </c>
      <c r="F24" s="37">
        <v>13</v>
      </c>
      <c r="G24" t="s">
        <v>403</v>
      </c>
      <c r="H24" t="s">
        <v>407</v>
      </c>
      <c r="I24">
        <v>456</v>
      </c>
      <c r="L24" s="54">
        <v>45663</v>
      </c>
      <c r="M24" s="48" t="s">
        <v>78</v>
      </c>
      <c r="N24" s="48" t="s">
        <v>84</v>
      </c>
      <c r="O24" s="48" t="s">
        <v>86</v>
      </c>
      <c r="P24" s="51">
        <v>7398</v>
      </c>
      <c r="Q24" s="40">
        <v>9</v>
      </c>
      <c r="V24" s="44">
        <v>6948</v>
      </c>
      <c r="AA24" s="114" t="s">
        <v>300</v>
      </c>
      <c r="AB24" s="115"/>
    </row>
    <row r="25" spans="1:43" x14ac:dyDescent="0.25">
      <c r="A25" s="2">
        <v>45735</v>
      </c>
      <c r="B25" s="46" t="s">
        <v>80</v>
      </c>
      <c r="C25" t="s">
        <v>82</v>
      </c>
      <c r="D25" t="s">
        <v>87</v>
      </c>
      <c r="E25" s="57">
        <v>6104</v>
      </c>
      <c r="F25" s="37">
        <v>7</v>
      </c>
      <c r="G25" t="s">
        <v>404</v>
      </c>
      <c r="H25" t="s">
        <v>407</v>
      </c>
      <c r="I25">
        <v>446</v>
      </c>
      <c r="L25" s="55">
        <v>45660</v>
      </c>
      <c r="M25" s="49" t="s">
        <v>74</v>
      </c>
      <c r="N25" s="49" t="s">
        <v>82</v>
      </c>
      <c r="O25" s="49" t="s">
        <v>85</v>
      </c>
      <c r="P25" s="52">
        <v>2094</v>
      </c>
      <c r="Q25" s="41">
        <v>6</v>
      </c>
      <c r="V25" s="45">
        <v>1944</v>
      </c>
      <c r="AA25" s="115"/>
      <c r="AB25" s="115"/>
    </row>
    <row r="26" spans="1:43" ht="15.75" thickBot="1" x14ac:dyDescent="0.3">
      <c r="A26" s="2">
        <v>45721</v>
      </c>
      <c r="B26" s="46" t="s">
        <v>80</v>
      </c>
      <c r="C26" t="s">
        <v>82</v>
      </c>
      <c r="D26" t="s">
        <v>86</v>
      </c>
      <c r="E26" s="57">
        <v>9310</v>
      </c>
      <c r="F26" s="37">
        <v>10</v>
      </c>
      <c r="G26" t="s">
        <v>403</v>
      </c>
      <c r="H26" t="s">
        <v>407</v>
      </c>
      <c r="I26">
        <v>460</v>
      </c>
      <c r="L26" s="54">
        <v>45701</v>
      </c>
      <c r="M26" s="48" t="s">
        <v>74</v>
      </c>
      <c r="N26" s="48" t="s">
        <v>82</v>
      </c>
      <c r="O26" s="48" t="s">
        <v>88</v>
      </c>
      <c r="P26" s="51">
        <v>3996</v>
      </c>
      <c r="Q26" s="40">
        <v>4</v>
      </c>
      <c r="V26" s="44">
        <v>7776</v>
      </c>
    </row>
    <row r="27" spans="1:43" ht="15.75" thickBot="1" x14ac:dyDescent="0.3">
      <c r="A27" s="2">
        <v>45677</v>
      </c>
      <c r="B27" s="46" t="s">
        <v>80</v>
      </c>
      <c r="C27" t="s">
        <v>82</v>
      </c>
      <c r="D27" t="s">
        <v>88</v>
      </c>
      <c r="E27" s="57">
        <v>4382</v>
      </c>
      <c r="F27" s="37">
        <v>7</v>
      </c>
      <c r="G27" t="s">
        <v>405</v>
      </c>
      <c r="H27" t="s">
        <v>408</v>
      </c>
      <c r="I27">
        <v>504</v>
      </c>
      <c r="L27" s="55">
        <v>45679</v>
      </c>
      <c r="M27" s="49" t="s">
        <v>78</v>
      </c>
      <c r="N27" s="49" t="s">
        <v>84</v>
      </c>
      <c r="O27" s="49" t="s">
        <v>87</v>
      </c>
      <c r="P27" s="52">
        <v>4884</v>
      </c>
      <c r="Q27" s="41">
        <v>6</v>
      </c>
      <c r="V27" s="45">
        <v>2790</v>
      </c>
      <c r="AA27" s="73" t="s">
        <v>0</v>
      </c>
      <c r="AB27" s="74" t="s">
        <v>1</v>
      </c>
      <c r="AC27" s="73" t="s">
        <v>2</v>
      </c>
      <c r="AD27" s="73" t="s">
        <v>3</v>
      </c>
      <c r="AE27" s="75" t="s">
        <v>4</v>
      </c>
      <c r="AF27" s="38" t="s">
        <v>5</v>
      </c>
      <c r="AG27" s="38" t="s">
        <v>4</v>
      </c>
      <c r="AI27" s="38" t="s">
        <v>4</v>
      </c>
      <c r="AK27" s="75" t="s">
        <v>4</v>
      </c>
      <c r="AL27" s="38" t="s">
        <v>5</v>
      </c>
      <c r="AN27" s="75" t="s">
        <v>4</v>
      </c>
    </row>
    <row r="28" spans="1:43" ht="15.75" x14ac:dyDescent="0.25">
      <c r="A28" s="2">
        <v>45719</v>
      </c>
      <c r="B28" s="46" t="s">
        <v>80</v>
      </c>
      <c r="C28" t="s">
        <v>82</v>
      </c>
      <c r="D28" t="s">
        <v>87</v>
      </c>
      <c r="E28" s="57">
        <v>7395</v>
      </c>
      <c r="F28" s="37">
        <v>17</v>
      </c>
      <c r="G28" t="s">
        <v>403</v>
      </c>
      <c r="H28" t="s">
        <v>407</v>
      </c>
      <c r="I28">
        <v>462</v>
      </c>
      <c r="L28" s="54">
        <v>45693</v>
      </c>
      <c r="M28" s="48" t="s">
        <v>77</v>
      </c>
      <c r="N28" s="48" t="s">
        <v>83</v>
      </c>
      <c r="O28" s="48" t="s">
        <v>88</v>
      </c>
      <c r="P28" s="51">
        <v>1767</v>
      </c>
      <c r="Q28" s="40">
        <v>3</v>
      </c>
      <c r="V28" s="44">
        <v>7995</v>
      </c>
      <c r="AA28" s="76">
        <v>45735</v>
      </c>
      <c r="AB28" s="77" t="s">
        <v>78</v>
      </c>
      <c r="AC28" s="72" t="s">
        <v>84</v>
      </c>
      <c r="AD28" s="72" t="s">
        <v>85</v>
      </c>
      <c r="AE28" s="78">
        <v>7776</v>
      </c>
      <c r="AF28" s="39">
        <v>8</v>
      </c>
      <c r="AG28" s="72">
        <v>7776</v>
      </c>
      <c r="AI28" s="39">
        <v>4050</v>
      </c>
      <c r="AK28" s="78">
        <v>7776</v>
      </c>
      <c r="AL28" s="79">
        <v>8</v>
      </c>
      <c r="AN28" s="78">
        <v>7776</v>
      </c>
    </row>
    <row r="29" spans="1:43" ht="15.75" x14ac:dyDescent="0.25">
      <c r="A29" s="2">
        <v>45744</v>
      </c>
      <c r="B29" s="46" t="s">
        <v>80</v>
      </c>
      <c r="C29" t="s">
        <v>82</v>
      </c>
      <c r="D29" t="s">
        <v>85</v>
      </c>
      <c r="E29" s="57">
        <v>632</v>
      </c>
      <c r="F29" s="37">
        <v>1</v>
      </c>
      <c r="G29" t="s">
        <v>404</v>
      </c>
      <c r="H29" t="s">
        <v>407</v>
      </c>
      <c r="I29">
        <v>437</v>
      </c>
      <c r="L29" s="55">
        <v>45744</v>
      </c>
      <c r="M29" s="49" t="s">
        <v>78</v>
      </c>
      <c r="N29" s="49" t="s">
        <v>84</v>
      </c>
      <c r="O29" s="49" t="s">
        <v>85</v>
      </c>
      <c r="P29" s="52">
        <v>7840</v>
      </c>
      <c r="Q29" s="41">
        <v>14</v>
      </c>
      <c r="V29" s="45">
        <v>9984</v>
      </c>
      <c r="AA29" s="2">
        <v>45722</v>
      </c>
      <c r="AB29" s="46" t="s">
        <v>78</v>
      </c>
      <c r="AC29" t="s">
        <v>84</v>
      </c>
      <c r="AD29" t="s">
        <v>85</v>
      </c>
      <c r="AE29" s="57">
        <v>558</v>
      </c>
      <c r="AF29" s="37">
        <v>1</v>
      </c>
      <c r="AG29">
        <v>558</v>
      </c>
      <c r="AI29" s="37">
        <v>7875</v>
      </c>
      <c r="AK29" s="57">
        <v>558</v>
      </c>
      <c r="AL29" s="80">
        <v>1</v>
      </c>
      <c r="AN29" s="57">
        <v>558</v>
      </c>
    </row>
    <row r="30" spans="1:43" ht="15.75" x14ac:dyDescent="0.25">
      <c r="A30" s="2">
        <v>45702</v>
      </c>
      <c r="B30" s="46" t="s">
        <v>80</v>
      </c>
      <c r="C30" t="s">
        <v>82</v>
      </c>
      <c r="D30" t="s">
        <v>86</v>
      </c>
      <c r="E30" s="57">
        <v>7800</v>
      </c>
      <c r="F30" s="37">
        <v>10</v>
      </c>
      <c r="G30" t="s">
        <v>403</v>
      </c>
      <c r="H30" t="s">
        <v>406</v>
      </c>
      <c r="I30">
        <v>479</v>
      </c>
      <c r="L30" s="54">
        <v>45670</v>
      </c>
      <c r="M30" s="48" t="s">
        <v>78</v>
      </c>
      <c r="N30" s="48" t="s">
        <v>84</v>
      </c>
      <c r="O30" s="48" t="s">
        <v>86</v>
      </c>
      <c r="P30" s="51">
        <v>4806</v>
      </c>
      <c r="Q30" s="40">
        <v>6</v>
      </c>
      <c r="V30" s="44">
        <v>7683</v>
      </c>
      <c r="AA30" s="76">
        <v>45663</v>
      </c>
      <c r="AB30" s="77" t="s">
        <v>78</v>
      </c>
      <c r="AC30" s="72" t="s">
        <v>84</v>
      </c>
      <c r="AD30" s="72" t="s">
        <v>86</v>
      </c>
      <c r="AE30" s="78">
        <v>7398</v>
      </c>
      <c r="AF30" s="39">
        <v>9</v>
      </c>
      <c r="AG30" s="72">
        <v>7398</v>
      </c>
      <c r="AI30" s="39">
        <v>5832</v>
      </c>
      <c r="AK30" s="78">
        <v>7398</v>
      </c>
      <c r="AL30" s="79">
        <v>9</v>
      </c>
      <c r="AN30" s="78">
        <v>7398</v>
      </c>
    </row>
    <row r="31" spans="1:43" ht="15.75" x14ac:dyDescent="0.25">
      <c r="A31" s="2">
        <v>45659</v>
      </c>
      <c r="B31" s="46" t="s">
        <v>80</v>
      </c>
      <c r="C31" t="s">
        <v>82</v>
      </c>
      <c r="D31" t="s">
        <v>88</v>
      </c>
      <c r="E31" s="57">
        <v>3928</v>
      </c>
      <c r="F31" s="37">
        <v>4</v>
      </c>
      <c r="G31" t="s">
        <v>405</v>
      </c>
      <c r="H31" t="s">
        <v>408</v>
      </c>
      <c r="I31">
        <v>522</v>
      </c>
      <c r="V31" s="45">
        <v>6885</v>
      </c>
      <c r="AA31" s="2">
        <v>45679</v>
      </c>
      <c r="AB31" s="46" t="s">
        <v>78</v>
      </c>
      <c r="AC31" t="s">
        <v>84</v>
      </c>
      <c r="AD31" t="s">
        <v>87</v>
      </c>
      <c r="AE31" s="57">
        <v>4884</v>
      </c>
      <c r="AF31" s="37">
        <v>6</v>
      </c>
      <c r="AG31">
        <v>4884</v>
      </c>
      <c r="AI31" s="37">
        <v>676</v>
      </c>
      <c r="AK31" s="57">
        <v>4884</v>
      </c>
      <c r="AL31" s="80">
        <v>6</v>
      </c>
      <c r="AN31" s="57">
        <v>4884</v>
      </c>
    </row>
    <row r="32" spans="1:43" ht="15.75" x14ac:dyDescent="0.25">
      <c r="A32" s="2">
        <v>45680</v>
      </c>
      <c r="B32" s="46" t="s">
        <v>80</v>
      </c>
      <c r="C32" t="s">
        <v>82</v>
      </c>
      <c r="D32" t="s">
        <v>87</v>
      </c>
      <c r="E32" s="57">
        <v>2968</v>
      </c>
      <c r="F32" s="37">
        <v>14</v>
      </c>
      <c r="G32" t="s">
        <v>405</v>
      </c>
      <c r="H32" t="s">
        <v>408</v>
      </c>
      <c r="I32">
        <v>501</v>
      </c>
      <c r="V32" s="44">
        <v>229</v>
      </c>
      <c r="AA32" s="76">
        <v>45744</v>
      </c>
      <c r="AB32" s="77" t="s">
        <v>78</v>
      </c>
      <c r="AC32" s="72" t="s">
        <v>84</v>
      </c>
      <c r="AD32" s="72" t="s">
        <v>85</v>
      </c>
      <c r="AE32" s="78">
        <v>7840</v>
      </c>
      <c r="AF32" s="39">
        <v>14</v>
      </c>
      <c r="AG32" s="72">
        <v>7840</v>
      </c>
      <c r="AI32" s="39">
        <v>6560</v>
      </c>
      <c r="AK32" s="78">
        <v>7840</v>
      </c>
      <c r="AL32" s="79">
        <v>14</v>
      </c>
      <c r="AN32" s="78">
        <v>7840</v>
      </c>
      <c r="AP32" t="s">
        <v>301</v>
      </c>
      <c r="AQ32">
        <v>0</v>
      </c>
    </row>
    <row r="33" spans="1:43" ht="15.75" x14ac:dyDescent="0.25">
      <c r="A33" s="2">
        <v>45761</v>
      </c>
      <c r="B33" s="46" t="s">
        <v>80</v>
      </c>
      <c r="C33" t="s">
        <v>82</v>
      </c>
      <c r="D33" t="s">
        <v>88</v>
      </c>
      <c r="E33" s="57">
        <v>9480</v>
      </c>
      <c r="F33" s="37">
        <v>15</v>
      </c>
      <c r="G33" t="s">
        <v>404</v>
      </c>
      <c r="H33" t="s">
        <v>409</v>
      </c>
      <c r="I33">
        <v>420</v>
      </c>
      <c r="V33" s="45">
        <v>6104</v>
      </c>
      <c r="AA33" s="2">
        <v>45670</v>
      </c>
      <c r="AB33" s="46" t="s">
        <v>78</v>
      </c>
      <c r="AC33" t="s">
        <v>84</v>
      </c>
      <c r="AD33" t="s">
        <v>86</v>
      </c>
      <c r="AE33" s="57">
        <v>4806</v>
      </c>
      <c r="AF33" s="37">
        <v>6</v>
      </c>
      <c r="AG33">
        <v>4806</v>
      </c>
      <c r="AI33" s="37">
        <v>1905</v>
      </c>
      <c r="AK33" s="57">
        <v>4806</v>
      </c>
      <c r="AL33" s="80">
        <v>6</v>
      </c>
      <c r="AN33" s="57">
        <v>4806</v>
      </c>
      <c r="AP33" t="s">
        <v>302</v>
      </c>
      <c r="AQ33">
        <v>10000</v>
      </c>
    </row>
    <row r="34" spans="1:43" ht="15.75" x14ac:dyDescent="0.25">
      <c r="A34" s="2">
        <v>45679</v>
      </c>
      <c r="B34" s="46" t="s">
        <v>80</v>
      </c>
      <c r="C34" t="s">
        <v>82</v>
      </c>
      <c r="D34" t="s">
        <v>87</v>
      </c>
      <c r="E34" s="57">
        <v>3835</v>
      </c>
      <c r="F34" s="37">
        <v>5</v>
      </c>
      <c r="G34" t="s">
        <v>405</v>
      </c>
      <c r="H34" t="s">
        <v>408</v>
      </c>
      <c r="I34">
        <v>502</v>
      </c>
      <c r="L34" s="55">
        <v>46042.080949074072</v>
      </c>
      <c r="V34" s="44">
        <v>558</v>
      </c>
      <c r="AA34" s="76">
        <v>45716</v>
      </c>
      <c r="AB34" s="77" t="s">
        <v>78</v>
      </c>
      <c r="AC34" s="72" t="s">
        <v>84</v>
      </c>
      <c r="AD34" s="72" t="s">
        <v>88</v>
      </c>
      <c r="AE34" s="78">
        <v>2598</v>
      </c>
      <c r="AF34" s="39">
        <v>3</v>
      </c>
      <c r="AG34" s="72">
        <v>2598</v>
      </c>
      <c r="AI34" s="39">
        <v>6948</v>
      </c>
      <c r="AK34" s="78">
        <v>2598</v>
      </c>
      <c r="AL34" s="79">
        <v>3</v>
      </c>
      <c r="AN34" s="78">
        <v>2598</v>
      </c>
    </row>
    <row r="35" spans="1:43" ht="15.75" x14ac:dyDescent="0.25">
      <c r="A35" s="2">
        <v>45694</v>
      </c>
      <c r="B35" s="46" t="s">
        <v>76</v>
      </c>
      <c r="C35" t="s">
        <v>84</v>
      </c>
      <c r="D35" t="s">
        <v>85</v>
      </c>
      <c r="E35" s="57">
        <v>676</v>
      </c>
      <c r="F35" s="37">
        <v>4</v>
      </c>
      <c r="G35" t="s">
        <v>403</v>
      </c>
      <c r="H35" t="s">
        <v>406</v>
      </c>
      <c r="I35">
        <v>487</v>
      </c>
      <c r="V35" s="45">
        <v>6413</v>
      </c>
      <c r="AA35" s="2">
        <v>45660</v>
      </c>
      <c r="AB35" s="46" t="s">
        <v>78</v>
      </c>
      <c r="AC35" t="s">
        <v>84</v>
      </c>
      <c r="AD35" t="s">
        <v>85</v>
      </c>
      <c r="AE35" s="57">
        <v>14256</v>
      </c>
      <c r="AF35" s="37">
        <v>16</v>
      </c>
      <c r="AG35">
        <v>14256</v>
      </c>
      <c r="AI35" s="37">
        <v>1944</v>
      </c>
      <c r="AK35" s="57">
        <v>14256</v>
      </c>
      <c r="AL35" s="80">
        <v>16</v>
      </c>
      <c r="AN35" s="57">
        <v>14256</v>
      </c>
    </row>
    <row r="36" spans="1:43" ht="15.75" x14ac:dyDescent="0.25">
      <c r="A36" s="2">
        <v>45775</v>
      </c>
      <c r="B36" s="46" t="s">
        <v>76</v>
      </c>
      <c r="C36" t="s">
        <v>84</v>
      </c>
      <c r="D36" t="s">
        <v>87</v>
      </c>
      <c r="E36" s="57">
        <v>1905</v>
      </c>
      <c r="F36" s="37">
        <v>5</v>
      </c>
      <c r="G36" t="s">
        <v>404</v>
      </c>
      <c r="H36" t="s">
        <v>409</v>
      </c>
      <c r="I36">
        <v>406</v>
      </c>
      <c r="V36" s="44">
        <v>1017</v>
      </c>
      <c r="AA36" s="76">
        <v>45732</v>
      </c>
      <c r="AB36" s="77" t="s">
        <v>78</v>
      </c>
      <c r="AC36" s="72" t="s">
        <v>84</v>
      </c>
      <c r="AD36" s="72" t="s">
        <v>88</v>
      </c>
      <c r="AE36" s="78">
        <v>9622</v>
      </c>
      <c r="AF36" s="39">
        <v>17</v>
      </c>
      <c r="AG36" s="72">
        <v>9622</v>
      </c>
      <c r="AI36" s="39">
        <v>7776</v>
      </c>
      <c r="AK36" s="78">
        <v>9622</v>
      </c>
      <c r="AL36" s="79">
        <v>17</v>
      </c>
      <c r="AN36" s="78">
        <v>9622</v>
      </c>
    </row>
    <row r="37" spans="1:43" ht="15.75" x14ac:dyDescent="0.25">
      <c r="A37" s="2">
        <v>45699</v>
      </c>
      <c r="B37" s="46" t="s">
        <v>76</v>
      </c>
      <c r="C37" t="s">
        <v>84</v>
      </c>
      <c r="D37" t="s">
        <v>88</v>
      </c>
      <c r="E37" s="57">
        <v>6885</v>
      </c>
      <c r="F37" s="37">
        <v>9</v>
      </c>
      <c r="G37" t="s">
        <v>403</v>
      </c>
      <c r="H37" t="s">
        <v>406</v>
      </c>
      <c r="I37">
        <v>482</v>
      </c>
      <c r="V37" s="45">
        <v>9310</v>
      </c>
      <c r="AA37" s="2">
        <v>45658</v>
      </c>
      <c r="AB37" s="46" t="s">
        <v>78</v>
      </c>
      <c r="AC37" t="s">
        <v>84</v>
      </c>
      <c r="AD37" t="s">
        <v>86</v>
      </c>
      <c r="AE37" s="57">
        <v>7395</v>
      </c>
      <c r="AF37" s="37">
        <v>17</v>
      </c>
      <c r="AG37">
        <v>7395</v>
      </c>
      <c r="AI37" s="37">
        <v>2790</v>
      </c>
      <c r="AK37" s="57">
        <v>7395</v>
      </c>
      <c r="AL37" s="80">
        <v>17</v>
      </c>
      <c r="AN37" s="57">
        <v>7395</v>
      </c>
    </row>
    <row r="38" spans="1:43" ht="15.75" x14ac:dyDescent="0.25">
      <c r="A38" s="2">
        <v>45741</v>
      </c>
      <c r="B38" s="46" t="s">
        <v>76</v>
      </c>
      <c r="C38" t="s">
        <v>84</v>
      </c>
      <c r="D38" t="s">
        <v>85</v>
      </c>
      <c r="E38" s="57">
        <v>6413</v>
      </c>
      <c r="F38" s="37">
        <v>11</v>
      </c>
      <c r="G38" t="s">
        <v>404</v>
      </c>
      <c r="H38" t="s">
        <v>407</v>
      </c>
      <c r="I38">
        <v>440</v>
      </c>
      <c r="V38" s="44">
        <v>2560</v>
      </c>
      <c r="AA38" s="76">
        <v>45727</v>
      </c>
      <c r="AB38" s="77" t="s">
        <v>78</v>
      </c>
      <c r="AC38" s="72" t="s">
        <v>84</v>
      </c>
      <c r="AD38" s="72" t="s">
        <v>87</v>
      </c>
      <c r="AE38" s="78">
        <v>6464</v>
      </c>
      <c r="AF38" s="39">
        <v>8</v>
      </c>
      <c r="AG38" s="72">
        <v>6464</v>
      </c>
      <c r="AI38" s="39">
        <v>7995</v>
      </c>
      <c r="AK38" s="78">
        <v>6464</v>
      </c>
      <c r="AL38" s="79">
        <v>8</v>
      </c>
      <c r="AN38" s="78">
        <v>6464</v>
      </c>
    </row>
    <row r="39" spans="1:43" ht="15.75" x14ac:dyDescent="0.25">
      <c r="A39" s="2">
        <v>45681</v>
      </c>
      <c r="B39" s="46" t="s">
        <v>76</v>
      </c>
      <c r="C39" t="s">
        <v>84</v>
      </c>
      <c r="D39" t="s">
        <v>86</v>
      </c>
      <c r="E39" s="57">
        <v>6855</v>
      </c>
      <c r="F39" s="37">
        <v>15</v>
      </c>
      <c r="G39" t="s">
        <v>403</v>
      </c>
      <c r="H39" t="s">
        <v>408</v>
      </c>
      <c r="I39">
        <v>500</v>
      </c>
      <c r="V39" s="45">
        <v>6855</v>
      </c>
      <c r="AA39" s="2">
        <v>45712</v>
      </c>
      <c r="AB39" s="46" t="s">
        <v>78</v>
      </c>
      <c r="AC39" t="s">
        <v>84</v>
      </c>
      <c r="AD39" t="s">
        <v>85</v>
      </c>
      <c r="AE39" s="57">
        <v>8550</v>
      </c>
      <c r="AF39" s="37">
        <v>10</v>
      </c>
      <c r="AG39">
        <v>8550</v>
      </c>
      <c r="AI39" s="37">
        <v>9984</v>
      </c>
      <c r="AK39" s="57">
        <v>8550</v>
      </c>
      <c r="AL39" s="80">
        <v>10</v>
      </c>
      <c r="AN39" s="57">
        <v>8550</v>
      </c>
    </row>
    <row r="40" spans="1:43" ht="15.75" x14ac:dyDescent="0.25">
      <c r="A40" s="2">
        <v>45748</v>
      </c>
      <c r="B40" s="46" t="s">
        <v>76</v>
      </c>
      <c r="C40" t="s">
        <v>84</v>
      </c>
      <c r="D40" t="s">
        <v>85</v>
      </c>
      <c r="E40" s="57">
        <v>2853</v>
      </c>
      <c r="F40" s="37">
        <v>9</v>
      </c>
      <c r="G40" t="s">
        <v>404</v>
      </c>
      <c r="H40" t="s">
        <v>409</v>
      </c>
      <c r="I40">
        <v>433</v>
      </c>
      <c r="L40" s="55">
        <v>46054</v>
      </c>
      <c r="V40" s="44">
        <v>7398</v>
      </c>
      <c r="AA40" s="76">
        <v>45756</v>
      </c>
      <c r="AB40" s="77" t="s">
        <v>78</v>
      </c>
      <c r="AC40" s="72" t="s">
        <v>84</v>
      </c>
      <c r="AD40" s="72" t="s">
        <v>85</v>
      </c>
      <c r="AE40" s="78">
        <v>12920</v>
      </c>
      <c r="AF40" s="39">
        <v>19</v>
      </c>
      <c r="AG40" s="72">
        <v>12920</v>
      </c>
      <c r="AI40" s="39">
        <v>7683</v>
      </c>
      <c r="AK40" s="78">
        <v>12920</v>
      </c>
      <c r="AL40" s="79">
        <v>19</v>
      </c>
      <c r="AN40" s="78">
        <v>12920</v>
      </c>
    </row>
    <row r="41" spans="1:43" ht="15.75" x14ac:dyDescent="0.25">
      <c r="A41" s="2">
        <v>45754</v>
      </c>
      <c r="B41" s="46" t="s">
        <v>76</v>
      </c>
      <c r="C41" t="s">
        <v>84</v>
      </c>
      <c r="D41" t="s">
        <v>88</v>
      </c>
      <c r="E41" s="57">
        <v>11865</v>
      </c>
      <c r="F41" s="37">
        <v>15</v>
      </c>
      <c r="G41" t="s">
        <v>404</v>
      </c>
      <c r="H41" t="s">
        <v>409</v>
      </c>
      <c r="I41">
        <v>427</v>
      </c>
      <c r="L41" s="55">
        <v>46055</v>
      </c>
      <c r="S41">
        <v>1</v>
      </c>
      <c r="V41" s="45">
        <v>2094</v>
      </c>
      <c r="AA41" s="2">
        <v>45658</v>
      </c>
      <c r="AB41" s="46" t="s">
        <v>78</v>
      </c>
      <c r="AC41" t="s">
        <v>84</v>
      </c>
      <c r="AD41" t="s">
        <v>86</v>
      </c>
      <c r="AE41" s="57">
        <v>8040</v>
      </c>
      <c r="AF41" s="37">
        <v>10</v>
      </c>
      <c r="AG41">
        <v>8040</v>
      </c>
      <c r="AI41" s="37">
        <v>6885</v>
      </c>
      <c r="AK41" s="57">
        <v>8040</v>
      </c>
      <c r="AL41" s="80">
        <v>10</v>
      </c>
      <c r="AN41" s="57">
        <v>8040</v>
      </c>
    </row>
    <row r="42" spans="1:43" ht="15.75" x14ac:dyDescent="0.25">
      <c r="A42" s="2">
        <v>45693</v>
      </c>
      <c r="B42" s="46" t="s">
        <v>76</v>
      </c>
      <c r="C42" t="s">
        <v>84</v>
      </c>
      <c r="D42" t="s">
        <v>88</v>
      </c>
      <c r="E42" s="57">
        <v>2728</v>
      </c>
      <c r="F42" s="37">
        <v>11</v>
      </c>
      <c r="G42" t="s">
        <v>403</v>
      </c>
      <c r="H42" t="s">
        <v>406</v>
      </c>
      <c r="I42">
        <v>488</v>
      </c>
      <c r="L42" s="55">
        <v>46056</v>
      </c>
      <c r="S42">
        <v>2</v>
      </c>
      <c r="V42" s="44">
        <v>3996</v>
      </c>
      <c r="AA42" s="76">
        <v>45762</v>
      </c>
      <c r="AB42" s="77" t="s">
        <v>78</v>
      </c>
      <c r="AC42" s="72" t="s">
        <v>84</v>
      </c>
      <c r="AD42" s="72" t="s">
        <v>87</v>
      </c>
      <c r="AE42" s="78">
        <v>3880</v>
      </c>
      <c r="AF42" s="39">
        <v>20</v>
      </c>
      <c r="AG42" s="72">
        <v>3880</v>
      </c>
      <c r="AI42" s="39">
        <v>229</v>
      </c>
      <c r="AK42" s="78">
        <v>3880</v>
      </c>
      <c r="AL42" s="79">
        <v>20</v>
      </c>
      <c r="AN42" s="78">
        <v>3880</v>
      </c>
    </row>
    <row r="43" spans="1:43" ht="15.75" x14ac:dyDescent="0.25">
      <c r="A43" s="2">
        <v>45749</v>
      </c>
      <c r="B43" s="46" t="s">
        <v>76</v>
      </c>
      <c r="C43" t="s">
        <v>84</v>
      </c>
      <c r="D43" t="s">
        <v>85</v>
      </c>
      <c r="E43" s="57">
        <v>1592</v>
      </c>
      <c r="F43" s="37">
        <v>4</v>
      </c>
      <c r="G43" t="s">
        <v>404</v>
      </c>
      <c r="H43" t="s">
        <v>409</v>
      </c>
      <c r="I43">
        <v>432</v>
      </c>
      <c r="L43" s="55">
        <v>46057</v>
      </c>
      <c r="S43">
        <v>3</v>
      </c>
      <c r="V43" s="45">
        <v>4884</v>
      </c>
      <c r="AA43" s="2">
        <v>45693</v>
      </c>
      <c r="AB43" s="46" t="s">
        <v>78</v>
      </c>
      <c r="AC43" t="s">
        <v>84</v>
      </c>
      <c r="AD43" t="s">
        <v>88</v>
      </c>
      <c r="AE43" s="57">
        <v>3941</v>
      </c>
      <c r="AF43" s="37">
        <v>7</v>
      </c>
      <c r="AG43">
        <v>3941</v>
      </c>
      <c r="AI43" s="37">
        <v>6104</v>
      </c>
      <c r="AK43" s="57">
        <v>3941</v>
      </c>
      <c r="AL43" s="80">
        <v>7</v>
      </c>
      <c r="AN43" s="57">
        <v>3941</v>
      </c>
    </row>
    <row r="44" spans="1:43" ht="15.75" x14ac:dyDescent="0.25">
      <c r="A44" s="2">
        <v>45701</v>
      </c>
      <c r="B44" s="46" t="s">
        <v>76</v>
      </c>
      <c r="C44" t="s">
        <v>84</v>
      </c>
      <c r="D44" t="s">
        <v>85</v>
      </c>
      <c r="E44" s="57">
        <v>852</v>
      </c>
      <c r="F44" s="37">
        <v>2</v>
      </c>
      <c r="G44" t="s">
        <v>403</v>
      </c>
      <c r="H44" t="s">
        <v>406</v>
      </c>
      <c r="I44">
        <v>480</v>
      </c>
      <c r="L44" s="55">
        <v>46058</v>
      </c>
      <c r="S44">
        <v>4</v>
      </c>
      <c r="V44" s="44">
        <v>1767</v>
      </c>
      <c r="AA44" s="76">
        <v>45767</v>
      </c>
      <c r="AB44" s="77" t="s">
        <v>79</v>
      </c>
      <c r="AC44" s="72" t="s">
        <v>81</v>
      </c>
      <c r="AD44" s="72" t="s">
        <v>87</v>
      </c>
      <c r="AE44" s="78">
        <v>229</v>
      </c>
      <c r="AF44" s="39">
        <v>1</v>
      </c>
      <c r="AG44" s="72">
        <v>229</v>
      </c>
      <c r="AI44" s="39">
        <v>558</v>
      </c>
      <c r="AK44" s="78">
        <v>229</v>
      </c>
      <c r="AL44" s="79">
        <v>1</v>
      </c>
      <c r="AN44" s="78">
        <v>229</v>
      </c>
    </row>
    <row r="45" spans="1:43" ht="15.75" x14ac:dyDescent="0.25">
      <c r="A45" s="2">
        <v>45676</v>
      </c>
      <c r="B45" s="46" t="s">
        <v>75</v>
      </c>
      <c r="C45" t="s">
        <v>83</v>
      </c>
      <c r="D45" t="s">
        <v>85</v>
      </c>
      <c r="E45" s="57">
        <v>5832</v>
      </c>
      <c r="F45" s="37">
        <v>6</v>
      </c>
      <c r="G45" t="s">
        <v>405</v>
      </c>
      <c r="H45" t="s">
        <v>408</v>
      </c>
      <c r="I45">
        <v>505</v>
      </c>
      <c r="L45" s="55">
        <v>46059</v>
      </c>
      <c r="T45" t="s">
        <v>235</v>
      </c>
      <c r="V45" s="45">
        <v>7840</v>
      </c>
      <c r="AA45" s="2">
        <v>45747</v>
      </c>
      <c r="AB45" s="46" t="s">
        <v>79</v>
      </c>
      <c r="AC45" t="s">
        <v>81</v>
      </c>
      <c r="AD45" t="s">
        <v>86</v>
      </c>
      <c r="AE45" s="57">
        <v>311</v>
      </c>
      <c r="AF45" s="37">
        <v>1</v>
      </c>
      <c r="AG45">
        <v>311</v>
      </c>
      <c r="AI45" s="37">
        <v>6413</v>
      </c>
      <c r="AK45" s="57">
        <v>311</v>
      </c>
      <c r="AL45" s="80">
        <v>1</v>
      </c>
      <c r="AN45" s="57">
        <v>311</v>
      </c>
    </row>
    <row r="46" spans="1:43" ht="15.75" x14ac:dyDescent="0.25">
      <c r="A46" s="2">
        <v>45693</v>
      </c>
      <c r="B46" s="46" t="s">
        <v>75</v>
      </c>
      <c r="C46" t="s">
        <v>83</v>
      </c>
      <c r="D46" t="s">
        <v>86</v>
      </c>
      <c r="E46" s="57">
        <v>7995</v>
      </c>
      <c r="F46" s="37">
        <v>13</v>
      </c>
      <c r="G46" t="s">
        <v>403</v>
      </c>
      <c r="H46" t="s">
        <v>406</v>
      </c>
      <c r="I46">
        <v>488</v>
      </c>
      <c r="L46" s="55">
        <v>46060</v>
      </c>
      <c r="T46">
        <v>30000</v>
      </c>
      <c r="V46" s="44">
        <v>4806</v>
      </c>
      <c r="AA46" s="76">
        <v>45746</v>
      </c>
      <c r="AB46" s="77" t="s">
        <v>79</v>
      </c>
      <c r="AC46" s="72" t="s">
        <v>81</v>
      </c>
      <c r="AD46" s="72" t="s">
        <v>85</v>
      </c>
      <c r="AE46" s="78">
        <v>10849</v>
      </c>
      <c r="AF46" s="39">
        <v>19</v>
      </c>
      <c r="AG46" s="72">
        <v>10849</v>
      </c>
      <c r="AI46" s="39">
        <v>1017</v>
      </c>
      <c r="AK46" s="78">
        <v>10849</v>
      </c>
      <c r="AL46" s="79">
        <v>19</v>
      </c>
      <c r="AN46" s="78">
        <v>10849</v>
      </c>
    </row>
    <row r="47" spans="1:43" ht="15.75" x14ac:dyDescent="0.25">
      <c r="A47" s="2">
        <v>45677</v>
      </c>
      <c r="B47" s="46" t="s">
        <v>75</v>
      </c>
      <c r="C47" t="s">
        <v>83</v>
      </c>
      <c r="D47" t="s">
        <v>85</v>
      </c>
      <c r="E47" s="57">
        <v>9984</v>
      </c>
      <c r="F47" s="37">
        <v>13</v>
      </c>
      <c r="G47" t="s">
        <v>405</v>
      </c>
      <c r="H47" t="s">
        <v>408</v>
      </c>
      <c r="I47">
        <v>504</v>
      </c>
      <c r="L47" s="55">
        <v>46061</v>
      </c>
      <c r="T47">
        <v>40000</v>
      </c>
      <c r="AA47" s="2">
        <v>45693</v>
      </c>
      <c r="AB47" s="46" t="s">
        <v>79</v>
      </c>
      <c r="AC47" t="s">
        <v>81</v>
      </c>
      <c r="AD47" t="s">
        <v>86</v>
      </c>
      <c r="AE47" s="57">
        <v>8604</v>
      </c>
      <c r="AF47" s="37">
        <v>18</v>
      </c>
      <c r="AG47">
        <v>8604</v>
      </c>
      <c r="AI47" s="37">
        <v>9310</v>
      </c>
      <c r="AK47" s="57">
        <v>8604</v>
      </c>
      <c r="AL47" s="80">
        <v>18</v>
      </c>
      <c r="AN47" s="57">
        <v>8604</v>
      </c>
    </row>
    <row r="48" spans="1:43" ht="15.75" x14ac:dyDescent="0.25">
      <c r="A48" s="2">
        <v>45739</v>
      </c>
      <c r="B48" s="46" t="s">
        <v>75</v>
      </c>
      <c r="C48" t="s">
        <v>83</v>
      </c>
      <c r="D48" t="s">
        <v>87</v>
      </c>
      <c r="E48" s="57">
        <v>7683</v>
      </c>
      <c r="F48" s="37">
        <v>13</v>
      </c>
      <c r="G48" t="s">
        <v>404</v>
      </c>
      <c r="H48" t="s">
        <v>407</v>
      </c>
      <c r="I48">
        <v>442</v>
      </c>
      <c r="AA48" s="76">
        <v>45690</v>
      </c>
      <c r="AB48" s="77" t="s">
        <v>79</v>
      </c>
      <c r="AC48" s="72" t="s">
        <v>81</v>
      </c>
      <c r="AD48" s="72" t="s">
        <v>87</v>
      </c>
      <c r="AE48" s="78">
        <v>5544</v>
      </c>
      <c r="AF48" s="39">
        <v>7</v>
      </c>
      <c r="AG48" s="72">
        <v>5544</v>
      </c>
      <c r="AK48" s="78">
        <v>5544</v>
      </c>
      <c r="AL48" s="79">
        <v>7</v>
      </c>
      <c r="AN48" s="78">
        <v>5544</v>
      </c>
    </row>
    <row r="49" spans="1:40" ht="15.75" x14ac:dyDescent="0.25">
      <c r="A49" s="2">
        <v>45703</v>
      </c>
      <c r="B49" s="46" t="s">
        <v>75</v>
      </c>
      <c r="C49" t="s">
        <v>83</v>
      </c>
      <c r="D49" t="s">
        <v>87</v>
      </c>
      <c r="E49" s="57">
        <v>2560</v>
      </c>
      <c r="F49" s="37">
        <v>4</v>
      </c>
      <c r="G49" t="s">
        <v>403</v>
      </c>
      <c r="H49" t="s">
        <v>406</v>
      </c>
      <c r="I49">
        <v>478</v>
      </c>
      <c r="AA49" s="2">
        <v>45668</v>
      </c>
      <c r="AB49" s="46" t="s">
        <v>79</v>
      </c>
      <c r="AC49" t="s">
        <v>81</v>
      </c>
      <c r="AD49" t="s">
        <v>86</v>
      </c>
      <c r="AE49" s="57">
        <v>1220</v>
      </c>
      <c r="AF49" s="37">
        <v>5</v>
      </c>
      <c r="AG49">
        <v>1220</v>
      </c>
      <c r="AK49" s="57">
        <v>1220</v>
      </c>
      <c r="AL49" s="80">
        <v>5</v>
      </c>
      <c r="AN49" s="57">
        <v>1220</v>
      </c>
    </row>
    <row r="50" spans="1:40" ht="15.75" x14ac:dyDescent="0.25">
      <c r="A50" s="2">
        <v>45705</v>
      </c>
      <c r="B50" s="46" t="s">
        <v>75</v>
      </c>
      <c r="C50" t="s">
        <v>83</v>
      </c>
      <c r="D50" t="s">
        <v>85</v>
      </c>
      <c r="E50" s="57">
        <v>4140</v>
      </c>
      <c r="F50" s="37">
        <v>18</v>
      </c>
      <c r="G50" t="s">
        <v>403</v>
      </c>
      <c r="H50" t="s">
        <v>406</v>
      </c>
      <c r="I50">
        <v>476</v>
      </c>
      <c r="AA50" s="76">
        <v>45725</v>
      </c>
      <c r="AB50" s="77" t="s">
        <v>79</v>
      </c>
      <c r="AC50" s="72" t="s">
        <v>81</v>
      </c>
      <c r="AD50" s="72" t="s">
        <v>88</v>
      </c>
      <c r="AE50" s="78">
        <v>7930</v>
      </c>
      <c r="AF50" s="39">
        <v>13</v>
      </c>
      <c r="AG50" s="72">
        <v>7930</v>
      </c>
      <c r="AK50" s="78">
        <v>7930</v>
      </c>
      <c r="AL50" s="79">
        <v>13</v>
      </c>
      <c r="AN50" s="78">
        <v>7930</v>
      </c>
    </row>
    <row r="51" spans="1:40" ht="15.75" x14ac:dyDescent="0.25">
      <c r="A51" s="2">
        <v>45707</v>
      </c>
      <c r="B51" s="46" t="s">
        <v>75</v>
      </c>
      <c r="C51" t="s">
        <v>83</v>
      </c>
      <c r="D51" t="s">
        <v>87</v>
      </c>
      <c r="E51" s="57">
        <v>13420</v>
      </c>
      <c r="F51" s="37">
        <v>20</v>
      </c>
      <c r="G51" t="s">
        <v>403</v>
      </c>
      <c r="H51" t="s">
        <v>406</v>
      </c>
      <c r="I51">
        <v>474</v>
      </c>
      <c r="AA51" s="2">
        <v>45735</v>
      </c>
      <c r="AB51" s="46" t="s">
        <v>80</v>
      </c>
      <c r="AC51" t="s">
        <v>82</v>
      </c>
      <c r="AD51" t="s">
        <v>87</v>
      </c>
      <c r="AE51" s="57">
        <v>6104</v>
      </c>
      <c r="AF51" s="37">
        <v>7</v>
      </c>
      <c r="AG51">
        <v>6104</v>
      </c>
      <c r="AK51" s="57">
        <v>6104</v>
      </c>
      <c r="AL51" s="80">
        <v>7</v>
      </c>
    </row>
    <row r="52" spans="1:40" ht="15.75" x14ac:dyDescent="0.25">
      <c r="A52" s="2">
        <v>45705</v>
      </c>
      <c r="B52" s="46" t="s">
        <v>75</v>
      </c>
      <c r="C52" t="s">
        <v>83</v>
      </c>
      <c r="D52" t="s">
        <v>87</v>
      </c>
      <c r="E52" s="57">
        <v>3004</v>
      </c>
      <c r="F52" s="37">
        <v>4</v>
      </c>
      <c r="G52" t="s">
        <v>403</v>
      </c>
      <c r="H52" t="s">
        <v>406</v>
      </c>
      <c r="I52">
        <v>476</v>
      </c>
      <c r="AA52" s="76">
        <v>45721</v>
      </c>
      <c r="AB52" s="77" t="s">
        <v>80</v>
      </c>
      <c r="AC52" s="72" t="s">
        <v>82</v>
      </c>
      <c r="AD52" s="72" t="s">
        <v>86</v>
      </c>
      <c r="AE52" s="78">
        <v>9310</v>
      </c>
      <c r="AF52" s="39">
        <v>10</v>
      </c>
      <c r="AG52" s="72">
        <v>9310</v>
      </c>
      <c r="AK52" s="78">
        <v>9310</v>
      </c>
      <c r="AL52" s="79">
        <v>10</v>
      </c>
    </row>
    <row r="53" spans="1:40" ht="15.75" x14ac:dyDescent="0.25">
      <c r="A53" s="2">
        <v>45766</v>
      </c>
      <c r="B53" s="46" t="s">
        <v>75</v>
      </c>
      <c r="C53" t="s">
        <v>83</v>
      </c>
      <c r="D53" t="s">
        <v>85</v>
      </c>
      <c r="E53" s="57">
        <v>8697</v>
      </c>
      <c r="F53" s="37">
        <v>13</v>
      </c>
      <c r="G53" t="s">
        <v>404</v>
      </c>
      <c r="H53" t="s">
        <v>409</v>
      </c>
      <c r="I53">
        <v>415</v>
      </c>
      <c r="AA53" s="2">
        <v>45677</v>
      </c>
      <c r="AB53" s="46" t="s">
        <v>80</v>
      </c>
      <c r="AC53" t="s">
        <v>82</v>
      </c>
      <c r="AD53" t="s">
        <v>88</v>
      </c>
      <c r="AE53" s="57">
        <v>4382</v>
      </c>
      <c r="AF53" s="37">
        <v>7</v>
      </c>
      <c r="AG53">
        <v>4382</v>
      </c>
      <c r="AK53" s="57">
        <v>4382</v>
      </c>
      <c r="AL53" s="80">
        <v>7</v>
      </c>
    </row>
    <row r="54" spans="1:40" ht="15.75" x14ac:dyDescent="0.25">
      <c r="A54" s="2">
        <v>45713</v>
      </c>
      <c r="B54" s="46" t="s">
        <v>75</v>
      </c>
      <c r="C54" t="s">
        <v>83</v>
      </c>
      <c r="D54" t="s">
        <v>85</v>
      </c>
      <c r="E54" s="57">
        <v>4779</v>
      </c>
      <c r="F54" s="37">
        <v>9</v>
      </c>
      <c r="G54" t="s">
        <v>403</v>
      </c>
      <c r="H54" t="s">
        <v>406</v>
      </c>
      <c r="I54">
        <v>468</v>
      </c>
      <c r="AA54" s="76">
        <v>45719</v>
      </c>
      <c r="AB54" s="77" t="s">
        <v>80</v>
      </c>
      <c r="AC54" s="72" t="s">
        <v>82</v>
      </c>
      <c r="AD54" s="72" t="s">
        <v>87</v>
      </c>
      <c r="AE54" s="78">
        <v>7395</v>
      </c>
      <c r="AF54" s="39">
        <v>17</v>
      </c>
      <c r="AG54" s="72">
        <v>7395</v>
      </c>
      <c r="AK54" s="78">
        <v>7395</v>
      </c>
      <c r="AL54" s="79">
        <v>17</v>
      </c>
    </row>
    <row r="55" spans="1:40" ht="15.75" x14ac:dyDescent="0.25">
      <c r="A55" s="2">
        <v>45706</v>
      </c>
      <c r="B55" s="46" t="s">
        <v>75</v>
      </c>
      <c r="C55" t="s">
        <v>83</v>
      </c>
      <c r="D55" t="s">
        <v>85</v>
      </c>
      <c r="E55" s="57">
        <v>6040</v>
      </c>
      <c r="F55" s="37">
        <v>20</v>
      </c>
      <c r="G55" t="s">
        <v>403</v>
      </c>
      <c r="H55" t="s">
        <v>406</v>
      </c>
      <c r="I55">
        <v>475</v>
      </c>
      <c r="AA55" s="2">
        <v>45744</v>
      </c>
      <c r="AB55" s="46" t="s">
        <v>80</v>
      </c>
      <c r="AC55" t="s">
        <v>82</v>
      </c>
      <c r="AD55" t="s">
        <v>85</v>
      </c>
      <c r="AE55" s="57">
        <v>632</v>
      </c>
      <c r="AF55" s="37">
        <v>1</v>
      </c>
      <c r="AG55">
        <v>632</v>
      </c>
      <c r="AK55" s="57">
        <v>632</v>
      </c>
      <c r="AL55" s="80">
        <v>1</v>
      </c>
    </row>
    <row r="56" spans="1:40" ht="15.75" x14ac:dyDescent="0.25">
      <c r="A56" s="2">
        <v>45702</v>
      </c>
      <c r="B56" s="46" t="s">
        <v>75</v>
      </c>
      <c r="C56" t="s">
        <v>83</v>
      </c>
      <c r="D56" t="s">
        <v>85</v>
      </c>
      <c r="E56" s="57">
        <v>4048</v>
      </c>
      <c r="F56" s="37">
        <v>8</v>
      </c>
      <c r="G56" t="s">
        <v>403</v>
      </c>
      <c r="H56" t="s">
        <v>406</v>
      </c>
      <c r="I56">
        <v>479</v>
      </c>
      <c r="AA56" s="76">
        <v>45702</v>
      </c>
      <c r="AB56" s="77" t="s">
        <v>80</v>
      </c>
      <c r="AC56" s="72" t="s">
        <v>82</v>
      </c>
      <c r="AD56" s="72" t="s">
        <v>86</v>
      </c>
      <c r="AE56" s="78">
        <v>7800</v>
      </c>
      <c r="AF56" s="39">
        <v>10</v>
      </c>
      <c r="AG56" s="72">
        <v>7800</v>
      </c>
      <c r="AK56" s="78">
        <v>7800</v>
      </c>
      <c r="AL56" s="79">
        <v>10</v>
      </c>
    </row>
    <row r="57" spans="1:40" x14ac:dyDescent="0.25">
      <c r="A57" s="2">
        <v>45666</v>
      </c>
      <c r="B57" s="46" t="s">
        <v>75</v>
      </c>
      <c r="C57" t="s">
        <v>83</v>
      </c>
      <c r="D57" t="s">
        <v>88</v>
      </c>
      <c r="E57" s="57">
        <v>16321</v>
      </c>
      <c r="F57" s="37">
        <v>19</v>
      </c>
      <c r="G57" t="s">
        <v>405</v>
      </c>
      <c r="H57" t="s">
        <v>408</v>
      </c>
      <c r="I57">
        <v>515</v>
      </c>
      <c r="AA57" s="2">
        <v>45659</v>
      </c>
      <c r="AB57" s="46" t="s">
        <v>80</v>
      </c>
      <c r="AC57" t="s">
        <v>82</v>
      </c>
      <c r="AD57" t="s">
        <v>88</v>
      </c>
      <c r="AE57" s="57">
        <v>3928</v>
      </c>
      <c r="AF57" s="37">
        <v>4</v>
      </c>
      <c r="AG57">
        <v>3928</v>
      </c>
    </row>
    <row r="58" spans="1:40" x14ac:dyDescent="0.25">
      <c r="A58" s="2">
        <v>45665</v>
      </c>
      <c r="B58" s="46" t="s">
        <v>75</v>
      </c>
      <c r="C58" t="s">
        <v>83</v>
      </c>
      <c r="D58" t="s">
        <v>86</v>
      </c>
      <c r="E58" s="57">
        <v>5760</v>
      </c>
      <c r="F58" s="37">
        <v>9</v>
      </c>
      <c r="G58" t="s">
        <v>405</v>
      </c>
      <c r="H58" t="s">
        <v>408</v>
      </c>
      <c r="I58">
        <v>516</v>
      </c>
      <c r="AA58" s="76">
        <v>45680</v>
      </c>
      <c r="AB58" s="77" t="s">
        <v>80</v>
      </c>
      <c r="AC58" s="72" t="s">
        <v>82</v>
      </c>
      <c r="AD58" s="72" t="s">
        <v>87</v>
      </c>
      <c r="AE58" s="78">
        <v>2968</v>
      </c>
      <c r="AF58" s="39">
        <v>14</v>
      </c>
      <c r="AG58" s="72">
        <v>2968</v>
      </c>
    </row>
    <row r="59" spans="1:40" x14ac:dyDescent="0.25">
      <c r="A59" s="2">
        <v>45778</v>
      </c>
      <c r="B59" s="46" t="s">
        <v>75</v>
      </c>
      <c r="C59" t="s">
        <v>83</v>
      </c>
      <c r="D59" t="s">
        <v>86</v>
      </c>
      <c r="E59" s="57">
        <v>14860</v>
      </c>
      <c r="F59" s="37">
        <v>20</v>
      </c>
      <c r="G59" t="s">
        <v>404</v>
      </c>
      <c r="H59" t="s">
        <v>410</v>
      </c>
      <c r="I59">
        <v>403</v>
      </c>
      <c r="AA59" s="2">
        <v>45761</v>
      </c>
      <c r="AB59" s="46" t="s">
        <v>80</v>
      </c>
      <c r="AC59" t="s">
        <v>82</v>
      </c>
      <c r="AD59" t="s">
        <v>88</v>
      </c>
      <c r="AE59" s="57">
        <v>9480</v>
      </c>
      <c r="AF59" s="37">
        <v>15</v>
      </c>
      <c r="AG59">
        <v>9480</v>
      </c>
    </row>
    <row r="60" spans="1:40" x14ac:dyDescent="0.25">
      <c r="A60" s="2">
        <v>45765</v>
      </c>
      <c r="B60" s="46" t="s">
        <v>75</v>
      </c>
      <c r="C60" t="s">
        <v>83</v>
      </c>
      <c r="D60" t="s">
        <v>87</v>
      </c>
      <c r="E60" s="57">
        <v>2522</v>
      </c>
      <c r="F60" s="37">
        <v>13</v>
      </c>
      <c r="G60" t="s">
        <v>404</v>
      </c>
      <c r="H60" t="s">
        <v>409</v>
      </c>
      <c r="I60">
        <v>416</v>
      </c>
      <c r="AA60" s="76">
        <v>45679</v>
      </c>
      <c r="AB60" s="77" t="s">
        <v>80</v>
      </c>
      <c r="AC60" s="72" t="s">
        <v>82</v>
      </c>
      <c r="AD60" s="72" t="s">
        <v>87</v>
      </c>
      <c r="AE60" s="78">
        <v>3835</v>
      </c>
      <c r="AF60" s="39">
        <v>5</v>
      </c>
      <c r="AG60" s="72">
        <v>3835</v>
      </c>
    </row>
    <row r="61" spans="1:40" x14ac:dyDescent="0.25">
      <c r="A61" s="2">
        <v>45711</v>
      </c>
      <c r="B61" s="46" t="s">
        <v>75</v>
      </c>
      <c r="C61" t="s">
        <v>83</v>
      </c>
      <c r="D61" t="s">
        <v>85</v>
      </c>
      <c r="E61" s="57">
        <v>2460</v>
      </c>
      <c r="F61" s="37">
        <v>12</v>
      </c>
      <c r="G61" t="s">
        <v>403</v>
      </c>
      <c r="H61" t="s">
        <v>406</v>
      </c>
      <c r="I61">
        <v>470</v>
      </c>
    </row>
    <row r="62" spans="1:40" x14ac:dyDescent="0.25">
      <c r="A62" s="2">
        <v>45734</v>
      </c>
      <c r="B62" s="46" t="s">
        <v>74</v>
      </c>
      <c r="C62" t="s">
        <v>82</v>
      </c>
      <c r="D62" t="s">
        <v>86</v>
      </c>
      <c r="E62" s="57">
        <v>7875</v>
      </c>
      <c r="F62" s="37">
        <v>15</v>
      </c>
      <c r="G62" t="s">
        <v>404</v>
      </c>
      <c r="H62" t="s">
        <v>407</v>
      </c>
      <c r="I62">
        <v>447</v>
      </c>
    </row>
    <row r="63" spans="1:40" x14ac:dyDescent="0.25">
      <c r="A63" s="2">
        <v>45693</v>
      </c>
      <c r="B63" s="46" t="s">
        <v>74</v>
      </c>
      <c r="C63" t="s">
        <v>82</v>
      </c>
      <c r="D63" t="s">
        <v>87</v>
      </c>
      <c r="E63" s="57">
        <v>6560</v>
      </c>
      <c r="F63" s="37">
        <v>10</v>
      </c>
      <c r="G63" t="s">
        <v>403</v>
      </c>
      <c r="H63" t="s">
        <v>406</v>
      </c>
      <c r="I63">
        <v>488</v>
      </c>
    </row>
    <row r="64" spans="1:40" x14ac:dyDescent="0.25">
      <c r="A64" s="2">
        <v>45778</v>
      </c>
      <c r="B64" s="46" t="s">
        <v>74</v>
      </c>
      <c r="C64" t="s">
        <v>82</v>
      </c>
      <c r="D64" t="s">
        <v>86</v>
      </c>
      <c r="E64" s="57">
        <v>2790</v>
      </c>
      <c r="F64" s="37">
        <v>18</v>
      </c>
      <c r="G64" t="s">
        <v>404</v>
      </c>
      <c r="H64" t="s">
        <v>410</v>
      </c>
      <c r="I64">
        <v>403</v>
      </c>
    </row>
    <row r="65" spans="1:9" x14ac:dyDescent="0.25">
      <c r="A65" s="2">
        <v>45732</v>
      </c>
      <c r="B65" s="46" t="s">
        <v>74</v>
      </c>
      <c r="C65" t="s">
        <v>82</v>
      </c>
      <c r="D65" t="s">
        <v>88</v>
      </c>
      <c r="E65" s="57">
        <v>1017</v>
      </c>
      <c r="F65" s="37">
        <v>9</v>
      </c>
      <c r="G65" t="s">
        <v>404</v>
      </c>
      <c r="H65" t="s">
        <v>407</v>
      </c>
      <c r="I65">
        <v>449</v>
      </c>
    </row>
    <row r="66" spans="1:9" x14ac:dyDescent="0.25">
      <c r="A66" s="2">
        <v>45660</v>
      </c>
      <c r="B66" s="46" t="s">
        <v>74</v>
      </c>
      <c r="C66" t="s">
        <v>82</v>
      </c>
      <c r="D66" t="s">
        <v>85</v>
      </c>
      <c r="E66" s="57">
        <v>2094</v>
      </c>
      <c r="F66" s="37">
        <v>6</v>
      </c>
      <c r="G66" t="s">
        <v>405</v>
      </c>
      <c r="H66" t="s">
        <v>408</v>
      </c>
      <c r="I66">
        <v>521</v>
      </c>
    </row>
    <row r="67" spans="1:9" x14ac:dyDescent="0.25">
      <c r="A67" s="2">
        <v>45701</v>
      </c>
      <c r="B67" s="46" t="s">
        <v>74</v>
      </c>
      <c r="C67" t="s">
        <v>82</v>
      </c>
      <c r="D67" t="s">
        <v>88</v>
      </c>
      <c r="E67" s="57">
        <v>3996</v>
      </c>
      <c r="F67" s="37">
        <v>4</v>
      </c>
      <c r="G67" t="s">
        <v>403</v>
      </c>
      <c r="H67" t="s">
        <v>406</v>
      </c>
      <c r="I67">
        <v>480</v>
      </c>
    </row>
    <row r="68" spans="1:9" x14ac:dyDescent="0.25">
      <c r="A68" s="2">
        <v>45670</v>
      </c>
      <c r="B68" s="46" t="s">
        <v>74</v>
      </c>
      <c r="C68" t="s">
        <v>82</v>
      </c>
      <c r="D68" t="s">
        <v>85</v>
      </c>
      <c r="E68" s="57">
        <v>4459</v>
      </c>
      <c r="F68" s="37">
        <v>7</v>
      </c>
      <c r="G68" t="s">
        <v>405</v>
      </c>
      <c r="H68" t="s">
        <v>408</v>
      </c>
      <c r="I68">
        <v>511</v>
      </c>
    </row>
    <row r="69" spans="1:9" x14ac:dyDescent="0.25">
      <c r="A69" s="2">
        <v>45704</v>
      </c>
      <c r="B69" s="46" t="s">
        <v>74</v>
      </c>
      <c r="C69" t="s">
        <v>82</v>
      </c>
      <c r="D69" t="s">
        <v>85</v>
      </c>
      <c r="E69" s="57">
        <v>2274</v>
      </c>
      <c r="F69" s="37">
        <v>3</v>
      </c>
      <c r="G69" t="s">
        <v>403</v>
      </c>
      <c r="H69" t="s">
        <v>406</v>
      </c>
      <c r="I69">
        <v>477</v>
      </c>
    </row>
    <row r="70" spans="1:9" x14ac:dyDescent="0.25">
      <c r="A70" s="2">
        <v>45728</v>
      </c>
      <c r="B70" s="46" t="s">
        <v>74</v>
      </c>
      <c r="C70" t="s">
        <v>82</v>
      </c>
      <c r="D70" t="s">
        <v>88</v>
      </c>
      <c r="E70" s="57">
        <v>8610</v>
      </c>
      <c r="F70" s="37">
        <v>10</v>
      </c>
      <c r="G70" t="s">
        <v>403</v>
      </c>
      <c r="H70" t="s">
        <v>407</v>
      </c>
      <c r="I70">
        <v>453</v>
      </c>
    </row>
    <row r="71" spans="1:9" x14ac:dyDescent="0.25">
      <c r="A71" s="2">
        <v>45719</v>
      </c>
      <c r="B71" s="46" t="s">
        <v>74</v>
      </c>
      <c r="C71" t="s">
        <v>82</v>
      </c>
      <c r="D71" t="s">
        <v>88</v>
      </c>
      <c r="E71" s="57">
        <v>7200</v>
      </c>
      <c r="F71" s="37">
        <v>8</v>
      </c>
      <c r="G71" t="s">
        <v>403</v>
      </c>
      <c r="H71" t="s">
        <v>407</v>
      </c>
      <c r="I71">
        <v>462</v>
      </c>
    </row>
    <row r="72" spans="1:9" x14ac:dyDescent="0.25">
      <c r="A72" s="2">
        <v>45701</v>
      </c>
      <c r="B72" s="46" t="s">
        <v>74</v>
      </c>
      <c r="C72" t="s">
        <v>82</v>
      </c>
      <c r="D72" t="s">
        <v>88</v>
      </c>
      <c r="E72" s="57">
        <v>1464</v>
      </c>
      <c r="F72" s="37">
        <v>2</v>
      </c>
      <c r="G72" t="s">
        <v>403</v>
      </c>
      <c r="H72" t="s">
        <v>406</v>
      </c>
      <c r="I72">
        <v>480</v>
      </c>
    </row>
    <row r="73" spans="1:9" x14ac:dyDescent="0.25">
      <c r="A73" s="2">
        <v>45724</v>
      </c>
      <c r="B73" s="46" t="s">
        <v>74</v>
      </c>
      <c r="C73" t="s">
        <v>82</v>
      </c>
      <c r="D73" t="s">
        <v>88</v>
      </c>
      <c r="E73" s="57">
        <v>8136</v>
      </c>
      <c r="F73" s="37">
        <v>9</v>
      </c>
      <c r="G73" t="s">
        <v>403</v>
      </c>
      <c r="H73" t="s">
        <v>407</v>
      </c>
      <c r="I73">
        <v>457</v>
      </c>
    </row>
    <row r="74" spans="1:9" x14ac:dyDescent="0.25">
      <c r="A74" s="2">
        <v>45689</v>
      </c>
      <c r="B74" s="46" t="s">
        <v>74</v>
      </c>
      <c r="C74" t="s">
        <v>82</v>
      </c>
      <c r="D74" t="s">
        <v>87</v>
      </c>
      <c r="E74" s="57">
        <v>3955</v>
      </c>
      <c r="F74" s="37">
        <v>5</v>
      </c>
      <c r="G74" t="s">
        <v>403</v>
      </c>
      <c r="H74" t="s">
        <v>406</v>
      </c>
      <c r="I74">
        <v>492</v>
      </c>
    </row>
    <row r="75" spans="1:9" x14ac:dyDescent="0.25">
      <c r="A75" s="2">
        <v>45756</v>
      </c>
      <c r="B75" s="46" t="s">
        <v>74</v>
      </c>
      <c r="C75" t="s">
        <v>82</v>
      </c>
      <c r="D75" t="s">
        <v>87</v>
      </c>
      <c r="E75" s="57">
        <v>8436</v>
      </c>
      <c r="F75" s="37">
        <v>19</v>
      </c>
      <c r="G75" t="s">
        <v>404</v>
      </c>
      <c r="H75" t="s">
        <v>409</v>
      </c>
      <c r="I75">
        <v>425</v>
      </c>
    </row>
    <row r="76" spans="1:9" x14ac:dyDescent="0.25">
      <c r="A76" s="2">
        <v>45747</v>
      </c>
      <c r="B76" s="46" t="s">
        <v>74</v>
      </c>
      <c r="C76" t="s">
        <v>82</v>
      </c>
      <c r="D76" t="s">
        <v>85</v>
      </c>
      <c r="E76" s="57">
        <v>2832</v>
      </c>
      <c r="F76" s="37">
        <v>8</v>
      </c>
      <c r="G76" t="s">
        <v>404</v>
      </c>
      <c r="H76" t="s">
        <v>407</v>
      </c>
      <c r="I76">
        <v>434</v>
      </c>
    </row>
    <row r="77" spans="1:9" x14ac:dyDescent="0.25">
      <c r="A77" s="2">
        <v>45694</v>
      </c>
      <c r="B77" s="46" t="s">
        <v>74</v>
      </c>
      <c r="C77" t="s">
        <v>82</v>
      </c>
      <c r="D77" t="s">
        <v>88</v>
      </c>
      <c r="E77" s="57">
        <v>808</v>
      </c>
      <c r="F77" s="37">
        <v>8</v>
      </c>
      <c r="G77" t="s">
        <v>403</v>
      </c>
      <c r="H77" t="s">
        <v>406</v>
      </c>
      <c r="I77">
        <v>487</v>
      </c>
    </row>
    <row r="78" spans="1:9" x14ac:dyDescent="0.25">
      <c r="A78" s="2">
        <v>45697</v>
      </c>
      <c r="B78" s="46" t="s">
        <v>73</v>
      </c>
      <c r="C78" t="s">
        <v>81</v>
      </c>
      <c r="D78" t="s">
        <v>85</v>
      </c>
      <c r="E78" s="57">
        <v>4050</v>
      </c>
      <c r="F78" s="37">
        <v>18</v>
      </c>
      <c r="G78" t="s">
        <v>403</v>
      </c>
      <c r="H78" t="s">
        <v>406</v>
      </c>
      <c r="I78">
        <v>484</v>
      </c>
    </row>
    <row r="79" spans="1:9" x14ac:dyDescent="0.25">
      <c r="A79" s="2">
        <v>45762</v>
      </c>
      <c r="B79" s="46" t="s">
        <v>73</v>
      </c>
      <c r="C79" t="s">
        <v>81</v>
      </c>
      <c r="D79" t="s">
        <v>88</v>
      </c>
      <c r="E79" s="57">
        <v>12920</v>
      </c>
      <c r="F79" s="37">
        <v>17</v>
      </c>
      <c r="G79" t="s">
        <v>404</v>
      </c>
      <c r="H79" t="s">
        <v>409</v>
      </c>
      <c r="I79">
        <v>419</v>
      </c>
    </row>
    <row r="80" spans="1:9" x14ac:dyDescent="0.25">
      <c r="A80" s="2">
        <v>45714</v>
      </c>
      <c r="B80" s="46" t="s">
        <v>73</v>
      </c>
      <c r="C80" t="s">
        <v>81</v>
      </c>
      <c r="D80" t="s">
        <v>85</v>
      </c>
      <c r="E80" s="57">
        <v>2388</v>
      </c>
      <c r="F80" s="37">
        <v>3</v>
      </c>
      <c r="G80" t="s">
        <v>403</v>
      </c>
      <c r="H80" t="s">
        <v>406</v>
      </c>
      <c r="I80">
        <v>467</v>
      </c>
    </row>
    <row r="81" spans="1:9" x14ac:dyDescent="0.25">
      <c r="A81" s="2">
        <v>45749</v>
      </c>
      <c r="B81" s="46" t="s">
        <v>73</v>
      </c>
      <c r="C81" t="s">
        <v>81</v>
      </c>
      <c r="D81" t="s">
        <v>85</v>
      </c>
      <c r="E81" s="57">
        <v>2690</v>
      </c>
      <c r="F81" s="37">
        <v>5</v>
      </c>
      <c r="G81" t="s">
        <v>404</v>
      </c>
      <c r="H81" t="s">
        <v>409</v>
      </c>
      <c r="I81">
        <v>432</v>
      </c>
    </row>
    <row r="82" spans="1:9" x14ac:dyDescent="0.25">
      <c r="A82" s="2">
        <v>45749</v>
      </c>
      <c r="B82" s="46" t="s">
        <v>73</v>
      </c>
      <c r="C82" t="s">
        <v>81</v>
      </c>
      <c r="D82" t="s">
        <v>87</v>
      </c>
      <c r="E82" s="57">
        <v>4540</v>
      </c>
      <c r="F82" s="37">
        <v>5</v>
      </c>
      <c r="G82" t="s">
        <v>404</v>
      </c>
      <c r="H82" t="s">
        <v>409</v>
      </c>
      <c r="I82">
        <v>432</v>
      </c>
    </row>
    <row r="83" spans="1:9" x14ac:dyDescent="0.25">
      <c r="A83" s="2">
        <v>45704</v>
      </c>
      <c r="B83" s="46" t="s">
        <v>73</v>
      </c>
      <c r="C83" t="s">
        <v>81</v>
      </c>
      <c r="D83" t="s">
        <v>85</v>
      </c>
      <c r="E83" s="57">
        <v>12701</v>
      </c>
      <c r="F83" s="37">
        <v>13</v>
      </c>
      <c r="G83" t="s">
        <v>403</v>
      </c>
      <c r="H83" t="s">
        <v>406</v>
      </c>
      <c r="I83">
        <v>477</v>
      </c>
    </row>
    <row r="84" spans="1:9" x14ac:dyDescent="0.25">
      <c r="A84" s="2">
        <v>45669</v>
      </c>
      <c r="B84" s="46" t="s">
        <v>73</v>
      </c>
      <c r="C84" t="s">
        <v>81</v>
      </c>
      <c r="D84" t="s">
        <v>85</v>
      </c>
      <c r="E84" s="57">
        <v>636</v>
      </c>
      <c r="F84" s="37">
        <v>2</v>
      </c>
      <c r="G84" t="s">
        <v>405</v>
      </c>
      <c r="H84" t="s">
        <v>408</v>
      </c>
      <c r="I84">
        <v>512</v>
      </c>
    </row>
    <row r="85" spans="1:9" x14ac:dyDescent="0.25">
      <c r="A85" s="2">
        <v>45686</v>
      </c>
      <c r="B85" s="46" t="s">
        <v>73</v>
      </c>
      <c r="C85" t="s">
        <v>81</v>
      </c>
      <c r="D85" t="s">
        <v>88</v>
      </c>
      <c r="E85" s="57">
        <v>545</v>
      </c>
      <c r="F85" s="37">
        <v>5</v>
      </c>
      <c r="G85" t="s">
        <v>403</v>
      </c>
      <c r="H85" t="s">
        <v>408</v>
      </c>
      <c r="I85">
        <v>495</v>
      </c>
    </row>
    <row r="86" spans="1:9" x14ac:dyDescent="0.25">
      <c r="A86" s="2">
        <v>45710</v>
      </c>
      <c r="B86" s="46" t="s">
        <v>73</v>
      </c>
      <c r="C86" t="s">
        <v>81</v>
      </c>
      <c r="D86" t="s">
        <v>88</v>
      </c>
      <c r="E86" s="57">
        <v>3042</v>
      </c>
      <c r="F86" s="37">
        <v>13</v>
      </c>
      <c r="G86" t="s">
        <v>403</v>
      </c>
      <c r="H86" t="s">
        <v>406</v>
      </c>
      <c r="I86">
        <v>471</v>
      </c>
    </row>
    <row r="87" spans="1:9" x14ac:dyDescent="0.25">
      <c r="A87" s="2">
        <v>45665</v>
      </c>
      <c r="B87" s="46" t="s">
        <v>73</v>
      </c>
      <c r="C87" t="s">
        <v>81</v>
      </c>
      <c r="D87" t="s">
        <v>86</v>
      </c>
      <c r="E87" s="57">
        <v>2805</v>
      </c>
      <c r="F87" s="37">
        <v>5</v>
      </c>
      <c r="G87" t="s">
        <v>405</v>
      </c>
      <c r="H87" t="s">
        <v>408</v>
      </c>
      <c r="I87">
        <v>516</v>
      </c>
    </row>
    <row r="88" spans="1:9" x14ac:dyDescent="0.25">
      <c r="A88" s="2">
        <v>45731</v>
      </c>
      <c r="B88" s="46" t="s">
        <v>73</v>
      </c>
      <c r="C88" t="s">
        <v>81</v>
      </c>
      <c r="D88" t="s">
        <v>88</v>
      </c>
      <c r="E88" s="57">
        <v>3225</v>
      </c>
      <c r="F88" s="37">
        <v>15</v>
      </c>
      <c r="G88" t="s">
        <v>404</v>
      </c>
      <c r="H88" t="s">
        <v>407</v>
      </c>
      <c r="I88">
        <v>450</v>
      </c>
    </row>
    <row r="89" spans="1:9" x14ac:dyDescent="0.25">
      <c r="A89" s="2">
        <v>45727</v>
      </c>
      <c r="B89" s="46" t="s">
        <v>73</v>
      </c>
      <c r="C89" t="s">
        <v>81</v>
      </c>
      <c r="D89" t="s">
        <v>85</v>
      </c>
      <c r="E89" s="57">
        <v>1185</v>
      </c>
      <c r="F89" s="37">
        <v>5</v>
      </c>
      <c r="G89" t="s">
        <v>403</v>
      </c>
      <c r="H89" t="s">
        <v>407</v>
      </c>
      <c r="I89">
        <v>454</v>
      </c>
    </row>
    <row r="90" spans="1:9" x14ac:dyDescent="0.25">
      <c r="A90" s="2">
        <v>45741</v>
      </c>
      <c r="B90" s="46" t="s">
        <v>73</v>
      </c>
      <c r="C90" t="s">
        <v>81</v>
      </c>
      <c r="D90" t="s">
        <v>85</v>
      </c>
      <c r="E90" s="57">
        <v>1836</v>
      </c>
      <c r="F90" s="37">
        <v>12</v>
      </c>
      <c r="G90" t="s">
        <v>404</v>
      </c>
      <c r="H90" t="s">
        <v>407</v>
      </c>
      <c r="I90">
        <v>440</v>
      </c>
    </row>
    <row r="91" spans="1:9" x14ac:dyDescent="0.25">
      <c r="A91" s="2">
        <v>45720</v>
      </c>
      <c r="B91" s="46" t="s">
        <v>77</v>
      </c>
      <c r="C91" t="s">
        <v>83</v>
      </c>
      <c r="D91" t="s">
        <v>86</v>
      </c>
      <c r="E91" s="57">
        <v>6948</v>
      </c>
      <c r="F91" s="37">
        <v>18</v>
      </c>
      <c r="G91" t="s">
        <v>403</v>
      </c>
      <c r="H91" t="s">
        <v>407</v>
      </c>
      <c r="I91">
        <v>461</v>
      </c>
    </row>
    <row r="92" spans="1:9" x14ac:dyDescent="0.25">
      <c r="A92" s="2">
        <v>45764</v>
      </c>
      <c r="B92" s="46" t="s">
        <v>77</v>
      </c>
      <c r="C92" t="s">
        <v>83</v>
      </c>
      <c r="D92" t="s">
        <v>85</v>
      </c>
      <c r="E92" s="57">
        <v>1944</v>
      </c>
      <c r="F92" s="37">
        <v>18</v>
      </c>
      <c r="G92" t="s">
        <v>404</v>
      </c>
      <c r="H92" t="s">
        <v>409</v>
      </c>
      <c r="I92">
        <v>417</v>
      </c>
    </row>
    <row r="93" spans="1:9" x14ac:dyDescent="0.25">
      <c r="A93" s="2">
        <v>45693</v>
      </c>
      <c r="B93" s="46" t="s">
        <v>77</v>
      </c>
      <c r="C93" t="s">
        <v>83</v>
      </c>
      <c r="D93" t="s">
        <v>88</v>
      </c>
      <c r="E93" s="57">
        <v>1767</v>
      </c>
      <c r="F93" s="37">
        <v>3</v>
      </c>
      <c r="G93" t="s">
        <v>403</v>
      </c>
      <c r="H93" t="s">
        <v>406</v>
      </c>
      <c r="I93">
        <v>488</v>
      </c>
    </row>
    <row r="94" spans="1:9" x14ac:dyDescent="0.25">
      <c r="A94" s="2">
        <v>45692</v>
      </c>
      <c r="B94" s="46" t="s">
        <v>77</v>
      </c>
      <c r="C94" t="s">
        <v>83</v>
      </c>
      <c r="D94" t="s">
        <v>85</v>
      </c>
      <c r="E94" s="57">
        <v>2134</v>
      </c>
      <c r="F94" s="37">
        <v>11</v>
      </c>
      <c r="G94" t="s">
        <v>403</v>
      </c>
      <c r="H94" t="s">
        <v>406</v>
      </c>
      <c r="I94">
        <v>489</v>
      </c>
    </row>
    <row r="95" spans="1:9" x14ac:dyDescent="0.25">
      <c r="A95" s="2">
        <v>45697</v>
      </c>
      <c r="B95" s="46" t="s">
        <v>77</v>
      </c>
      <c r="C95" t="s">
        <v>83</v>
      </c>
      <c r="D95" t="s">
        <v>87</v>
      </c>
      <c r="E95" s="57">
        <v>399</v>
      </c>
      <c r="F95" s="37">
        <v>3</v>
      </c>
      <c r="G95" t="s">
        <v>403</v>
      </c>
      <c r="H95" t="s">
        <v>406</v>
      </c>
      <c r="I95">
        <v>484</v>
      </c>
    </row>
    <row r="96" spans="1:9" x14ac:dyDescent="0.25">
      <c r="A96" s="2">
        <v>45725</v>
      </c>
      <c r="B96" s="46" t="s">
        <v>77</v>
      </c>
      <c r="C96" t="s">
        <v>83</v>
      </c>
      <c r="D96" t="s">
        <v>87</v>
      </c>
      <c r="E96" s="57">
        <v>11552</v>
      </c>
      <c r="F96" s="37">
        <v>19</v>
      </c>
      <c r="G96" t="s">
        <v>403</v>
      </c>
      <c r="H96" t="s">
        <v>407</v>
      </c>
      <c r="I96">
        <v>456</v>
      </c>
    </row>
    <row r="97" spans="1:9" x14ac:dyDescent="0.25">
      <c r="A97" s="2">
        <v>45695</v>
      </c>
      <c r="B97" s="46" t="s">
        <v>77</v>
      </c>
      <c r="C97" t="s">
        <v>83</v>
      </c>
      <c r="D97" t="s">
        <v>85</v>
      </c>
      <c r="E97" s="57">
        <v>4216</v>
      </c>
      <c r="F97" s="37">
        <v>8</v>
      </c>
      <c r="G97" t="s">
        <v>403</v>
      </c>
      <c r="H97" t="s">
        <v>406</v>
      </c>
      <c r="I97">
        <v>486</v>
      </c>
    </row>
    <row r="98" spans="1:9" x14ac:dyDescent="0.25">
      <c r="A98" s="2">
        <v>45732</v>
      </c>
      <c r="B98" s="46" t="s">
        <v>77</v>
      </c>
      <c r="C98" t="s">
        <v>83</v>
      </c>
      <c r="D98" t="s">
        <v>88</v>
      </c>
      <c r="E98" s="57">
        <v>1044</v>
      </c>
      <c r="F98" s="37">
        <v>3</v>
      </c>
      <c r="G98" t="s">
        <v>404</v>
      </c>
      <c r="H98" t="s">
        <v>407</v>
      </c>
      <c r="I98">
        <v>449</v>
      </c>
    </row>
    <row r="99" spans="1:9" x14ac:dyDescent="0.25">
      <c r="A99" s="2">
        <v>45667</v>
      </c>
      <c r="B99" s="46" t="s">
        <v>77</v>
      </c>
      <c r="C99" t="s">
        <v>83</v>
      </c>
      <c r="D99" t="s">
        <v>88</v>
      </c>
      <c r="E99" s="57">
        <v>1694</v>
      </c>
      <c r="F99" s="37">
        <v>11</v>
      </c>
      <c r="G99" t="s">
        <v>405</v>
      </c>
      <c r="H99" t="s">
        <v>408</v>
      </c>
      <c r="I99">
        <v>514</v>
      </c>
    </row>
    <row r="100" spans="1:9" x14ac:dyDescent="0.25">
      <c r="A100" s="2">
        <v>45777</v>
      </c>
      <c r="B100" s="46" t="s">
        <v>77</v>
      </c>
      <c r="C100" t="s">
        <v>83</v>
      </c>
      <c r="D100" t="s">
        <v>88</v>
      </c>
      <c r="E100" s="57">
        <v>2490</v>
      </c>
      <c r="F100" s="37">
        <v>15</v>
      </c>
      <c r="G100" t="s">
        <v>404</v>
      </c>
      <c r="H100" t="s">
        <v>409</v>
      </c>
      <c r="I100">
        <v>404</v>
      </c>
    </row>
    <row r="101" spans="1:9" x14ac:dyDescent="0.25">
      <c r="A101" s="2">
        <v>45725</v>
      </c>
      <c r="B101" s="46" t="s">
        <v>77</v>
      </c>
      <c r="C101" t="s">
        <v>83</v>
      </c>
      <c r="D101" t="s">
        <v>85</v>
      </c>
      <c r="E101" s="57">
        <v>4685</v>
      </c>
      <c r="F101" s="37">
        <v>5</v>
      </c>
      <c r="G101" t="s">
        <v>403</v>
      </c>
      <c r="H101" t="s">
        <v>407</v>
      </c>
      <c r="I101">
        <v>456</v>
      </c>
    </row>
  </sheetData>
  <autoFilter ref="V17:V46" xr:uid="{AD9F919E-B352-45E8-99E8-6FFCBBD98D1D}"/>
  <mergeCells count="2">
    <mergeCell ref="S9:V9"/>
    <mergeCell ref="AA24:AB25"/>
  </mergeCells>
  <phoneticPr fontId="3" type="noConversion"/>
  <conditionalFormatting sqref="P1:P1048576">
    <cfRule type="cellIs" dxfId="10" priority="14" operator="greaterThan">
      <formula>5107</formula>
    </cfRule>
  </conditionalFormatting>
  <conditionalFormatting sqref="V17:V46">
    <cfRule type="top10" dxfId="9" priority="15" rank="10"/>
    <cfRule type="cellIs" dxfId="8" priority="16" operator="greaterThan">
      <formula>"Rs.5,106.50"</formula>
    </cfRule>
    <cfRule type="cellIs" dxfId="7" priority="17" operator="greaterThan">
      <formula>"$5,106.50"</formula>
    </cfRule>
  </conditionalFormatting>
  <conditionalFormatting sqref="AA27:AA60">
    <cfRule type="duplicateValues" dxfId="6" priority="2"/>
  </conditionalFormatting>
  <conditionalFormatting sqref="AE27:AE60">
    <cfRule type="dataBar" priority="12">
      <dataBar>
        <cfvo type="min"/>
        <cfvo type="max"/>
        <color rgb="FF63C384"/>
      </dataBar>
      <extLst>
        <ext xmlns:x14="http://schemas.microsoft.com/office/spreadsheetml/2009/9/main" uri="{B025F937-C7B1-47D3-B67F-A62EFF666E3E}">
          <x14:id>{B9190C09-5113-4F3F-AF30-CEAAE21D5F7D}</x14:id>
        </ext>
      </extLst>
    </cfRule>
  </conditionalFormatting>
  <conditionalFormatting sqref="AF27:AF60">
    <cfRule type="top10" dxfId="5" priority="10" rank="5"/>
    <cfRule type="top10" dxfId="4" priority="11" rank="10"/>
  </conditionalFormatting>
  <conditionalFormatting sqref="AG27">
    <cfRule type="top10" dxfId="3" priority="7" rank="5"/>
    <cfRule type="top10" dxfId="2" priority="8" rank="10"/>
  </conditionalFormatting>
  <conditionalFormatting sqref="AG27:AG60">
    <cfRule type="iconSet" priority="6">
      <iconSet iconSet="3Arrows">
        <cfvo type="percent" val="0"/>
        <cfvo type="num" val="3000"/>
        <cfvo type="num" val="10000"/>
      </iconSet>
    </cfRule>
  </conditionalFormatting>
  <conditionalFormatting sqref="AI28:AI47">
    <cfRule type="colorScale" priority="18">
      <colorScale>
        <cfvo type="min"/>
        <cfvo type="percentile" val="50"/>
        <cfvo type="max"/>
        <color rgb="FFF8696B"/>
        <color rgb="FFFFEB84"/>
        <color rgb="FF63BE7B"/>
      </colorScale>
    </cfRule>
  </conditionalFormatting>
  <conditionalFormatting sqref="AK27:AK56">
    <cfRule type="top10" dxfId="1" priority="4" bottom="1" rank="10"/>
    <cfRule type="dataBar" priority="5">
      <dataBar>
        <cfvo type="min"/>
        <cfvo type="max"/>
        <color rgb="FF638EC6"/>
      </dataBar>
      <extLst>
        <ext xmlns:x14="http://schemas.microsoft.com/office/spreadsheetml/2009/9/main" uri="{B025F937-C7B1-47D3-B67F-A62EFF666E3E}">
          <x14:id>{7FD3AD5C-8AB4-4A40-B777-DAB53A40C68A}</x14:id>
        </ext>
      </extLst>
    </cfRule>
  </conditionalFormatting>
  <conditionalFormatting sqref="AL27:AL56">
    <cfRule type="cellIs" dxfId="0" priority="3" operator="lessThan">
      <formula>10</formula>
    </cfRule>
  </conditionalFormatting>
  <conditionalFormatting sqref="AN27:AN50">
    <cfRule type="colorScale" priority="1">
      <colorScale>
        <cfvo type="num" val="0"/>
        <cfvo type="num" val="10000"/>
        <color rgb="FFFFC000"/>
        <color rgb="FF00B050"/>
      </colorScale>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B9190C09-5113-4F3F-AF30-CEAAE21D5F7D}">
            <x14:dataBar minLength="0" maxLength="100" gradient="0">
              <x14:cfvo type="autoMin"/>
              <x14:cfvo type="autoMax"/>
              <x14:negativeFillColor rgb="FFFF0000"/>
              <x14:axisColor rgb="FF000000"/>
            </x14:dataBar>
          </x14:cfRule>
          <xm:sqref>AE27:AE60</xm:sqref>
        </x14:conditionalFormatting>
        <x14:conditionalFormatting xmlns:xm="http://schemas.microsoft.com/office/excel/2006/main">
          <x14:cfRule type="dataBar" id="{7FD3AD5C-8AB4-4A40-B777-DAB53A40C68A}">
            <x14:dataBar minLength="0" maxLength="100" gradient="0">
              <x14:cfvo type="autoMin"/>
              <x14:cfvo type="autoMax"/>
              <x14:negativeFillColor rgb="FFFF0000"/>
              <x14:axisColor rgb="FF000000"/>
            </x14:dataBar>
          </x14:cfRule>
          <xm:sqref>AK27:AK56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14445-4E24-4B3C-90CA-6FD706867342}">
  <sheetPr codeName="Sheet10"/>
  <dimension ref="A1"/>
  <sheetViews>
    <sheetView workbookViewId="0">
      <selection activeCell="K31" sqref="K31"/>
    </sheetView>
  </sheetViews>
  <sheetFormatPr defaultRowHeight="15" x14ac:dyDescent="0.25"/>
  <cols>
    <col min="16" max="16" width="11" customWidth="1"/>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5423E-39DE-4CDB-8CDD-EF0313FD895E}">
  <sheetPr codeName="Sheet11"/>
  <dimension ref="A1:D3"/>
  <sheetViews>
    <sheetView workbookViewId="0">
      <selection activeCell="C2" sqref="C2"/>
    </sheetView>
  </sheetViews>
  <sheetFormatPr defaultRowHeight="15" x14ac:dyDescent="0.25"/>
  <sheetData>
    <row r="1" spans="1:4" x14ac:dyDescent="0.25">
      <c r="A1" s="83"/>
      <c r="B1" s="83" t="s">
        <v>4</v>
      </c>
      <c r="C1" s="83" t="s">
        <v>5</v>
      </c>
      <c r="D1" s="83"/>
    </row>
    <row r="2" spans="1:4" x14ac:dyDescent="0.25">
      <c r="A2" t="s">
        <v>4</v>
      </c>
      <c r="B2">
        <v>1</v>
      </c>
      <c r="D2" t="s">
        <v>4</v>
      </c>
    </row>
    <row r="3" spans="1:4" ht="15.75" thickBot="1" x14ac:dyDescent="0.3">
      <c r="A3" s="82" t="s">
        <v>5</v>
      </c>
      <c r="B3" s="82">
        <v>0.66042824393439248</v>
      </c>
      <c r="C3" s="82">
        <v>1</v>
      </c>
      <c r="D3" s="82" t="s">
        <v>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38C45-1EEC-4590-A56C-A6350725F488}">
  <sheetPr codeName="Sheet12"/>
  <dimension ref="A1:BA247"/>
  <sheetViews>
    <sheetView workbookViewId="0">
      <selection activeCell="L33" sqref="L33"/>
    </sheetView>
  </sheetViews>
  <sheetFormatPr defaultRowHeight="15" x14ac:dyDescent="0.25"/>
  <cols>
    <col min="1" max="1" width="10.42578125" bestFit="1" customWidth="1"/>
    <col min="2" max="2" width="11.85546875" bestFit="1" customWidth="1"/>
    <col min="3" max="3" width="11.140625" bestFit="1" customWidth="1"/>
    <col min="4" max="4" width="9.42578125" bestFit="1" customWidth="1"/>
    <col min="5" max="5" width="15.5703125" bestFit="1" customWidth="1"/>
    <col min="6" max="6" width="15.42578125" bestFit="1" customWidth="1"/>
    <col min="7" max="7" width="10.140625" bestFit="1" customWidth="1"/>
    <col min="8" max="8" width="11.140625" bestFit="1" customWidth="1"/>
    <col min="9" max="9" width="6.42578125" customWidth="1"/>
    <col min="10" max="10" width="10.42578125" style="85" bestFit="1" customWidth="1"/>
    <col min="11" max="11" width="19.140625" bestFit="1" customWidth="1"/>
    <col min="12" max="12" width="13.7109375" bestFit="1" customWidth="1"/>
    <col min="13" max="13" width="13.5703125" bestFit="1" customWidth="1"/>
    <col min="14" max="17" width="12" bestFit="1" customWidth="1"/>
    <col min="19" max="19" width="23.28515625" bestFit="1" customWidth="1"/>
    <col min="20" max="20" width="12" bestFit="1" customWidth="1"/>
    <col min="21" max="21" width="23.28515625" bestFit="1" customWidth="1"/>
    <col min="22" max="22" width="12" bestFit="1" customWidth="1"/>
    <col min="25" max="25" width="19.140625" bestFit="1" customWidth="1"/>
  </cols>
  <sheetData>
    <row r="1" spans="1:31" x14ac:dyDescent="0.25">
      <c r="A1" s="81" t="s">
        <v>0</v>
      </c>
      <c r="B1" s="81" t="s">
        <v>1</v>
      </c>
      <c r="C1" s="81" t="s">
        <v>2</v>
      </c>
      <c r="D1" s="81" t="s">
        <v>3</v>
      </c>
      <c r="E1" s="81" t="s">
        <v>4</v>
      </c>
      <c r="F1" s="81" t="s">
        <v>5</v>
      </c>
      <c r="G1" t="s">
        <v>402</v>
      </c>
      <c r="H1" t="s">
        <v>401</v>
      </c>
      <c r="I1" t="s">
        <v>400</v>
      </c>
      <c r="J1" s="84" t="s">
        <v>340</v>
      </c>
    </row>
    <row r="2" spans="1:31" x14ac:dyDescent="0.25">
      <c r="A2" s="2">
        <v>45697</v>
      </c>
      <c r="B2" t="s">
        <v>73</v>
      </c>
      <c r="C2" t="s">
        <v>81</v>
      </c>
      <c r="D2" t="s">
        <v>85</v>
      </c>
      <c r="E2">
        <v>4050</v>
      </c>
      <c r="F2">
        <v>18</v>
      </c>
      <c r="G2" t="s">
        <v>403</v>
      </c>
      <c r="H2" t="s">
        <v>406</v>
      </c>
      <c r="I2">
        <v>484</v>
      </c>
      <c r="J2" s="85" cm="1">
        <f t="array" ref="J2">_xlfn.SWITCH(Table1__9[[#This Row],[Region]],1,"East",2,"West",3,"North",4)</f>
        <v>4</v>
      </c>
      <c r="M2">
        <f>CORREL(E:E,F:F)</f>
        <v>0.66042824393439248</v>
      </c>
      <c r="S2" s="15" t="s">
        <v>339</v>
      </c>
    </row>
    <row r="3" spans="1:31" ht="15.75" thickBot="1" x14ac:dyDescent="0.3">
      <c r="A3" s="2">
        <v>45734</v>
      </c>
      <c r="B3" t="s">
        <v>74</v>
      </c>
      <c r="C3" t="s">
        <v>82</v>
      </c>
      <c r="D3" t="s">
        <v>86</v>
      </c>
      <c r="E3">
        <v>7875</v>
      </c>
      <c r="F3">
        <v>15</v>
      </c>
      <c r="G3" t="s">
        <v>404</v>
      </c>
      <c r="H3" t="s">
        <v>407</v>
      </c>
      <c r="I3">
        <v>447</v>
      </c>
      <c r="J3" s="85" cm="1">
        <f t="array" ref="J3">_xlfn.SWITCH(Table1__9[[#This Row],[Region]],1,"East",2,"West",3,"North",4)</f>
        <v>4</v>
      </c>
    </row>
    <row r="4" spans="1:31" x14ac:dyDescent="0.25">
      <c r="A4" s="2">
        <v>45676</v>
      </c>
      <c r="B4" t="s">
        <v>75</v>
      </c>
      <c r="C4" t="s">
        <v>83</v>
      </c>
      <c r="D4" t="s">
        <v>85</v>
      </c>
      <c r="E4">
        <v>5832</v>
      </c>
      <c r="F4">
        <v>6</v>
      </c>
      <c r="G4" t="s">
        <v>405</v>
      </c>
      <c r="H4" t="s">
        <v>408</v>
      </c>
      <c r="I4">
        <v>505</v>
      </c>
      <c r="J4" s="85" cm="1">
        <f t="array" ref="J4">_xlfn.SWITCH(Table1__9[[#This Row],[Region]],1,"East",2,"West",3,"North",4)</f>
        <v>4</v>
      </c>
      <c r="S4" s="83" t="s">
        <v>4</v>
      </c>
      <c r="T4" s="83"/>
      <c r="U4" s="83" t="s">
        <v>5</v>
      </c>
      <c r="V4" s="83"/>
      <c r="Y4" t="s">
        <v>305</v>
      </c>
    </row>
    <row r="5" spans="1:31" x14ac:dyDescent="0.25">
      <c r="A5" s="2">
        <v>45694</v>
      </c>
      <c r="B5" t="s">
        <v>76</v>
      </c>
      <c r="C5" t="s">
        <v>84</v>
      </c>
      <c r="D5" t="s">
        <v>85</v>
      </c>
      <c r="E5">
        <v>676</v>
      </c>
      <c r="F5">
        <v>4</v>
      </c>
      <c r="G5" t="s">
        <v>403</v>
      </c>
      <c r="H5" t="s">
        <v>406</v>
      </c>
      <c r="I5">
        <v>487</v>
      </c>
      <c r="J5" s="85" cm="1">
        <f t="array" ref="J5">_xlfn.SWITCH(Table1__9[[#This Row],[Region]],1,"East",2,"West",3,"North",4)</f>
        <v>4</v>
      </c>
      <c r="K5" s="3" t="s">
        <v>303</v>
      </c>
    </row>
    <row r="6" spans="1:31" ht="15.75" thickBot="1" x14ac:dyDescent="0.3">
      <c r="A6" s="2">
        <v>45693</v>
      </c>
      <c r="B6" t="s">
        <v>74</v>
      </c>
      <c r="C6" t="s">
        <v>82</v>
      </c>
      <c r="D6" t="s">
        <v>87</v>
      </c>
      <c r="E6">
        <v>6560</v>
      </c>
      <c r="F6">
        <v>10</v>
      </c>
      <c r="G6" t="s">
        <v>403</v>
      </c>
      <c r="H6" t="s">
        <v>406</v>
      </c>
      <c r="I6">
        <v>488</v>
      </c>
      <c r="J6" s="85" cm="1">
        <f t="array" ref="J6">_xlfn.SWITCH(Table1__9[[#This Row],[Region]],1,"East",2,"West",3,"North",4)</f>
        <v>4</v>
      </c>
      <c r="S6" t="s">
        <v>326</v>
      </c>
      <c r="T6">
        <v>16321</v>
      </c>
      <c r="U6" t="s">
        <v>326</v>
      </c>
      <c r="V6">
        <v>20</v>
      </c>
      <c r="Y6" t="s">
        <v>306</v>
      </c>
    </row>
    <row r="7" spans="1:31" x14ac:dyDescent="0.25">
      <c r="A7" s="2">
        <v>45775</v>
      </c>
      <c r="B7" t="s">
        <v>76</v>
      </c>
      <c r="C7" t="s">
        <v>84</v>
      </c>
      <c r="D7" t="s">
        <v>87</v>
      </c>
      <c r="E7">
        <v>1905</v>
      </c>
      <c r="F7">
        <v>5</v>
      </c>
      <c r="G7" t="s">
        <v>404</v>
      </c>
      <c r="H7" t="s">
        <v>409</v>
      </c>
      <c r="I7">
        <v>406</v>
      </c>
      <c r="J7" s="85" cm="1">
        <f t="array" ref="J7">_xlfn.SWITCH(Table1__9[[#This Row],[Region]],1,"East",2,"West",3,"North",4)</f>
        <v>4</v>
      </c>
      <c r="K7" s="83"/>
      <c r="L7" s="83" t="s">
        <v>4</v>
      </c>
      <c r="M7" s="83" t="s">
        <v>5</v>
      </c>
      <c r="S7" t="s">
        <v>327</v>
      </c>
      <c r="T7">
        <v>229</v>
      </c>
      <c r="U7" t="s">
        <v>327</v>
      </c>
      <c r="V7">
        <v>1</v>
      </c>
      <c r="Y7" s="83" t="s">
        <v>307</v>
      </c>
      <c r="Z7" s="83" t="s">
        <v>308</v>
      </c>
      <c r="AA7" s="83" t="s">
        <v>309</v>
      </c>
      <c r="AB7" s="83" t="s">
        <v>310</v>
      </c>
      <c r="AC7" s="83" t="s">
        <v>311</v>
      </c>
    </row>
    <row r="8" spans="1:31" ht="15.75" thickBot="1" x14ac:dyDescent="0.3">
      <c r="A8" s="2">
        <v>45720</v>
      </c>
      <c r="B8" t="s">
        <v>77</v>
      </c>
      <c r="C8" t="s">
        <v>83</v>
      </c>
      <c r="D8" t="s">
        <v>86</v>
      </c>
      <c r="E8">
        <v>6948</v>
      </c>
      <c r="F8">
        <v>18</v>
      </c>
      <c r="G8" t="s">
        <v>403</v>
      </c>
      <c r="H8" t="s">
        <v>407</v>
      </c>
      <c r="I8">
        <v>461</v>
      </c>
      <c r="J8" s="85" cm="1">
        <f t="array" ref="J8">_xlfn.SWITCH(Table1__9[[#This Row],[Region]],1,"East",2,"West",3,"North",4)</f>
        <v>4</v>
      </c>
      <c r="K8" t="s">
        <v>4</v>
      </c>
      <c r="L8">
        <v>1</v>
      </c>
      <c r="S8" s="82" t="s">
        <v>328</v>
      </c>
      <c r="T8" s="82">
        <v>746.23712029060323</v>
      </c>
      <c r="U8" s="82" t="s">
        <v>328</v>
      </c>
      <c r="V8" s="82">
        <v>1.1115676391238845</v>
      </c>
      <c r="Y8">
        <v>18</v>
      </c>
      <c r="Z8">
        <v>99</v>
      </c>
      <c r="AA8">
        <v>979</v>
      </c>
      <c r="AB8">
        <v>9.8888888888888893</v>
      </c>
      <c r="AC8">
        <v>31.038548752834462</v>
      </c>
    </row>
    <row r="9" spans="1:31" ht="15.75" thickBot="1" x14ac:dyDescent="0.3">
      <c r="A9" s="2">
        <v>45764</v>
      </c>
      <c r="B9" t="s">
        <v>77</v>
      </c>
      <c r="C9" t="s">
        <v>83</v>
      </c>
      <c r="D9" t="s">
        <v>85</v>
      </c>
      <c r="E9">
        <v>1944</v>
      </c>
      <c r="F9">
        <v>18</v>
      </c>
      <c r="G9" t="s">
        <v>404</v>
      </c>
      <c r="H9" t="s">
        <v>409</v>
      </c>
      <c r="I9">
        <v>417</v>
      </c>
      <c r="J9" s="85" cm="1">
        <f t="array" ref="J9">_xlfn.SWITCH(Table1__9[[#This Row],[Region]],1,"East",2,"West",3,"North",4)</f>
        <v>4</v>
      </c>
      <c r="K9" s="82" t="s">
        <v>5</v>
      </c>
      <c r="L9" s="82">
        <v>0.66042824393439203</v>
      </c>
      <c r="M9" s="82">
        <v>1</v>
      </c>
      <c r="Y9" s="82">
        <v>4</v>
      </c>
      <c r="Z9" s="82">
        <v>99</v>
      </c>
      <c r="AA9" s="82">
        <v>396</v>
      </c>
      <c r="AB9" s="82">
        <v>4</v>
      </c>
      <c r="AC9" s="82">
        <v>0</v>
      </c>
    </row>
    <row r="10" spans="1:31" ht="15.75" thickBot="1" x14ac:dyDescent="0.3">
      <c r="A10" s="2">
        <v>45735</v>
      </c>
      <c r="B10" t="s">
        <v>78</v>
      </c>
      <c r="C10" t="s">
        <v>84</v>
      </c>
      <c r="D10" t="s">
        <v>85</v>
      </c>
      <c r="E10">
        <v>7776</v>
      </c>
      <c r="F10">
        <v>8</v>
      </c>
      <c r="G10" t="s">
        <v>404</v>
      </c>
      <c r="H10" t="s">
        <v>407</v>
      </c>
      <c r="I10">
        <v>446</v>
      </c>
      <c r="J10" s="85" cm="1">
        <f t="array" ref="J10">_xlfn.SWITCH(Table1__9[[#This Row],[Region]],1,"East",2,"West",3,"North",4)</f>
        <v>4</v>
      </c>
    </row>
    <row r="11" spans="1:31" x14ac:dyDescent="0.25">
      <c r="A11" s="2">
        <v>45778</v>
      </c>
      <c r="B11" t="s">
        <v>74</v>
      </c>
      <c r="C11" t="s">
        <v>82</v>
      </c>
      <c r="D11" t="s">
        <v>86</v>
      </c>
      <c r="E11">
        <v>2790</v>
      </c>
      <c r="F11">
        <v>18</v>
      </c>
      <c r="G11" t="s">
        <v>404</v>
      </c>
      <c r="H11" t="s">
        <v>410</v>
      </c>
      <c r="I11">
        <v>403</v>
      </c>
      <c r="J11" s="85" cm="1">
        <f t="array" ref="J11">_xlfn.SWITCH(Table1__9[[#This Row],[Region]],1,"East",2,"West",3,"North",4)</f>
        <v>4</v>
      </c>
      <c r="S11" s="83" t="s">
        <v>4</v>
      </c>
      <c r="T11" s="83"/>
      <c r="U11" s="83" t="s">
        <v>5</v>
      </c>
      <c r="V11" s="83"/>
    </row>
    <row r="12" spans="1:31" ht="15.75" thickBot="1" x14ac:dyDescent="0.3">
      <c r="A12" s="2">
        <v>45693</v>
      </c>
      <c r="B12" t="s">
        <v>75</v>
      </c>
      <c r="C12" t="s">
        <v>83</v>
      </c>
      <c r="D12" t="s">
        <v>86</v>
      </c>
      <c r="E12">
        <v>7995</v>
      </c>
      <c r="F12">
        <v>13</v>
      </c>
      <c r="G12" t="s">
        <v>403</v>
      </c>
      <c r="H12" t="s">
        <v>406</v>
      </c>
      <c r="I12">
        <v>488</v>
      </c>
      <c r="J12" s="85" cm="1">
        <f t="array" ref="J12">_xlfn.SWITCH(Table1__9[[#This Row],[Region]],1,"East",2,"West",3,"North",4)</f>
        <v>4</v>
      </c>
      <c r="Y12" t="s">
        <v>304</v>
      </c>
    </row>
    <row r="13" spans="1:31" x14ac:dyDescent="0.25">
      <c r="A13" s="2">
        <v>45677</v>
      </c>
      <c r="B13" t="s">
        <v>75</v>
      </c>
      <c r="C13" t="s">
        <v>83</v>
      </c>
      <c r="D13" t="s">
        <v>85</v>
      </c>
      <c r="E13">
        <v>9984</v>
      </c>
      <c r="F13">
        <v>13</v>
      </c>
      <c r="G13" t="s">
        <v>405</v>
      </c>
      <c r="H13" t="s">
        <v>408</v>
      </c>
      <c r="I13">
        <v>504</v>
      </c>
      <c r="J13" s="85" cm="1">
        <f t="array" ref="J13">_xlfn.SWITCH(Table1__9[[#This Row],[Region]],1,"East",2,"West",3,"North",4)</f>
        <v>4</v>
      </c>
      <c r="K13" s="3" t="s">
        <v>304</v>
      </c>
      <c r="S13" t="s">
        <v>329</v>
      </c>
      <c r="T13">
        <v>5281.2</v>
      </c>
      <c r="U13" t="s">
        <v>329</v>
      </c>
      <c r="V13">
        <v>9.9700000000000006</v>
      </c>
      <c r="Y13" s="83" t="s">
        <v>312</v>
      </c>
      <c r="Z13" s="83" t="s">
        <v>313</v>
      </c>
      <c r="AA13" s="83" t="s">
        <v>314</v>
      </c>
      <c r="AB13" s="83" t="s">
        <v>315</v>
      </c>
      <c r="AC13" s="83" t="s">
        <v>316</v>
      </c>
      <c r="AD13" s="83" t="s">
        <v>317</v>
      </c>
      <c r="AE13" s="83" t="s">
        <v>318</v>
      </c>
    </row>
    <row r="14" spans="1:31" x14ac:dyDescent="0.25">
      <c r="A14" s="2">
        <v>45739</v>
      </c>
      <c r="B14" t="s">
        <v>75</v>
      </c>
      <c r="C14" t="s">
        <v>83</v>
      </c>
      <c r="D14" t="s">
        <v>87</v>
      </c>
      <c r="E14">
        <v>7683</v>
      </c>
      <c r="F14">
        <v>13</v>
      </c>
      <c r="G14" t="s">
        <v>404</v>
      </c>
      <c r="H14" t="s">
        <v>407</v>
      </c>
      <c r="I14">
        <v>442</v>
      </c>
      <c r="J14" s="85" cm="1">
        <f t="array" ref="J14">_xlfn.SWITCH(Table1__9[[#This Row],[Region]],1,"East",2,"West",3,"North",4)</f>
        <v>4</v>
      </c>
      <c r="S14" t="s">
        <v>330</v>
      </c>
      <c r="T14">
        <v>376.08645551282757</v>
      </c>
      <c r="U14" t="s">
        <v>330</v>
      </c>
      <c r="V14">
        <v>0.56020468842137772</v>
      </c>
      <c r="Y14" t="s">
        <v>319</v>
      </c>
      <c r="Z14">
        <v>1716.6111111111131</v>
      </c>
      <c r="AA14">
        <v>1</v>
      </c>
      <c r="AB14">
        <v>1716.6111111111131</v>
      </c>
      <c r="AC14">
        <v>110.6115575686734</v>
      </c>
      <c r="AD14">
        <v>8.4774993113071548E-21</v>
      </c>
      <c r="AE14">
        <v>3.8893409981786604</v>
      </c>
    </row>
    <row r="15" spans="1:31" x14ac:dyDescent="0.25">
      <c r="A15" s="2">
        <v>45699</v>
      </c>
      <c r="B15" t="s">
        <v>76</v>
      </c>
      <c r="C15" t="s">
        <v>84</v>
      </c>
      <c r="D15" t="s">
        <v>88</v>
      </c>
      <c r="E15">
        <v>6885</v>
      </c>
      <c r="F15">
        <v>9</v>
      </c>
      <c r="G15" t="s">
        <v>403</v>
      </c>
      <c r="H15" t="s">
        <v>406</v>
      </c>
      <c r="I15">
        <v>482</v>
      </c>
      <c r="J15" s="85" cm="1">
        <f t="array" ref="J15">_xlfn.SWITCH(Table1__9[[#This Row],[Region]],1,"East",2,"West",3,"North",4)</f>
        <v>4</v>
      </c>
      <c r="K15" s="15" t="s">
        <v>305</v>
      </c>
      <c r="S15" t="s">
        <v>164</v>
      </c>
      <c r="T15">
        <v>4299</v>
      </c>
      <c r="U15" t="s">
        <v>164</v>
      </c>
      <c r="V15">
        <v>9</v>
      </c>
      <c r="Y15" t="s">
        <v>320</v>
      </c>
      <c r="Z15">
        <v>3041.7777777777783</v>
      </c>
      <c r="AA15">
        <v>196</v>
      </c>
      <c r="AB15">
        <v>15.519274376417236</v>
      </c>
    </row>
    <row r="16" spans="1:31" x14ac:dyDescent="0.25">
      <c r="A16" s="2">
        <v>45767</v>
      </c>
      <c r="B16" t="s">
        <v>79</v>
      </c>
      <c r="C16" t="s">
        <v>81</v>
      </c>
      <c r="D16" t="s">
        <v>87</v>
      </c>
      <c r="E16">
        <v>229</v>
      </c>
      <c r="F16">
        <v>1</v>
      </c>
      <c r="G16" t="s">
        <v>404</v>
      </c>
      <c r="H16" t="s">
        <v>409</v>
      </c>
      <c r="I16">
        <v>414</v>
      </c>
      <c r="J16" s="85" cm="1">
        <f t="array" ref="J16">_xlfn.SWITCH(Table1__9[[#This Row],[Region]],1,"East",2,"West",3,"North",4)</f>
        <v>4</v>
      </c>
      <c r="S16" t="s">
        <v>331</v>
      </c>
      <c r="T16">
        <v>12920</v>
      </c>
      <c r="U16" t="s">
        <v>331</v>
      </c>
      <c r="V16">
        <v>5</v>
      </c>
    </row>
    <row r="17" spans="1:31" ht="15.75" thickBot="1" x14ac:dyDescent="0.3">
      <c r="A17" s="2">
        <v>45735</v>
      </c>
      <c r="B17" t="s">
        <v>80</v>
      </c>
      <c r="C17" t="s">
        <v>82</v>
      </c>
      <c r="D17" t="s">
        <v>87</v>
      </c>
      <c r="E17">
        <v>6104</v>
      </c>
      <c r="F17">
        <v>7</v>
      </c>
      <c r="G17" t="s">
        <v>404</v>
      </c>
      <c r="H17" t="s">
        <v>407</v>
      </c>
      <c r="I17">
        <v>446</v>
      </c>
      <c r="J17" s="85" cm="1">
        <f t="array" ref="J17">_xlfn.SWITCH(Table1__9[[#This Row],[Region]],1,"East",2,"West",3,"North",4)</f>
        <v>4</v>
      </c>
      <c r="K17" t="s">
        <v>306</v>
      </c>
      <c r="S17" t="s">
        <v>332</v>
      </c>
      <c r="T17">
        <v>3760.8645551282757</v>
      </c>
      <c r="U17" t="s">
        <v>332</v>
      </c>
      <c r="V17">
        <v>5.6020468842137774</v>
      </c>
      <c r="Y17" s="82" t="s">
        <v>321</v>
      </c>
      <c r="Z17" s="82">
        <v>4758.3888888888914</v>
      </c>
      <c r="AA17" s="82">
        <v>197</v>
      </c>
      <c r="AB17" s="82"/>
      <c r="AC17" s="82"/>
      <c r="AD17" s="82"/>
      <c r="AE17" s="82"/>
    </row>
    <row r="18" spans="1:31" x14ac:dyDescent="0.25">
      <c r="A18" s="2">
        <v>45722</v>
      </c>
      <c r="B18" t="s">
        <v>78</v>
      </c>
      <c r="C18" t="s">
        <v>84</v>
      </c>
      <c r="D18" t="s">
        <v>85</v>
      </c>
      <c r="E18">
        <v>558</v>
      </c>
      <c r="F18">
        <v>1</v>
      </c>
      <c r="G18" t="s">
        <v>403</v>
      </c>
      <c r="H18" t="s">
        <v>407</v>
      </c>
      <c r="I18">
        <v>459</v>
      </c>
      <c r="J18" s="85" cm="1">
        <f t="array" ref="J18">_xlfn.SWITCH(Table1__9[[#This Row],[Region]],1,"East",2,"West",3,"North",4)</f>
        <v>4</v>
      </c>
      <c r="K18" s="83" t="s">
        <v>307</v>
      </c>
      <c r="L18" s="83" t="s">
        <v>308</v>
      </c>
      <c r="M18" s="83" t="s">
        <v>309</v>
      </c>
      <c r="N18" s="83" t="s">
        <v>310</v>
      </c>
      <c r="O18" s="83" t="s">
        <v>311</v>
      </c>
      <c r="S18" t="s">
        <v>333</v>
      </c>
      <c r="T18">
        <v>14144102.202020202</v>
      </c>
      <c r="U18" t="s">
        <v>333</v>
      </c>
      <c r="V18">
        <v>31.38292929292929</v>
      </c>
    </row>
    <row r="19" spans="1:31" x14ac:dyDescent="0.25">
      <c r="A19" s="2">
        <v>45741</v>
      </c>
      <c r="B19" t="s">
        <v>76</v>
      </c>
      <c r="C19" t="s">
        <v>84</v>
      </c>
      <c r="D19" t="s">
        <v>85</v>
      </c>
      <c r="E19">
        <v>6413</v>
      </c>
      <c r="F19">
        <v>11</v>
      </c>
      <c r="G19" t="s">
        <v>404</v>
      </c>
      <c r="H19" t="s">
        <v>407</v>
      </c>
      <c r="I19">
        <v>440</v>
      </c>
      <c r="J19" s="85" cm="1">
        <f t="array" ref="J19">_xlfn.SWITCH(Table1__9[[#This Row],[Region]],1,"East",2,"West",3,"North",4)</f>
        <v>4</v>
      </c>
      <c r="K19" t="s">
        <v>4</v>
      </c>
      <c r="L19">
        <v>100</v>
      </c>
      <c r="M19">
        <v>528120</v>
      </c>
      <c r="N19">
        <v>5281.2</v>
      </c>
      <c r="O19">
        <v>14144102.202020202</v>
      </c>
      <c r="S19" t="s">
        <v>334</v>
      </c>
      <c r="T19">
        <v>8.4752596934612345E-2</v>
      </c>
      <c r="U19" t="s">
        <v>334</v>
      </c>
      <c r="V19">
        <v>-1.1074201450207999</v>
      </c>
    </row>
    <row r="20" spans="1:31" ht="15.75" thickBot="1" x14ac:dyDescent="0.3">
      <c r="A20" s="2">
        <v>45732</v>
      </c>
      <c r="B20" t="s">
        <v>74</v>
      </c>
      <c r="C20" t="s">
        <v>82</v>
      </c>
      <c r="D20" t="s">
        <v>88</v>
      </c>
      <c r="E20">
        <v>1017</v>
      </c>
      <c r="F20">
        <v>9</v>
      </c>
      <c r="G20" t="s">
        <v>404</v>
      </c>
      <c r="H20" t="s">
        <v>407</v>
      </c>
      <c r="I20">
        <v>449</v>
      </c>
      <c r="J20" s="85" cm="1">
        <f t="array" ref="J20">_xlfn.SWITCH(Table1__9[[#This Row],[Region]],1,"East",2,"West",3,"North",4)</f>
        <v>4</v>
      </c>
      <c r="K20" s="82" t="s">
        <v>5</v>
      </c>
      <c r="L20" s="82">
        <v>100</v>
      </c>
      <c r="M20" s="82">
        <v>997</v>
      </c>
      <c r="N20" s="82">
        <v>9.9700000000000006</v>
      </c>
      <c r="O20" s="82">
        <v>31.38292929292929</v>
      </c>
      <c r="S20" t="s">
        <v>335</v>
      </c>
      <c r="T20">
        <v>0.80914804813828511</v>
      </c>
      <c r="U20" t="s">
        <v>335</v>
      </c>
      <c r="V20">
        <v>0.24556696980192708</v>
      </c>
    </row>
    <row r="21" spans="1:31" x14ac:dyDescent="0.25">
      <c r="A21" s="2">
        <v>45721</v>
      </c>
      <c r="B21" t="s">
        <v>80</v>
      </c>
      <c r="C21" t="s">
        <v>82</v>
      </c>
      <c r="D21" t="s">
        <v>86</v>
      </c>
      <c r="E21">
        <v>9310</v>
      </c>
      <c r="F21">
        <v>10</v>
      </c>
      <c r="G21" t="s">
        <v>403</v>
      </c>
      <c r="H21" t="s">
        <v>407</v>
      </c>
      <c r="I21">
        <v>460</v>
      </c>
      <c r="J21" s="85" cm="1">
        <f t="array" ref="J21">_xlfn.SWITCH(Table1__9[[#This Row],[Region]],1,"East",2,"West",3,"North",4)</f>
        <v>4</v>
      </c>
      <c r="S21" t="s">
        <v>336</v>
      </c>
      <c r="T21">
        <v>16092</v>
      </c>
      <c r="U21" t="s">
        <v>336</v>
      </c>
      <c r="V21">
        <v>19</v>
      </c>
    </row>
    <row r="22" spans="1:31" x14ac:dyDescent="0.25">
      <c r="A22" s="2">
        <v>45703</v>
      </c>
      <c r="B22" t="s">
        <v>75</v>
      </c>
      <c r="C22" t="s">
        <v>83</v>
      </c>
      <c r="D22" t="s">
        <v>87</v>
      </c>
      <c r="E22">
        <v>2560</v>
      </c>
      <c r="F22">
        <v>4</v>
      </c>
      <c r="G22" t="s">
        <v>403</v>
      </c>
      <c r="H22" t="s">
        <v>406</v>
      </c>
      <c r="I22">
        <v>478</v>
      </c>
      <c r="J22" s="85" cm="1">
        <f t="array" ref="J22">_xlfn.SWITCH(Table1__9[[#This Row],[Region]],1,"East",2,"West",3,"North",4)</f>
        <v>4</v>
      </c>
      <c r="S22" t="s">
        <v>337</v>
      </c>
      <c r="T22">
        <v>229</v>
      </c>
      <c r="U22" t="s">
        <v>337</v>
      </c>
      <c r="V22">
        <v>1</v>
      </c>
    </row>
    <row r="23" spans="1:31" ht="15.75" thickBot="1" x14ac:dyDescent="0.3">
      <c r="A23" s="2">
        <v>45681</v>
      </c>
      <c r="B23" t="s">
        <v>76</v>
      </c>
      <c r="C23" t="s">
        <v>84</v>
      </c>
      <c r="D23" t="s">
        <v>86</v>
      </c>
      <c r="E23">
        <v>6855</v>
      </c>
      <c r="F23">
        <v>15</v>
      </c>
      <c r="G23" t="s">
        <v>403</v>
      </c>
      <c r="H23" t="s">
        <v>408</v>
      </c>
      <c r="I23">
        <v>500</v>
      </c>
      <c r="J23" s="85" cm="1">
        <f t="array" ref="J23">_xlfn.SWITCH(Table1__9[[#This Row],[Region]],1,"East",2,"West",3,"North",4)</f>
        <v>4</v>
      </c>
      <c r="K23" t="s">
        <v>304</v>
      </c>
      <c r="S23" t="s">
        <v>338</v>
      </c>
      <c r="T23">
        <v>16321</v>
      </c>
      <c r="U23" t="s">
        <v>338</v>
      </c>
      <c r="V23">
        <v>20</v>
      </c>
    </row>
    <row r="24" spans="1:31" x14ac:dyDescent="0.25">
      <c r="A24" s="2">
        <v>45663</v>
      </c>
      <c r="B24" t="s">
        <v>78</v>
      </c>
      <c r="C24" t="s">
        <v>84</v>
      </c>
      <c r="D24" t="s">
        <v>86</v>
      </c>
      <c r="E24">
        <v>7398</v>
      </c>
      <c r="F24">
        <v>9</v>
      </c>
      <c r="G24" t="s">
        <v>405</v>
      </c>
      <c r="H24" t="s">
        <v>408</v>
      </c>
      <c r="I24">
        <v>518</v>
      </c>
      <c r="J24" s="85" cm="1">
        <f t="array" ref="J24">_xlfn.SWITCH(Table1__9[[#This Row],[Region]],1,"East",2,"West",3,"North",4)</f>
        <v>4</v>
      </c>
      <c r="K24" s="83" t="s">
        <v>312</v>
      </c>
      <c r="L24" s="83" t="s">
        <v>313</v>
      </c>
      <c r="M24" s="83" t="s">
        <v>314</v>
      </c>
      <c r="N24" s="83" t="s">
        <v>315</v>
      </c>
      <c r="O24" s="83" t="s">
        <v>316</v>
      </c>
      <c r="P24" s="83" t="s">
        <v>317</v>
      </c>
      <c r="Q24" s="83" t="s">
        <v>318</v>
      </c>
      <c r="S24" t="s">
        <v>309</v>
      </c>
      <c r="T24">
        <v>528120</v>
      </c>
      <c r="U24" t="s">
        <v>309</v>
      </c>
      <c r="V24">
        <v>997</v>
      </c>
    </row>
    <row r="25" spans="1:31" x14ac:dyDescent="0.25">
      <c r="A25" s="2">
        <v>45660</v>
      </c>
      <c r="B25" t="s">
        <v>74</v>
      </c>
      <c r="C25" t="s">
        <v>82</v>
      </c>
      <c r="D25" t="s">
        <v>85</v>
      </c>
      <c r="E25">
        <v>2094</v>
      </c>
      <c r="F25">
        <v>6</v>
      </c>
      <c r="G25" t="s">
        <v>405</v>
      </c>
      <c r="H25" t="s">
        <v>408</v>
      </c>
      <c r="I25">
        <v>521</v>
      </c>
      <c r="J25" s="85" cm="1">
        <f t="array" ref="J25">_xlfn.SWITCH(Table1__9[[#This Row],[Region]],1,"East",2,"West",3,"North",4)</f>
        <v>4</v>
      </c>
      <c r="K25" t="s">
        <v>319</v>
      </c>
      <c r="L25">
        <v>1389293285.6449976</v>
      </c>
      <c r="M25">
        <v>1</v>
      </c>
      <c r="N25">
        <v>1389293285.6449976</v>
      </c>
      <c r="O25">
        <v>196.44798704719773</v>
      </c>
      <c r="P25">
        <v>1.8583920765521321E-31</v>
      </c>
      <c r="Q25">
        <v>3.8888529328918917</v>
      </c>
      <c r="S25" t="s">
        <v>308</v>
      </c>
      <c r="T25">
        <v>100</v>
      </c>
      <c r="U25" t="s">
        <v>308</v>
      </c>
      <c r="V25">
        <v>100</v>
      </c>
    </row>
    <row r="26" spans="1:31" x14ac:dyDescent="0.25">
      <c r="A26" s="2">
        <v>45701</v>
      </c>
      <c r="B26" t="s">
        <v>74</v>
      </c>
      <c r="C26" t="s">
        <v>82</v>
      </c>
      <c r="D26" t="s">
        <v>88</v>
      </c>
      <c r="E26">
        <v>3996</v>
      </c>
      <c r="F26">
        <v>4</v>
      </c>
      <c r="G26" t="s">
        <v>403</v>
      </c>
      <c r="H26" t="s">
        <v>406</v>
      </c>
      <c r="I26">
        <v>480</v>
      </c>
      <c r="J26" s="85" cm="1">
        <f t="array" ref="J26">_xlfn.SWITCH(Table1__9[[#This Row],[Region]],1,"East",2,"West",3,"North",4)</f>
        <v>4</v>
      </c>
      <c r="K26" t="s">
        <v>320</v>
      </c>
      <c r="L26">
        <v>1400269224.9100013</v>
      </c>
      <c r="M26">
        <v>198</v>
      </c>
      <c r="N26">
        <v>7072066.7924747542</v>
      </c>
      <c r="S26" t="s">
        <v>326</v>
      </c>
      <c r="T26">
        <v>16321</v>
      </c>
      <c r="U26" t="s">
        <v>326</v>
      </c>
      <c r="V26">
        <v>20</v>
      </c>
    </row>
    <row r="27" spans="1:31" x14ac:dyDescent="0.25">
      <c r="A27" s="2">
        <v>45679</v>
      </c>
      <c r="B27" t="s">
        <v>78</v>
      </c>
      <c r="C27" t="s">
        <v>84</v>
      </c>
      <c r="D27" t="s">
        <v>87</v>
      </c>
      <c r="E27">
        <v>4884</v>
      </c>
      <c r="F27">
        <v>6</v>
      </c>
      <c r="G27" t="s">
        <v>405</v>
      </c>
      <c r="H27" t="s">
        <v>408</v>
      </c>
      <c r="I27">
        <v>502</v>
      </c>
      <c r="J27" s="85" cm="1">
        <f t="array" ref="J27">_xlfn.SWITCH(Table1__9[[#This Row],[Region]],1,"East",2,"West",3,"North",4)</f>
        <v>4</v>
      </c>
      <c r="S27" t="s">
        <v>327</v>
      </c>
      <c r="T27">
        <v>229</v>
      </c>
      <c r="U27" t="s">
        <v>327</v>
      </c>
      <c r="V27">
        <v>1</v>
      </c>
    </row>
    <row r="28" spans="1:31" ht="15.75" thickBot="1" x14ac:dyDescent="0.3">
      <c r="A28" s="2">
        <v>45693</v>
      </c>
      <c r="B28" t="s">
        <v>77</v>
      </c>
      <c r="C28" t="s">
        <v>83</v>
      </c>
      <c r="D28" t="s">
        <v>88</v>
      </c>
      <c r="E28">
        <v>1767</v>
      </c>
      <c r="F28">
        <v>3</v>
      </c>
      <c r="G28" t="s">
        <v>403</v>
      </c>
      <c r="H28" t="s">
        <v>406</v>
      </c>
      <c r="I28">
        <v>488</v>
      </c>
      <c r="J28" s="85" cm="1">
        <f t="array" ref="J28">_xlfn.SWITCH(Table1__9[[#This Row],[Region]],1,"East",2,"West",3,"North",4)</f>
        <v>4</v>
      </c>
      <c r="K28" s="82" t="s">
        <v>321</v>
      </c>
      <c r="L28" s="82">
        <v>2789562510.5549989</v>
      </c>
      <c r="M28" s="82">
        <v>199</v>
      </c>
      <c r="N28" s="82"/>
      <c r="O28" s="82"/>
      <c r="P28" s="82"/>
      <c r="Q28" s="82"/>
      <c r="S28" s="82" t="s">
        <v>328</v>
      </c>
      <c r="T28" s="82">
        <v>746.23712029060323</v>
      </c>
      <c r="U28" s="82" t="s">
        <v>328</v>
      </c>
      <c r="V28" s="82">
        <v>1.1115676391238845</v>
      </c>
    </row>
    <row r="29" spans="1:31" x14ac:dyDescent="0.25">
      <c r="A29" s="2">
        <v>45744</v>
      </c>
      <c r="B29" t="s">
        <v>78</v>
      </c>
      <c r="C29" t="s">
        <v>84</v>
      </c>
      <c r="D29" t="s">
        <v>85</v>
      </c>
      <c r="E29">
        <v>7840</v>
      </c>
      <c r="F29">
        <v>14</v>
      </c>
      <c r="G29" t="s">
        <v>404</v>
      </c>
      <c r="H29" t="s">
        <v>407</v>
      </c>
      <c r="I29">
        <v>437</v>
      </c>
      <c r="J29" s="85" cm="1">
        <f t="array" ref="J29">_xlfn.SWITCH(Table1__9[[#This Row],[Region]],1,"East",2,"West",3,"North",4)</f>
        <v>4</v>
      </c>
    </row>
    <row r="30" spans="1:31" x14ac:dyDescent="0.25">
      <c r="A30" s="2">
        <v>45670</v>
      </c>
      <c r="B30" t="s">
        <v>78</v>
      </c>
      <c r="C30" t="s">
        <v>84</v>
      </c>
      <c r="D30" t="s">
        <v>86</v>
      </c>
      <c r="E30">
        <v>4806</v>
      </c>
      <c r="F30">
        <v>6</v>
      </c>
      <c r="G30" t="s">
        <v>405</v>
      </c>
      <c r="H30" t="s">
        <v>408</v>
      </c>
      <c r="I30">
        <v>511</v>
      </c>
      <c r="J30" s="85" cm="1">
        <f t="array" ref="J30">_xlfn.SWITCH(Table1__9[[#This Row],[Region]],1,"East",2,"West",3,"North",4)</f>
        <v>4</v>
      </c>
    </row>
    <row r="31" spans="1:31" x14ac:dyDescent="0.25">
      <c r="A31" s="2">
        <v>45716</v>
      </c>
      <c r="B31" t="s">
        <v>78</v>
      </c>
      <c r="C31" t="s">
        <v>84</v>
      </c>
      <c r="D31" t="s">
        <v>88</v>
      </c>
      <c r="E31">
        <v>2598</v>
      </c>
      <c r="F31">
        <v>3</v>
      </c>
      <c r="G31" t="s">
        <v>403</v>
      </c>
      <c r="H31" t="s">
        <v>406</v>
      </c>
      <c r="I31">
        <v>465</v>
      </c>
      <c r="J31" s="85" cm="1">
        <f t="array" ref="J31">_xlfn.SWITCH(Table1__9[[#This Row],[Region]],1,"East",2,"West",3,"North",4)</f>
        <v>4</v>
      </c>
    </row>
    <row r="32" spans="1:31" x14ac:dyDescent="0.25">
      <c r="A32" s="2">
        <v>45762</v>
      </c>
      <c r="B32" t="s">
        <v>73</v>
      </c>
      <c r="C32" t="s">
        <v>81</v>
      </c>
      <c r="D32" t="s">
        <v>88</v>
      </c>
      <c r="E32">
        <v>12920</v>
      </c>
      <c r="F32">
        <v>17</v>
      </c>
      <c r="G32" t="s">
        <v>404</v>
      </c>
      <c r="H32" t="s">
        <v>409</v>
      </c>
      <c r="I32">
        <v>419</v>
      </c>
      <c r="J32" s="85" cm="1">
        <f t="array" ref="J32">_xlfn.SWITCH(Table1__9[[#This Row],[Region]],1,"East",2,"West",3,"North",4)</f>
        <v>4</v>
      </c>
      <c r="K32" s="15" t="s">
        <v>322</v>
      </c>
      <c r="L32" s="15"/>
      <c r="M32" s="15"/>
      <c r="S32" s="15" t="s">
        <v>341</v>
      </c>
      <c r="T32" s="15"/>
    </row>
    <row r="33" spans="1:22" ht="15.75" thickBot="1" x14ac:dyDescent="0.3">
      <c r="A33" s="2">
        <v>45692</v>
      </c>
      <c r="B33" t="s">
        <v>77</v>
      </c>
      <c r="C33" t="s">
        <v>83</v>
      </c>
      <c r="D33" t="s">
        <v>85</v>
      </c>
      <c r="E33">
        <v>2134</v>
      </c>
      <c r="F33">
        <v>11</v>
      </c>
      <c r="G33" t="s">
        <v>403</v>
      </c>
      <c r="H33" t="s">
        <v>406</v>
      </c>
      <c r="I33">
        <v>489</v>
      </c>
      <c r="J33" s="85" cm="1">
        <f t="array" ref="J33">_xlfn.SWITCH(Table1__9[[#This Row],[Region]],1,"East",2,"West",3,"North",4)</f>
        <v>4</v>
      </c>
    </row>
    <row r="34" spans="1:22" x14ac:dyDescent="0.25">
      <c r="A34" s="2">
        <v>45747</v>
      </c>
      <c r="B34" t="s">
        <v>79</v>
      </c>
      <c r="C34" t="s">
        <v>81</v>
      </c>
      <c r="D34" t="s">
        <v>86</v>
      </c>
      <c r="E34">
        <v>311</v>
      </c>
      <c r="F34">
        <v>1</v>
      </c>
      <c r="G34" t="s">
        <v>404</v>
      </c>
      <c r="H34" t="s">
        <v>407</v>
      </c>
      <c r="I34">
        <v>434</v>
      </c>
      <c r="J34" s="85" cm="1">
        <f t="array" ref="J34">_xlfn.SWITCH(Table1__9[[#This Row],[Region]],1,"East",2,"West",3,"North",4)</f>
        <v>4</v>
      </c>
      <c r="K34" s="83" t="s">
        <v>306</v>
      </c>
      <c r="L34" s="83" t="s">
        <v>308</v>
      </c>
      <c r="M34" s="83" t="s">
        <v>309</v>
      </c>
      <c r="N34" s="83" t="s">
        <v>310</v>
      </c>
      <c r="O34" s="83" t="s">
        <v>311</v>
      </c>
      <c r="S34" t="s">
        <v>306</v>
      </c>
      <c r="T34">
        <v>18</v>
      </c>
      <c r="U34">
        <v>4</v>
      </c>
      <c r="V34" t="s">
        <v>321</v>
      </c>
    </row>
    <row r="35" spans="1:22" ht="15.75" thickBot="1" x14ac:dyDescent="0.3">
      <c r="A35" s="2">
        <v>45714</v>
      </c>
      <c r="B35" t="s">
        <v>73</v>
      </c>
      <c r="C35" t="s">
        <v>81</v>
      </c>
      <c r="D35" t="s">
        <v>85</v>
      </c>
      <c r="E35">
        <v>2388</v>
      </c>
      <c r="F35">
        <v>3</v>
      </c>
      <c r="G35" t="s">
        <v>403</v>
      </c>
      <c r="H35" t="s">
        <v>406</v>
      </c>
      <c r="I35">
        <v>467</v>
      </c>
      <c r="J35" s="85" cm="1">
        <f t="array" ref="J35">_xlfn.SWITCH(Table1__9[[#This Row],[Region]],1,"East",2,"West",3,"North",4)</f>
        <v>4</v>
      </c>
      <c r="K35">
        <v>7875</v>
      </c>
      <c r="L35">
        <v>1</v>
      </c>
      <c r="M35">
        <v>15</v>
      </c>
      <c r="N35">
        <v>15</v>
      </c>
      <c r="O35" t="e">
        <v>#DIV/0!</v>
      </c>
      <c r="S35" s="86">
        <v>7875</v>
      </c>
      <c r="T35" s="86"/>
      <c r="U35" s="86"/>
      <c r="V35" s="86"/>
    </row>
    <row r="36" spans="1:22" x14ac:dyDescent="0.25">
      <c r="A36" s="2">
        <v>45748</v>
      </c>
      <c r="B36" t="s">
        <v>76</v>
      </c>
      <c r="C36" t="s">
        <v>84</v>
      </c>
      <c r="D36" t="s">
        <v>85</v>
      </c>
      <c r="E36">
        <v>2853</v>
      </c>
      <c r="F36">
        <v>9</v>
      </c>
      <c r="G36" t="s">
        <v>404</v>
      </c>
      <c r="H36" t="s">
        <v>409</v>
      </c>
      <c r="I36">
        <v>433</v>
      </c>
      <c r="J36" s="85" cm="1">
        <f t="array" ref="J36">_xlfn.SWITCH(Table1__9[[#This Row],[Region]],1,"East",2,"West",3,"North",4)</f>
        <v>4</v>
      </c>
      <c r="K36">
        <v>5832</v>
      </c>
      <c r="L36">
        <v>1</v>
      </c>
      <c r="M36">
        <v>6</v>
      </c>
      <c r="N36">
        <v>6</v>
      </c>
      <c r="O36" t="e">
        <v>#DIV/0!</v>
      </c>
      <c r="S36" t="s">
        <v>308</v>
      </c>
      <c r="T36">
        <v>3</v>
      </c>
      <c r="U36">
        <v>3</v>
      </c>
      <c r="V36">
        <v>6</v>
      </c>
    </row>
    <row r="37" spans="1:22" x14ac:dyDescent="0.25">
      <c r="A37" s="2">
        <v>45677</v>
      </c>
      <c r="B37" t="s">
        <v>80</v>
      </c>
      <c r="C37" t="s">
        <v>82</v>
      </c>
      <c r="D37" t="s">
        <v>88</v>
      </c>
      <c r="E37">
        <v>4382</v>
      </c>
      <c r="F37">
        <v>7</v>
      </c>
      <c r="G37" t="s">
        <v>405</v>
      </c>
      <c r="H37" t="s">
        <v>408</v>
      </c>
      <c r="I37">
        <v>504</v>
      </c>
      <c r="J37" s="85" cm="1">
        <f t="array" ref="J37">_xlfn.SWITCH(Table1__9[[#This Row],[Region]],1,"East",2,"West",3,"North",4)</f>
        <v>4</v>
      </c>
      <c r="K37">
        <v>676</v>
      </c>
      <c r="L37">
        <v>1</v>
      </c>
      <c r="M37">
        <v>4</v>
      </c>
      <c r="N37">
        <v>4</v>
      </c>
      <c r="O37" t="e">
        <v>#DIV/0!</v>
      </c>
      <c r="S37" t="s">
        <v>309</v>
      </c>
      <c r="T37">
        <v>25</v>
      </c>
      <c r="U37">
        <v>12</v>
      </c>
      <c r="V37">
        <v>37</v>
      </c>
    </row>
    <row r="38" spans="1:22" x14ac:dyDescent="0.25">
      <c r="A38" s="2">
        <v>45749</v>
      </c>
      <c r="B38" t="s">
        <v>73</v>
      </c>
      <c r="C38" t="s">
        <v>81</v>
      </c>
      <c r="D38" t="s">
        <v>85</v>
      </c>
      <c r="E38">
        <v>2690</v>
      </c>
      <c r="F38">
        <v>5</v>
      </c>
      <c r="G38" t="s">
        <v>404</v>
      </c>
      <c r="H38" t="s">
        <v>409</v>
      </c>
      <c r="I38">
        <v>432</v>
      </c>
      <c r="J38" s="85" cm="1">
        <f t="array" ref="J38">_xlfn.SWITCH(Table1__9[[#This Row],[Region]],1,"East",2,"West",3,"North",4)</f>
        <v>4</v>
      </c>
      <c r="K38">
        <v>6560</v>
      </c>
      <c r="L38">
        <v>1</v>
      </c>
      <c r="M38">
        <v>10</v>
      </c>
      <c r="N38">
        <v>10</v>
      </c>
      <c r="O38" t="e">
        <v>#DIV/0!</v>
      </c>
      <c r="S38" t="s">
        <v>310</v>
      </c>
      <c r="T38">
        <v>8.3333333333333339</v>
      </c>
      <c r="U38">
        <v>4</v>
      </c>
      <c r="V38">
        <v>6.166666666666667</v>
      </c>
    </row>
    <row r="39" spans="1:22" x14ac:dyDescent="0.25">
      <c r="A39" s="2">
        <v>45697</v>
      </c>
      <c r="B39" t="s">
        <v>77</v>
      </c>
      <c r="C39" t="s">
        <v>83</v>
      </c>
      <c r="D39" t="s">
        <v>87</v>
      </c>
      <c r="E39">
        <v>399</v>
      </c>
      <c r="F39">
        <v>3</v>
      </c>
      <c r="G39" t="s">
        <v>403</v>
      </c>
      <c r="H39" t="s">
        <v>406</v>
      </c>
      <c r="I39">
        <v>484</v>
      </c>
      <c r="J39" s="85" cm="1">
        <f t="array" ref="J39">_xlfn.SWITCH(Table1__9[[#This Row],[Region]],1,"East",2,"West",3,"North",4)</f>
        <v>4</v>
      </c>
      <c r="K39">
        <v>1905</v>
      </c>
      <c r="L39">
        <v>1</v>
      </c>
      <c r="M39">
        <v>5</v>
      </c>
      <c r="N39">
        <v>5</v>
      </c>
      <c r="O39" t="e">
        <v>#DIV/0!</v>
      </c>
      <c r="S39" t="s">
        <v>311</v>
      </c>
      <c r="T39">
        <v>34.333333333333329</v>
      </c>
      <c r="U39">
        <v>0</v>
      </c>
      <c r="V39">
        <v>19.366666666666667</v>
      </c>
    </row>
    <row r="40" spans="1:22" x14ac:dyDescent="0.25">
      <c r="A40" s="2">
        <v>45670</v>
      </c>
      <c r="B40" t="s">
        <v>74</v>
      </c>
      <c r="C40" t="s">
        <v>82</v>
      </c>
      <c r="D40" t="s">
        <v>85</v>
      </c>
      <c r="E40">
        <v>4459</v>
      </c>
      <c r="F40">
        <v>7</v>
      </c>
      <c r="G40" t="s">
        <v>405</v>
      </c>
      <c r="H40" t="s">
        <v>408</v>
      </c>
      <c r="I40">
        <v>511</v>
      </c>
      <c r="J40" s="85" cm="1">
        <f t="array" ref="J40">_xlfn.SWITCH(Table1__9[[#This Row],[Region]],1,"East",2,"West",3,"North",4)</f>
        <v>4</v>
      </c>
      <c r="K40">
        <v>6948</v>
      </c>
      <c r="L40">
        <v>1</v>
      </c>
      <c r="M40">
        <v>18</v>
      </c>
      <c r="N40">
        <v>18</v>
      </c>
      <c r="O40" t="e">
        <v>#DIV/0!</v>
      </c>
    </row>
    <row r="41" spans="1:22" ht="15.75" thickBot="1" x14ac:dyDescent="0.3">
      <c r="A41" s="2">
        <v>45704</v>
      </c>
      <c r="B41" t="s">
        <v>74</v>
      </c>
      <c r="C41" t="s">
        <v>82</v>
      </c>
      <c r="D41" t="s">
        <v>85</v>
      </c>
      <c r="E41">
        <v>2274</v>
      </c>
      <c r="F41">
        <v>3</v>
      </c>
      <c r="G41" t="s">
        <v>403</v>
      </c>
      <c r="H41" t="s">
        <v>406</v>
      </c>
      <c r="I41">
        <v>477</v>
      </c>
      <c r="J41" s="85" cm="1">
        <f t="array" ref="J41">_xlfn.SWITCH(Table1__9[[#This Row],[Region]],1,"East",2,"West",3,"North",4)</f>
        <v>4</v>
      </c>
      <c r="K41">
        <v>1944</v>
      </c>
      <c r="L41">
        <v>1</v>
      </c>
      <c r="M41">
        <v>18</v>
      </c>
      <c r="N41">
        <v>18</v>
      </c>
      <c r="O41" t="e">
        <v>#DIV/0!</v>
      </c>
      <c r="S41" s="86">
        <v>6560</v>
      </c>
      <c r="T41" s="86"/>
      <c r="U41" s="86"/>
      <c r="V41" s="86"/>
    </row>
    <row r="42" spans="1:22" x14ac:dyDescent="0.25">
      <c r="A42" s="2">
        <v>45725</v>
      </c>
      <c r="B42" t="s">
        <v>77</v>
      </c>
      <c r="C42" t="s">
        <v>83</v>
      </c>
      <c r="D42" t="s">
        <v>87</v>
      </c>
      <c r="E42">
        <v>11552</v>
      </c>
      <c r="F42">
        <v>19</v>
      </c>
      <c r="G42" t="s">
        <v>403</v>
      </c>
      <c r="H42" t="s">
        <v>407</v>
      </c>
      <c r="I42">
        <v>456</v>
      </c>
      <c r="J42" s="85" cm="1">
        <f t="array" ref="J42">_xlfn.SWITCH(Table1__9[[#This Row],[Region]],1,"East",2,"West",3,"North",4)</f>
        <v>4</v>
      </c>
      <c r="K42">
        <v>7776</v>
      </c>
      <c r="L42">
        <v>1</v>
      </c>
      <c r="M42">
        <v>8</v>
      </c>
      <c r="N42">
        <v>8</v>
      </c>
      <c r="O42" t="e">
        <v>#DIV/0!</v>
      </c>
      <c r="S42" t="s">
        <v>308</v>
      </c>
      <c r="T42">
        <v>3</v>
      </c>
      <c r="U42">
        <v>3</v>
      </c>
      <c r="V42">
        <v>6</v>
      </c>
    </row>
    <row r="43" spans="1:22" x14ac:dyDescent="0.25">
      <c r="A43" s="2">
        <v>45749</v>
      </c>
      <c r="B43" t="s">
        <v>73</v>
      </c>
      <c r="C43" t="s">
        <v>81</v>
      </c>
      <c r="D43" t="s">
        <v>87</v>
      </c>
      <c r="E43">
        <v>4540</v>
      </c>
      <c r="F43">
        <v>5</v>
      </c>
      <c r="G43" t="s">
        <v>404</v>
      </c>
      <c r="H43" t="s">
        <v>409</v>
      </c>
      <c r="I43">
        <v>432</v>
      </c>
      <c r="J43" s="85" cm="1">
        <f t="array" ref="J43">_xlfn.SWITCH(Table1__9[[#This Row],[Region]],1,"East",2,"West",3,"North",4)</f>
        <v>4</v>
      </c>
      <c r="K43">
        <v>2790</v>
      </c>
      <c r="L43">
        <v>1</v>
      </c>
      <c r="M43">
        <v>18</v>
      </c>
      <c r="N43">
        <v>18</v>
      </c>
      <c r="O43" t="e">
        <v>#DIV/0!</v>
      </c>
      <c r="S43" t="s">
        <v>309</v>
      </c>
      <c r="T43">
        <v>33</v>
      </c>
      <c r="U43">
        <v>12</v>
      </c>
      <c r="V43">
        <v>45</v>
      </c>
    </row>
    <row r="44" spans="1:22" x14ac:dyDescent="0.25">
      <c r="A44" s="2">
        <v>45695</v>
      </c>
      <c r="B44" t="s">
        <v>77</v>
      </c>
      <c r="C44" t="s">
        <v>83</v>
      </c>
      <c r="D44" t="s">
        <v>85</v>
      </c>
      <c r="E44">
        <v>4216</v>
      </c>
      <c r="F44">
        <v>8</v>
      </c>
      <c r="G44" t="s">
        <v>403</v>
      </c>
      <c r="H44" t="s">
        <v>406</v>
      </c>
      <c r="I44">
        <v>486</v>
      </c>
      <c r="J44" s="85" cm="1">
        <f t="array" ref="J44">_xlfn.SWITCH(Table1__9[[#This Row],[Region]],1,"East",2,"West",3,"North",4)</f>
        <v>4</v>
      </c>
      <c r="K44">
        <v>7995</v>
      </c>
      <c r="L44">
        <v>1</v>
      </c>
      <c r="M44">
        <v>13</v>
      </c>
      <c r="N44">
        <v>13</v>
      </c>
      <c r="O44" t="e">
        <v>#DIV/0!</v>
      </c>
      <c r="S44" t="s">
        <v>310</v>
      </c>
      <c r="T44">
        <v>11</v>
      </c>
      <c r="U44">
        <v>4</v>
      </c>
      <c r="V44">
        <v>7.5</v>
      </c>
    </row>
    <row r="45" spans="1:22" x14ac:dyDescent="0.25">
      <c r="A45" s="2">
        <v>45705</v>
      </c>
      <c r="B45" t="s">
        <v>75</v>
      </c>
      <c r="C45" t="s">
        <v>83</v>
      </c>
      <c r="D45" t="s">
        <v>85</v>
      </c>
      <c r="E45">
        <v>4140</v>
      </c>
      <c r="F45">
        <v>18</v>
      </c>
      <c r="G45" t="s">
        <v>403</v>
      </c>
      <c r="H45" t="s">
        <v>406</v>
      </c>
      <c r="I45">
        <v>476</v>
      </c>
      <c r="J45" s="85" cm="1">
        <f t="array" ref="J45">_xlfn.SWITCH(Table1__9[[#This Row],[Region]],1,"East",2,"West",3,"North",4)</f>
        <v>4</v>
      </c>
      <c r="K45">
        <v>9984</v>
      </c>
      <c r="L45">
        <v>1</v>
      </c>
      <c r="M45">
        <v>13</v>
      </c>
      <c r="N45">
        <v>13</v>
      </c>
      <c r="O45" t="e">
        <v>#DIV/0!</v>
      </c>
      <c r="S45" t="s">
        <v>311</v>
      </c>
      <c r="T45">
        <v>43</v>
      </c>
      <c r="U45">
        <v>0</v>
      </c>
      <c r="V45">
        <v>31.9</v>
      </c>
    </row>
    <row r="46" spans="1:22" x14ac:dyDescent="0.25">
      <c r="A46" s="2">
        <v>45728</v>
      </c>
      <c r="B46" t="s">
        <v>74</v>
      </c>
      <c r="C46" t="s">
        <v>82</v>
      </c>
      <c r="D46" t="s">
        <v>88</v>
      </c>
      <c r="E46">
        <v>8610</v>
      </c>
      <c r="F46">
        <v>10</v>
      </c>
      <c r="G46" t="s">
        <v>403</v>
      </c>
      <c r="H46" t="s">
        <v>407</v>
      </c>
      <c r="I46">
        <v>453</v>
      </c>
      <c r="J46" s="85" cm="1">
        <f t="array" ref="J46">_xlfn.SWITCH(Table1__9[[#This Row],[Region]],1,"East",2,"West",3,"North",4)</f>
        <v>4</v>
      </c>
      <c r="K46">
        <v>7683</v>
      </c>
      <c r="L46">
        <v>1</v>
      </c>
      <c r="M46">
        <v>13</v>
      </c>
      <c r="N46">
        <v>13</v>
      </c>
      <c r="O46" t="e">
        <v>#DIV/0!</v>
      </c>
    </row>
    <row r="47" spans="1:22" ht="15.75" thickBot="1" x14ac:dyDescent="0.3">
      <c r="A47" s="2">
        <v>45719</v>
      </c>
      <c r="B47" t="s">
        <v>74</v>
      </c>
      <c r="C47" t="s">
        <v>82</v>
      </c>
      <c r="D47" t="s">
        <v>88</v>
      </c>
      <c r="E47">
        <v>7200</v>
      </c>
      <c r="F47">
        <v>8</v>
      </c>
      <c r="G47" t="s">
        <v>403</v>
      </c>
      <c r="H47" t="s">
        <v>407</v>
      </c>
      <c r="I47">
        <v>462</v>
      </c>
      <c r="J47" s="85" cm="1">
        <f t="array" ref="J47">_xlfn.SWITCH(Table1__9[[#This Row],[Region]],1,"East",2,"West",3,"North",4)</f>
        <v>4</v>
      </c>
      <c r="K47">
        <v>6885</v>
      </c>
      <c r="L47">
        <v>1</v>
      </c>
      <c r="M47">
        <v>9</v>
      </c>
      <c r="N47">
        <v>9</v>
      </c>
      <c r="O47" t="e">
        <v>#DIV/0!</v>
      </c>
      <c r="S47" s="86">
        <v>1944</v>
      </c>
      <c r="T47" s="86"/>
      <c r="U47" s="86"/>
      <c r="V47" s="86"/>
    </row>
    <row r="48" spans="1:22" x14ac:dyDescent="0.25">
      <c r="A48" s="2">
        <v>45746</v>
      </c>
      <c r="B48" t="s">
        <v>79</v>
      </c>
      <c r="C48" t="s">
        <v>81</v>
      </c>
      <c r="D48" t="s">
        <v>85</v>
      </c>
      <c r="E48">
        <v>10849</v>
      </c>
      <c r="F48">
        <v>19</v>
      </c>
      <c r="G48" t="s">
        <v>404</v>
      </c>
      <c r="H48" t="s">
        <v>407</v>
      </c>
      <c r="I48">
        <v>435</v>
      </c>
      <c r="J48" s="85" cm="1">
        <f t="array" ref="J48">_xlfn.SWITCH(Table1__9[[#This Row],[Region]],1,"East",2,"West",3,"North",4)</f>
        <v>4</v>
      </c>
      <c r="K48">
        <v>229</v>
      </c>
      <c r="L48">
        <v>1</v>
      </c>
      <c r="M48">
        <v>1</v>
      </c>
      <c r="N48">
        <v>1</v>
      </c>
      <c r="O48" t="e">
        <v>#DIV/0!</v>
      </c>
      <c r="S48" t="s">
        <v>308</v>
      </c>
      <c r="T48">
        <v>3</v>
      </c>
      <c r="U48">
        <v>3</v>
      </c>
      <c r="V48">
        <v>6</v>
      </c>
    </row>
    <row r="49" spans="1:22" x14ac:dyDescent="0.25">
      <c r="A49" s="2">
        <v>45660</v>
      </c>
      <c r="B49" t="s">
        <v>78</v>
      </c>
      <c r="C49" t="s">
        <v>84</v>
      </c>
      <c r="D49" t="s">
        <v>85</v>
      </c>
      <c r="E49">
        <v>14256</v>
      </c>
      <c r="F49">
        <v>16</v>
      </c>
      <c r="G49" t="s">
        <v>405</v>
      </c>
      <c r="H49" t="s">
        <v>408</v>
      </c>
      <c r="I49">
        <v>521</v>
      </c>
      <c r="J49" s="85" cm="1">
        <f t="array" ref="J49">_xlfn.SWITCH(Table1__9[[#This Row],[Region]],1,"East",2,"West",3,"North",4)</f>
        <v>4</v>
      </c>
      <c r="K49">
        <v>6104</v>
      </c>
      <c r="L49">
        <v>1</v>
      </c>
      <c r="M49">
        <v>7</v>
      </c>
      <c r="N49">
        <v>7</v>
      </c>
      <c r="O49" t="e">
        <v>#DIV/0!</v>
      </c>
      <c r="S49" t="s">
        <v>309</v>
      </c>
      <c r="T49">
        <v>44</v>
      </c>
      <c r="U49">
        <v>12</v>
      </c>
      <c r="V49">
        <v>56</v>
      </c>
    </row>
    <row r="50" spans="1:22" x14ac:dyDescent="0.25">
      <c r="A50" s="2">
        <v>45701</v>
      </c>
      <c r="B50" t="s">
        <v>74</v>
      </c>
      <c r="C50" t="s">
        <v>82</v>
      </c>
      <c r="D50" t="s">
        <v>88</v>
      </c>
      <c r="E50">
        <v>1464</v>
      </c>
      <c r="F50">
        <v>2</v>
      </c>
      <c r="G50" t="s">
        <v>403</v>
      </c>
      <c r="H50" t="s">
        <v>406</v>
      </c>
      <c r="I50">
        <v>480</v>
      </c>
      <c r="J50" s="85" cm="1">
        <f t="array" ref="J50">_xlfn.SWITCH(Table1__9[[#This Row],[Region]],1,"East",2,"West",3,"North",4)</f>
        <v>4</v>
      </c>
      <c r="K50">
        <v>558</v>
      </c>
      <c r="L50">
        <v>1</v>
      </c>
      <c r="M50">
        <v>1</v>
      </c>
      <c r="N50">
        <v>1</v>
      </c>
      <c r="O50" t="e">
        <v>#DIV/0!</v>
      </c>
      <c r="S50" t="s">
        <v>310</v>
      </c>
      <c r="T50">
        <v>14.666666666666666</v>
      </c>
      <c r="U50">
        <v>4</v>
      </c>
      <c r="V50">
        <v>9.3333333333333339</v>
      </c>
    </row>
    <row r="51" spans="1:22" x14ac:dyDescent="0.25">
      <c r="A51" s="2">
        <v>45732</v>
      </c>
      <c r="B51" t="s">
        <v>78</v>
      </c>
      <c r="C51" t="s">
        <v>84</v>
      </c>
      <c r="D51" t="s">
        <v>88</v>
      </c>
      <c r="E51">
        <v>9622</v>
      </c>
      <c r="F51">
        <v>17</v>
      </c>
      <c r="G51" t="s">
        <v>404</v>
      </c>
      <c r="H51" t="s">
        <v>407</v>
      </c>
      <c r="I51">
        <v>449</v>
      </c>
      <c r="J51" s="85" cm="1">
        <f t="array" ref="J51">_xlfn.SWITCH(Table1__9[[#This Row],[Region]],1,"East",2,"West",3,"North",4)</f>
        <v>4</v>
      </c>
      <c r="K51">
        <v>6413</v>
      </c>
      <c r="L51">
        <v>1</v>
      </c>
      <c r="M51">
        <v>11</v>
      </c>
      <c r="N51">
        <v>11</v>
      </c>
      <c r="O51" t="e">
        <v>#DIV/0!</v>
      </c>
      <c r="S51" t="s">
        <v>311</v>
      </c>
      <c r="T51">
        <v>33.333333333333314</v>
      </c>
      <c r="U51">
        <v>0</v>
      </c>
      <c r="V51">
        <v>47.466666666666676</v>
      </c>
    </row>
    <row r="52" spans="1:22" x14ac:dyDescent="0.25">
      <c r="A52" s="2">
        <v>45707</v>
      </c>
      <c r="B52" t="s">
        <v>75</v>
      </c>
      <c r="C52" t="s">
        <v>83</v>
      </c>
      <c r="D52" t="s">
        <v>87</v>
      </c>
      <c r="E52">
        <v>13420</v>
      </c>
      <c r="F52">
        <v>20</v>
      </c>
      <c r="G52" t="s">
        <v>403</v>
      </c>
      <c r="H52" t="s">
        <v>406</v>
      </c>
      <c r="I52">
        <v>474</v>
      </c>
      <c r="J52" s="85" cm="1">
        <f t="array" ref="J52">_xlfn.SWITCH(Table1__9[[#This Row],[Region]],1,"East",2,"West",3,"North",4)</f>
        <v>4</v>
      </c>
      <c r="K52">
        <v>1017</v>
      </c>
      <c r="L52">
        <v>1</v>
      </c>
      <c r="M52">
        <v>9</v>
      </c>
      <c r="N52">
        <v>9</v>
      </c>
      <c r="O52" t="e">
        <v>#DIV/0!</v>
      </c>
    </row>
    <row r="53" spans="1:22" ht="15.75" thickBot="1" x14ac:dyDescent="0.3">
      <c r="A53" s="2">
        <v>45705</v>
      </c>
      <c r="B53" t="s">
        <v>75</v>
      </c>
      <c r="C53" t="s">
        <v>83</v>
      </c>
      <c r="D53" t="s">
        <v>87</v>
      </c>
      <c r="E53">
        <v>3004</v>
      </c>
      <c r="F53">
        <v>4</v>
      </c>
      <c r="G53" t="s">
        <v>403</v>
      </c>
      <c r="H53" t="s">
        <v>406</v>
      </c>
      <c r="I53">
        <v>476</v>
      </c>
      <c r="J53" s="85" cm="1">
        <f t="array" ref="J53">_xlfn.SWITCH(Table1__9[[#This Row],[Region]],1,"East",2,"West",3,"North",4)</f>
        <v>4</v>
      </c>
      <c r="K53">
        <v>9310</v>
      </c>
      <c r="L53">
        <v>1</v>
      </c>
      <c r="M53">
        <v>10</v>
      </c>
      <c r="N53">
        <v>10</v>
      </c>
      <c r="O53" t="e">
        <v>#DIV/0!</v>
      </c>
      <c r="S53" s="86">
        <v>7995</v>
      </c>
      <c r="T53" s="86"/>
      <c r="U53" s="86"/>
      <c r="V53" s="86"/>
    </row>
    <row r="54" spans="1:22" x14ac:dyDescent="0.25">
      <c r="A54" s="2">
        <v>45754</v>
      </c>
      <c r="B54" t="s">
        <v>76</v>
      </c>
      <c r="C54" t="s">
        <v>84</v>
      </c>
      <c r="D54" t="s">
        <v>88</v>
      </c>
      <c r="E54">
        <v>11865</v>
      </c>
      <c r="F54">
        <v>15</v>
      </c>
      <c r="G54" t="s">
        <v>404</v>
      </c>
      <c r="H54" t="s">
        <v>409</v>
      </c>
      <c r="I54">
        <v>427</v>
      </c>
      <c r="J54" s="85" cm="1">
        <f t="array" ref="J54">_xlfn.SWITCH(Table1__9[[#This Row],[Region]],1,"East",2,"West",3,"North",4)</f>
        <v>4</v>
      </c>
      <c r="K54">
        <v>2560</v>
      </c>
      <c r="L54">
        <v>1</v>
      </c>
      <c r="M54">
        <v>4</v>
      </c>
      <c r="N54">
        <v>4</v>
      </c>
      <c r="O54" t="e">
        <v>#DIV/0!</v>
      </c>
      <c r="S54" t="s">
        <v>308</v>
      </c>
      <c r="T54">
        <v>3</v>
      </c>
      <c r="U54">
        <v>3</v>
      </c>
      <c r="V54">
        <v>6</v>
      </c>
    </row>
    <row r="55" spans="1:22" x14ac:dyDescent="0.25">
      <c r="A55" s="2">
        <v>45719</v>
      </c>
      <c r="B55" t="s">
        <v>80</v>
      </c>
      <c r="C55" t="s">
        <v>82</v>
      </c>
      <c r="D55" t="s">
        <v>87</v>
      </c>
      <c r="E55">
        <v>7395</v>
      </c>
      <c r="F55">
        <v>17</v>
      </c>
      <c r="G55" t="s">
        <v>403</v>
      </c>
      <c r="H55" t="s">
        <v>407</v>
      </c>
      <c r="I55">
        <v>462</v>
      </c>
      <c r="J55" s="85" cm="1">
        <f t="array" ref="J55">_xlfn.SWITCH(Table1__9[[#This Row],[Region]],1,"East",2,"West",3,"North",4)</f>
        <v>4</v>
      </c>
      <c r="K55">
        <v>6855</v>
      </c>
      <c r="L55">
        <v>1</v>
      </c>
      <c r="M55">
        <v>15</v>
      </c>
      <c r="N55">
        <v>15</v>
      </c>
      <c r="O55" t="e">
        <v>#DIV/0!</v>
      </c>
      <c r="S55" t="s">
        <v>309</v>
      </c>
      <c r="T55">
        <v>39</v>
      </c>
      <c r="U55">
        <v>12</v>
      </c>
      <c r="V55">
        <v>51</v>
      </c>
    </row>
    <row r="56" spans="1:22" x14ac:dyDescent="0.25">
      <c r="A56" s="2">
        <v>45704</v>
      </c>
      <c r="B56" t="s">
        <v>73</v>
      </c>
      <c r="C56" t="s">
        <v>81</v>
      </c>
      <c r="D56" t="s">
        <v>85</v>
      </c>
      <c r="E56">
        <v>12701</v>
      </c>
      <c r="F56">
        <v>13</v>
      </c>
      <c r="G56" t="s">
        <v>403</v>
      </c>
      <c r="H56" t="s">
        <v>406</v>
      </c>
      <c r="I56">
        <v>477</v>
      </c>
      <c r="J56" s="85" cm="1">
        <f t="array" ref="J56">_xlfn.SWITCH(Table1__9[[#This Row],[Region]],1,"East",2,"West",3,"North",4)</f>
        <v>4</v>
      </c>
      <c r="K56">
        <v>7398</v>
      </c>
      <c r="L56">
        <v>1</v>
      </c>
      <c r="M56">
        <v>9</v>
      </c>
      <c r="N56">
        <v>9</v>
      </c>
      <c r="O56" t="e">
        <v>#DIV/0!</v>
      </c>
      <c r="S56" t="s">
        <v>310</v>
      </c>
      <c r="T56">
        <v>13</v>
      </c>
      <c r="U56">
        <v>4</v>
      </c>
      <c r="V56">
        <v>8.5</v>
      </c>
    </row>
    <row r="57" spans="1:22" x14ac:dyDescent="0.25">
      <c r="A57" s="2">
        <v>45766</v>
      </c>
      <c r="B57" t="s">
        <v>75</v>
      </c>
      <c r="C57" t="s">
        <v>83</v>
      </c>
      <c r="D57" t="s">
        <v>85</v>
      </c>
      <c r="E57">
        <v>8697</v>
      </c>
      <c r="F57">
        <v>13</v>
      </c>
      <c r="G57" t="s">
        <v>404</v>
      </c>
      <c r="H57" t="s">
        <v>409</v>
      </c>
      <c r="I57">
        <v>415</v>
      </c>
      <c r="J57" s="85" cm="1">
        <f t="array" ref="J57">_xlfn.SWITCH(Table1__9[[#This Row],[Region]],1,"East",2,"West",3,"North",4)</f>
        <v>4</v>
      </c>
      <c r="K57">
        <v>2094</v>
      </c>
      <c r="L57">
        <v>1</v>
      </c>
      <c r="M57">
        <v>6</v>
      </c>
      <c r="N57">
        <v>6</v>
      </c>
      <c r="O57" t="e">
        <v>#DIV/0!</v>
      </c>
      <c r="S57" t="s">
        <v>311</v>
      </c>
      <c r="T57">
        <v>0</v>
      </c>
      <c r="U57">
        <v>0</v>
      </c>
      <c r="V57">
        <v>24.3</v>
      </c>
    </row>
    <row r="58" spans="1:22" x14ac:dyDescent="0.25">
      <c r="A58" s="2">
        <v>45693</v>
      </c>
      <c r="B58" t="s">
        <v>76</v>
      </c>
      <c r="C58" t="s">
        <v>84</v>
      </c>
      <c r="D58" t="s">
        <v>88</v>
      </c>
      <c r="E58">
        <v>2728</v>
      </c>
      <c r="F58">
        <v>11</v>
      </c>
      <c r="G58" t="s">
        <v>403</v>
      </c>
      <c r="H58" t="s">
        <v>406</v>
      </c>
      <c r="I58">
        <v>488</v>
      </c>
      <c r="J58" s="85" cm="1">
        <f t="array" ref="J58">_xlfn.SWITCH(Table1__9[[#This Row],[Region]],1,"East",2,"West",3,"North",4)</f>
        <v>4</v>
      </c>
      <c r="K58">
        <v>3996</v>
      </c>
      <c r="L58">
        <v>1</v>
      </c>
      <c r="M58">
        <v>4</v>
      </c>
      <c r="N58">
        <v>4</v>
      </c>
      <c r="O58" t="e">
        <v>#DIV/0!</v>
      </c>
    </row>
    <row r="59" spans="1:22" ht="15.75" thickBot="1" x14ac:dyDescent="0.3">
      <c r="A59" s="2">
        <v>45658</v>
      </c>
      <c r="B59" t="s">
        <v>78</v>
      </c>
      <c r="C59" t="s">
        <v>84</v>
      </c>
      <c r="D59" t="s">
        <v>86</v>
      </c>
      <c r="E59">
        <v>7395</v>
      </c>
      <c r="F59">
        <v>17</v>
      </c>
      <c r="G59" t="s">
        <v>405</v>
      </c>
      <c r="H59" t="s">
        <v>408</v>
      </c>
      <c r="I59">
        <v>523</v>
      </c>
      <c r="J59" s="85" cm="1">
        <f t="array" ref="J59">_xlfn.SWITCH(Table1__9[[#This Row],[Region]],1,"East",2,"West",3,"North",4)</f>
        <v>4</v>
      </c>
      <c r="K59">
        <v>4884</v>
      </c>
      <c r="L59">
        <v>1</v>
      </c>
      <c r="M59">
        <v>6</v>
      </c>
      <c r="N59">
        <v>6</v>
      </c>
      <c r="O59" t="e">
        <v>#DIV/0!</v>
      </c>
      <c r="S59" s="86">
        <v>6885</v>
      </c>
      <c r="T59" s="86"/>
      <c r="U59" s="86"/>
      <c r="V59" s="86"/>
    </row>
    <row r="60" spans="1:22" x14ac:dyDescent="0.25">
      <c r="A60" s="2">
        <v>45744</v>
      </c>
      <c r="B60" t="s">
        <v>80</v>
      </c>
      <c r="C60" t="s">
        <v>82</v>
      </c>
      <c r="D60" t="s">
        <v>85</v>
      </c>
      <c r="E60">
        <v>632</v>
      </c>
      <c r="F60">
        <v>1</v>
      </c>
      <c r="G60" t="s">
        <v>404</v>
      </c>
      <c r="H60" t="s">
        <v>407</v>
      </c>
      <c r="I60">
        <v>437</v>
      </c>
      <c r="J60" s="85" cm="1">
        <f t="array" ref="J60">_xlfn.SWITCH(Table1__9[[#This Row],[Region]],1,"East",2,"West",3,"North",4)</f>
        <v>4</v>
      </c>
      <c r="K60">
        <v>1767</v>
      </c>
      <c r="L60">
        <v>1</v>
      </c>
      <c r="M60">
        <v>3</v>
      </c>
      <c r="N60">
        <v>3</v>
      </c>
      <c r="O60" t="e">
        <v>#DIV/0!</v>
      </c>
      <c r="S60" t="s">
        <v>308</v>
      </c>
      <c r="T60">
        <v>3</v>
      </c>
      <c r="U60">
        <v>3</v>
      </c>
      <c r="V60">
        <v>6</v>
      </c>
    </row>
    <row r="61" spans="1:22" x14ac:dyDescent="0.25">
      <c r="A61" s="2">
        <v>45732</v>
      </c>
      <c r="B61" t="s">
        <v>77</v>
      </c>
      <c r="C61" t="s">
        <v>83</v>
      </c>
      <c r="D61" t="s">
        <v>88</v>
      </c>
      <c r="E61">
        <v>1044</v>
      </c>
      <c r="F61">
        <v>3</v>
      </c>
      <c r="G61" t="s">
        <v>404</v>
      </c>
      <c r="H61" t="s">
        <v>407</v>
      </c>
      <c r="I61">
        <v>449</v>
      </c>
      <c r="J61" s="85" cm="1">
        <f t="array" ref="J61">_xlfn.SWITCH(Table1__9[[#This Row],[Region]],1,"East",2,"West",3,"North",4)</f>
        <v>4</v>
      </c>
      <c r="K61">
        <v>7840</v>
      </c>
      <c r="L61">
        <v>1</v>
      </c>
      <c r="M61">
        <v>14</v>
      </c>
      <c r="N61">
        <v>14</v>
      </c>
      <c r="O61" t="e">
        <v>#DIV/0!</v>
      </c>
      <c r="S61" t="s">
        <v>309</v>
      </c>
      <c r="T61">
        <v>17</v>
      </c>
      <c r="U61">
        <v>12</v>
      </c>
      <c r="V61">
        <v>29</v>
      </c>
    </row>
    <row r="62" spans="1:22" x14ac:dyDescent="0.25">
      <c r="A62" s="2">
        <v>45713</v>
      </c>
      <c r="B62" t="s">
        <v>75</v>
      </c>
      <c r="C62" t="s">
        <v>83</v>
      </c>
      <c r="D62" t="s">
        <v>85</v>
      </c>
      <c r="E62">
        <v>4779</v>
      </c>
      <c r="F62">
        <v>9</v>
      </c>
      <c r="G62" t="s">
        <v>403</v>
      </c>
      <c r="H62" t="s">
        <v>406</v>
      </c>
      <c r="I62">
        <v>468</v>
      </c>
      <c r="J62" s="85" cm="1">
        <f t="array" ref="J62">_xlfn.SWITCH(Table1__9[[#This Row],[Region]],1,"East",2,"West",3,"North",4)</f>
        <v>4</v>
      </c>
      <c r="K62">
        <v>4806</v>
      </c>
      <c r="L62">
        <v>1</v>
      </c>
      <c r="M62">
        <v>6</v>
      </c>
      <c r="N62">
        <v>6</v>
      </c>
      <c r="O62" t="e">
        <v>#DIV/0!</v>
      </c>
      <c r="S62" t="s">
        <v>310</v>
      </c>
      <c r="T62">
        <v>5.666666666666667</v>
      </c>
      <c r="U62">
        <v>4</v>
      </c>
      <c r="V62">
        <v>4.833333333333333</v>
      </c>
    </row>
    <row r="63" spans="1:22" x14ac:dyDescent="0.25">
      <c r="A63" s="2">
        <v>45669</v>
      </c>
      <c r="B63" t="s">
        <v>73</v>
      </c>
      <c r="C63" t="s">
        <v>81</v>
      </c>
      <c r="D63" t="s">
        <v>85</v>
      </c>
      <c r="E63">
        <v>636</v>
      </c>
      <c r="F63">
        <v>2</v>
      </c>
      <c r="G63" t="s">
        <v>405</v>
      </c>
      <c r="H63" t="s">
        <v>408</v>
      </c>
      <c r="I63">
        <v>512</v>
      </c>
      <c r="J63" s="85" cm="1">
        <f t="array" ref="J63">_xlfn.SWITCH(Table1__9[[#This Row],[Region]],1,"East",2,"West",3,"North",4)</f>
        <v>4</v>
      </c>
      <c r="K63">
        <v>2598</v>
      </c>
      <c r="L63">
        <v>1</v>
      </c>
      <c r="M63">
        <v>3</v>
      </c>
      <c r="N63">
        <v>3</v>
      </c>
      <c r="O63" t="e">
        <v>#DIV/0!</v>
      </c>
      <c r="S63" t="s">
        <v>311</v>
      </c>
      <c r="T63">
        <v>17.333333333333336</v>
      </c>
      <c r="U63">
        <v>0</v>
      </c>
      <c r="V63">
        <v>7.7666666666666684</v>
      </c>
    </row>
    <row r="64" spans="1:22" x14ac:dyDescent="0.25">
      <c r="A64" s="2">
        <v>45702</v>
      </c>
      <c r="B64" t="s">
        <v>80</v>
      </c>
      <c r="C64" t="s">
        <v>82</v>
      </c>
      <c r="D64" t="s">
        <v>86</v>
      </c>
      <c r="E64">
        <v>7800</v>
      </c>
      <c r="F64">
        <v>10</v>
      </c>
      <c r="G64" t="s">
        <v>403</v>
      </c>
      <c r="H64" t="s">
        <v>406</v>
      </c>
      <c r="I64">
        <v>479</v>
      </c>
      <c r="J64" s="85" cm="1">
        <f t="array" ref="J64">_xlfn.SWITCH(Table1__9[[#This Row],[Region]],1,"East",2,"West",3,"North",4)</f>
        <v>4</v>
      </c>
      <c r="K64">
        <v>12920</v>
      </c>
      <c r="L64">
        <v>1</v>
      </c>
      <c r="M64">
        <v>17</v>
      </c>
      <c r="N64">
        <v>17</v>
      </c>
      <c r="O64" t="e">
        <v>#DIV/0!</v>
      </c>
    </row>
    <row r="65" spans="1:22" ht="15.75" thickBot="1" x14ac:dyDescent="0.3">
      <c r="A65" s="2">
        <v>45686</v>
      </c>
      <c r="B65" t="s">
        <v>73</v>
      </c>
      <c r="C65" t="s">
        <v>81</v>
      </c>
      <c r="D65" t="s">
        <v>88</v>
      </c>
      <c r="E65">
        <v>545</v>
      </c>
      <c r="F65">
        <v>5</v>
      </c>
      <c r="G65" t="s">
        <v>403</v>
      </c>
      <c r="H65" t="s">
        <v>408</v>
      </c>
      <c r="I65">
        <v>495</v>
      </c>
      <c r="J65" s="85" cm="1">
        <f t="array" ref="J65">_xlfn.SWITCH(Table1__9[[#This Row],[Region]],1,"East",2,"West",3,"North",4)</f>
        <v>4</v>
      </c>
      <c r="K65">
        <v>2134</v>
      </c>
      <c r="L65">
        <v>1</v>
      </c>
      <c r="M65">
        <v>11</v>
      </c>
      <c r="N65">
        <v>11</v>
      </c>
      <c r="O65" t="e">
        <v>#DIV/0!</v>
      </c>
      <c r="S65" s="86">
        <v>558</v>
      </c>
      <c r="T65" s="86"/>
      <c r="U65" s="86"/>
      <c r="V65" s="86"/>
    </row>
    <row r="66" spans="1:22" x14ac:dyDescent="0.25">
      <c r="A66" s="2">
        <v>45706</v>
      </c>
      <c r="B66" t="s">
        <v>75</v>
      </c>
      <c r="C66" t="s">
        <v>83</v>
      </c>
      <c r="D66" t="s">
        <v>85</v>
      </c>
      <c r="E66">
        <v>6040</v>
      </c>
      <c r="F66">
        <v>20</v>
      </c>
      <c r="G66" t="s">
        <v>403</v>
      </c>
      <c r="H66" t="s">
        <v>406</v>
      </c>
      <c r="I66">
        <v>475</v>
      </c>
      <c r="J66" s="85" cm="1">
        <f t="array" ref="J66">_xlfn.SWITCH(Table1__9[[#This Row],[Region]],1,"East",2,"West",3,"North",4)</f>
        <v>4</v>
      </c>
      <c r="K66">
        <v>311</v>
      </c>
      <c r="L66">
        <v>1</v>
      </c>
      <c r="M66">
        <v>1</v>
      </c>
      <c r="N66">
        <v>1</v>
      </c>
      <c r="O66" t="e">
        <v>#DIV/0!</v>
      </c>
      <c r="S66" t="s">
        <v>308</v>
      </c>
      <c r="T66">
        <v>3</v>
      </c>
      <c r="U66">
        <v>3</v>
      </c>
      <c r="V66">
        <v>6</v>
      </c>
    </row>
    <row r="67" spans="1:22" x14ac:dyDescent="0.25">
      <c r="A67" s="2">
        <v>45724</v>
      </c>
      <c r="B67" t="s">
        <v>74</v>
      </c>
      <c r="C67" t="s">
        <v>82</v>
      </c>
      <c r="D67" t="s">
        <v>88</v>
      </c>
      <c r="E67">
        <v>8136</v>
      </c>
      <c r="F67">
        <v>9</v>
      </c>
      <c r="G67" t="s">
        <v>403</v>
      </c>
      <c r="H67" t="s">
        <v>407</v>
      </c>
      <c r="I67">
        <v>457</v>
      </c>
      <c r="J67" s="85" cm="1">
        <f t="array" ref="J67">_xlfn.SWITCH(Table1__9[[#This Row],[Region]],1,"East",2,"West",3,"North",4)</f>
        <v>4</v>
      </c>
      <c r="K67">
        <v>2388</v>
      </c>
      <c r="L67">
        <v>1</v>
      </c>
      <c r="M67">
        <v>3</v>
      </c>
      <c r="N67">
        <v>3</v>
      </c>
      <c r="O67" t="e">
        <v>#DIV/0!</v>
      </c>
      <c r="S67" t="s">
        <v>309</v>
      </c>
      <c r="T67">
        <v>21</v>
      </c>
      <c r="U67">
        <v>12</v>
      </c>
      <c r="V67">
        <v>33</v>
      </c>
    </row>
    <row r="68" spans="1:22" x14ac:dyDescent="0.25">
      <c r="A68" s="2">
        <v>45659</v>
      </c>
      <c r="B68" t="s">
        <v>80</v>
      </c>
      <c r="C68" t="s">
        <v>82</v>
      </c>
      <c r="D68" t="s">
        <v>88</v>
      </c>
      <c r="E68">
        <v>3928</v>
      </c>
      <c r="F68">
        <v>4</v>
      </c>
      <c r="G68" t="s">
        <v>405</v>
      </c>
      <c r="H68" t="s">
        <v>408</v>
      </c>
      <c r="I68">
        <v>522</v>
      </c>
      <c r="J68" s="85" cm="1">
        <f t="array" ref="J68">_xlfn.SWITCH(Table1__9[[#This Row],[Region]],1,"East",2,"West",3,"North",4)</f>
        <v>4</v>
      </c>
      <c r="K68">
        <v>2853</v>
      </c>
      <c r="L68">
        <v>1</v>
      </c>
      <c r="M68">
        <v>9</v>
      </c>
      <c r="N68">
        <v>9</v>
      </c>
      <c r="O68" t="e">
        <v>#DIV/0!</v>
      </c>
      <c r="S68" t="s">
        <v>310</v>
      </c>
      <c r="T68">
        <v>7</v>
      </c>
      <c r="U68">
        <v>4</v>
      </c>
      <c r="V68">
        <v>5.5</v>
      </c>
    </row>
    <row r="69" spans="1:22" x14ac:dyDescent="0.25">
      <c r="A69" s="2">
        <v>45680</v>
      </c>
      <c r="B69" t="s">
        <v>80</v>
      </c>
      <c r="C69" t="s">
        <v>82</v>
      </c>
      <c r="D69" t="s">
        <v>87</v>
      </c>
      <c r="E69">
        <v>2968</v>
      </c>
      <c r="F69">
        <v>14</v>
      </c>
      <c r="G69" t="s">
        <v>405</v>
      </c>
      <c r="H69" t="s">
        <v>408</v>
      </c>
      <c r="I69">
        <v>501</v>
      </c>
      <c r="J69" s="85" cm="1">
        <f t="array" ref="J69">_xlfn.SWITCH(Table1__9[[#This Row],[Region]],1,"East",2,"West",3,"North",4)</f>
        <v>4</v>
      </c>
      <c r="K69">
        <v>4382</v>
      </c>
      <c r="L69">
        <v>1</v>
      </c>
      <c r="M69">
        <v>7</v>
      </c>
      <c r="N69">
        <v>7</v>
      </c>
      <c r="O69" t="e">
        <v>#DIV/0!</v>
      </c>
      <c r="S69" t="s">
        <v>311</v>
      </c>
      <c r="T69">
        <v>28</v>
      </c>
      <c r="U69">
        <v>0</v>
      </c>
      <c r="V69">
        <v>13.9</v>
      </c>
    </row>
    <row r="70" spans="1:22" x14ac:dyDescent="0.25">
      <c r="A70" s="2">
        <v>45689</v>
      </c>
      <c r="B70" t="s">
        <v>74</v>
      </c>
      <c r="C70" t="s">
        <v>82</v>
      </c>
      <c r="D70" t="s">
        <v>87</v>
      </c>
      <c r="E70">
        <v>3955</v>
      </c>
      <c r="F70">
        <v>5</v>
      </c>
      <c r="G70" t="s">
        <v>403</v>
      </c>
      <c r="H70" t="s">
        <v>406</v>
      </c>
      <c r="I70">
        <v>492</v>
      </c>
      <c r="J70" s="85" cm="1">
        <f t="array" ref="J70">_xlfn.SWITCH(Table1__9[[#This Row],[Region]],1,"East",2,"West",3,"North",4)</f>
        <v>4</v>
      </c>
      <c r="K70">
        <v>2690</v>
      </c>
      <c r="L70">
        <v>1</v>
      </c>
      <c r="M70">
        <v>5</v>
      </c>
      <c r="N70">
        <v>5</v>
      </c>
      <c r="O70" t="e">
        <v>#DIV/0!</v>
      </c>
    </row>
    <row r="71" spans="1:22" ht="15.75" thickBot="1" x14ac:dyDescent="0.3">
      <c r="A71" s="2">
        <v>45702</v>
      </c>
      <c r="B71" t="s">
        <v>75</v>
      </c>
      <c r="C71" t="s">
        <v>83</v>
      </c>
      <c r="D71" t="s">
        <v>85</v>
      </c>
      <c r="E71">
        <v>4048</v>
      </c>
      <c r="F71">
        <v>8</v>
      </c>
      <c r="G71" t="s">
        <v>403</v>
      </c>
      <c r="H71" t="s">
        <v>406</v>
      </c>
      <c r="I71">
        <v>479</v>
      </c>
      <c r="J71" s="85" cm="1">
        <f t="array" ref="J71">_xlfn.SWITCH(Table1__9[[#This Row],[Region]],1,"East",2,"West",3,"North",4)</f>
        <v>4</v>
      </c>
      <c r="K71">
        <v>399</v>
      </c>
      <c r="L71">
        <v>1</v>
      </c>
      <c r="M71">
        <v>3</v>
      </c>
      <c r="N71">
        <v>3</v>
      </c>
      <c r="O71" t="e">
        <v>#DIV/0!</v>
      </c>
      <c r="S71" s="86">
        <v>9310</v>
      </c>
      <c r="T71" s="86"/>
      <c r="U71" s="86"/>
      <c r="V71" s="86"/>
    </row>
    <row r="72" spans="1:22" x14ac:dyDescent="0.25">
      <c r="A72" s="2">
        <v>45727</v>
      </c>
      <c r="B72" t="s">
        <v>78</v>
      </c>
      <c r="C72" t="s">
        <v>84</v>
      </c>
      <c r="D72" t="s">
        <v>87</v>
      </c>
      <c r="E72">
        <v>6464</v>
      </c>
      <c r="F72">
        <v>8</v>
      </c>
      <c r="G72" t="s">
        <v>403</v>
      </c>
      <c r="H72" t="s">
        <v>407</v>
      </c>
      <c r="I72">
        <v>454</v>
      </c>
      <c r="J72" s="85" cm="1">
        <f t="array" ref="J72">_xlfn.SWITCH(Table1__9[[#This Row],[Region]],1,"East",2,"West",3,"North",4)</f>
        <v>4</v>
      </c>
      <c r="K72">
        <v>4459</v>
      </c>
      <c r="L72">
        <v>1</v>
      </c>
      <c r="M72">
        <v>7</v>
      </c>
      <c r="N72">
        <v>7</v>
      </c>
      <c r="O72" t="e">
        <v>#DIV/0!</v>
      </c>
      <c r="S72" t="s">
        <v>308</v>
      </c>
      <c r="T72">
        <v>3</v>
      </c>
      <c r="U72">
        <v>3</v>
      </c>
      <c r="V72">
        <v>6</v>
      </c>
    </row>
    <row r="73" spans="1:22" x14ac:dyDescent="0.25">
      <c r="A73" s="2">
        <v>45710</v>
      </c>
      <c r="B73" t="s">
        <v>73</v>
      </c>
      <c r="C73" t="s">
        <v>81</v>
      </c>
      <c r="D73" t="s">
        <v>88</v>
      </c>
      <c r="E73">
        <v>3042</v>
      </c>
      <c r="F73">
        <v>13</v>
      </c>
      <c r="G73" t="s">
        <v>403</v>
      </c>
      <c r="H73" t="s">
        <v>406</v>
      </c>
      <c r="I73">
        <v>471</v>
      </c>
      <c r="J73" s="85" cm="1">
        <f t="array" ref="J73">_xlfn.SWITCH(Table1__9[[#This Row],[Region]],1,"East",2,"West",3,"North",4)</f>
        <v>4</v>
      </c>
      <c r="K73">
        <v>2274</v>
      </c>
      <c r="L73">
        <v>1</v>
      </c>
      <c r="M73">
        <v>3</v>
      </c>
      <c r="N73">
        <v>3</v>
      </c>
      <c r="O73" t="e">
        <v>#DIV/0!</v>
      </c>
      <c r="S73" t="s">
        <v>309</v>
      </c>
      <c r="T73">
        <v>29</v>
      </c>
      <c r="U73">
        <v>12</v>
      </c>
      <c r="V73">
        <v>41</v>
      </c>
    </row>
    <row r="74" spans="1:22" x14ac:dyDescent="0.25">
      <c r="A74" s="2">
        <v>45761</v>
      </c>
      <c r="B74" t="s">
        <v>80</v>
      </c>
      <c r="C74" t="s">
        <v>82</v>
      </c>
      <c r="D74" t="s">
        <v>88</v>
      </c>
      <c r="E74">
        <v>9480</v>
      </c>
      <c r="F74">
        <v>15</v>
      </c>
      <c r="G74" t="s">
        <v>404</v>
      </c>
      <c r="H74" t="s">
        <v>409</v>
      </c>
      <c r="I74">
        <v>420</v>
      </c>
      <c r="J74" s="85" cm="1">
        <f t="array" ref="J74">_xlfn.SWITCH(Table1__9[[#This Row],[Region]],1,"East",2,"West",3,"North",4)</f>
        <v>4</v>
      </c>
      <c r="K74">
        <v>11552</v>
      </c>
      <c r="L74">
        <v>1</v>
      </c>
      <c r="M74">
        <v>19</v>
      </c>
      <c r="N74">
        <v>19</v>
      </c>
      <c r="O74" t="e">
        <v>#DIV/0!</v>
      </c>
      <c r="S74" t="s">
        <v>310</v>
      </c>
      <c r="T74">
        <v>9.6666666666666661</v>
      </c>
      <c r="U74">
        <v>4</v>
      </c>
      <c r="V74">
        <v>6.833333333333333</v>
      </c>
    </row>
    <row r="75" spans="1:22" x14ac:dyDescent="0.25">
      <c r="A75" s="2">
        <v>45666</v>
      </c>
      <c r="B75" t="s">
        <v>75</v>
      </c>
      <c r="C75" t="s">
        <v>83</v>
      </c>
      <c r="D75" t="s">
        <v>88</v>
      </c>
      <c r="E75">
        <v>16321</v>
      </c>
      <c r="F75">
        <v>19</v>
      </c>
      <c r="G75" t="s">
        <v>405</v>
      </c>
      <c r="H75" t="s">
        <v>408</v>
      </c>
      <c r="I75">
        <v>515</v>
      </c>
      <c r="J75" s="85" cm="1">
        <f t="array" ref="J75">_xlfn.SWITCH(Table1__9[[#This Row],[Region]],1,"East",2,"West",3,"North",4)</f>
        <v>4</v>
      </c>
      <c r="K75">
        <v>4540</v>
      </c>
      <c r="L75">
        <v>1</v>
      </c>
      <c r="M75">
        <v>5</v>
      </c>
      <c r="N75">
        <v>5</v>
      </c>
      <c r="O75" t="e">
        <v>#DIV/0!</v>
      </c>
      <c r="S75" t="s">
        <v>311</v>
      </c>
      <c r="T75">
        <v>30.333333333333343</v>
      </c>
      <c r="U75">
        <v>0</v>
      </c>
      <c r="V75">
        <v>21.766666666666662</v>
      </c>
    </row>
    <row r="76" spans="1:22" x14ac:dyDescent="0.25">
      <c r="A76" s="2">
        <v>45756</v>
      </c>
      <c r="B76" t="s">
        <v>74</v>
      </c>
      <c r="C76" t="s">
        <v>82</v>
      </c>
      <c r="D76" t="s">
        <v>87</v>
      </c>
      <c r="E76">
        <v>8436</v>
      </c>
      <c r="F76">
        <v>19</v>
      </c>
      <c r="G76" t="s">
        <v>404</v>
      </c>
      <c r="H76" t="s">
        <v>409</v>
      </c>
      <c r="I76">
        <v>425</v>
      </c>
      <c r="J76" s="85" cm="1">
        <f t="array" ref="J76">_xlfn.SWITCH(Table1__9[[#This Row],[Region]],1,"East",2,"West",3,"North",4)</f>
        <v>4</v>
      </c>
      <c r="K76">
        <v>4216</v>
      </c>
      <c r="L76">
        <v>1</v>
      </c>
      <c r="M76">
        <v>8</v>
      </c>
      <c r="N76">
        <v>8</v>
      </c>
      <c r="O76" t="e">
        <v>#DIV/0!</v>
      </c>
    </row>
    <row r="77" spans="1:22" ht="15.75" thickBot="1" x14ac:dyDescent="0.3">
      <c r="A77" s="2">
        <v>45747</v>
      </c>
      <c r="B77" t="s">
        <v>74</v>
      </c>
      <c r="C77" t="s">
        <v>82</v>
      </c>
      <c r="D77" t="s">
        <v>85</v>
      </c>
      <c r="E77">
        <v>2832</v>
      </c>
      <c r="F77">
        <v>8</v>
      </c>
      <c r="G77" t="s">
        <v>404</v>
      </c>
      <c r="H77" t="s">
        <v>407</v>
      </c>
      <c r="I77">
        <v>434</v>
      </c>
      <c r="J77" s="85" cm="1">
        <f t="array" ref="J77">_xlfn.SWITCH(Table1__9[[#This Row],[Region]],1,"East",2,"West",3,"North",4)</f>
        <v>4</v>
      </c>
      <c r="K77">
        <v>4140</v>
      </c>
      <c r="L77">
        <v>1</v>
      </c>
      <c r="M77">
        <v>18</v>
      </c>
      <c r="N77">
        <v>18</v>
      </c>
      <c r="O77" t="e">
        <v>#DIV/0!</v>
      </c>
      <c r="S77" s="86">
        <v>7398</v>
      </c>
      <c r="T77" s="86"/>
      <c r="U77" s="86"/>
      <c r="V77" s="86"/>
    </row>
    <row r="78" spans="1:22" x14ac:dyDescent="0.25">
      <c r="A78" s="2">
        <v>45693</v>
      </c>
      <c r="B78" t="s">
        <v>79</v>
      </c>
      <c r="C78" t="s">
        <v>81</v>
      </c>
      <c r="D78" t="s">
        <v>86</v>
      </c>
      <c r="E78">
        <v>8604</v>
      </c>
      <c r="F78">
        <v>18</v>
      </c>
      <c r="G78" t="s">
        <v>403</v>
      </c>
      <c r="H78" t="s">
        <v>406</v>
      </c>
      <c r="I78">
        <v>488</v>
      </c>
      <c r="J78" s="85" cm="1">
        <f t="array" ref="J78">_xlfn.SWITCH(Table1__9[[#This Row],[Region]],1,"East",2,"West",3,"North",4)</f>
        <v>4</v>
      </c>
      <c r="K78">
        <v>8610</v>
      </c>
      <c r="L78">
        <v>1</v>
      </c>
      <c r="M78">
        <v>10</v>
      </c>
      <c r="N78">
        <v>10</v>
      </c>
      <c r="O78" t="e">
        <v>#DIV/0!</v>
      </c>
      <c r="S78" t="s">
        <v>308</v>
      </c>
      <c r="T78">
        <v>3</v>
      </c>
      <c r="U78">
        <v>3</v>
      </c>
      <c r="V78">
        <v>6</v>
      </c>
    </row>
    <row r="79" spans="1:22" x14ac:dyDescent="0.25">
      <c r="A79" s="2">
        <v>45665</v>
      </c>
      <c r="B79" t="s">
        <v>73</v>
      </c>
      <c r="C79" t="s">
        <v>81</v>
      </c>
      <c r="D79" t="s">
        <v>86</v>
      </c>
      <c r="E79">
        <v>2805</v>
      </c>
      <c r="F79">
        <v>5</v>
      </c>
      <c r="G79" t="s">
        <v>405</v>
      </c>
      <c r="H79" t="s">
        <v>408</v>
      </c>
      <c r="I79">
        <v>516</v>
      </c>
      <c r="J79" s="85" cm="1">
        <f t="array" ref="J79">_xlfn.SWITCH(Table1__9[[#This Row],[Region]],1,"East",2,"West",3,"North",4)</f>
        <v>4</v>
      </c>
      <c r="K79">
        <v>7200</v>
      </c>
      <c r="L79">
        <v>1</v>
      </c>
      <c r="M79">
        <v>8</v>
      </c>
      <c r="N79">
        <v>8</v>
      </c>
      <c r="O79" t="e">
        <v>#DIV/0!</v>
      </c>
      <c r="S79" t="s">
        <v>309</v>
      </c>
      <c r="T79">
        <v>19</v>
      </c>
      <c r="U79">
        <v>12</v>
      </c>
      <c r="V79">
        <v>31</v>
      </c>
    </row>
    <row r="80" spans="1:22" x14ac:dyDescent="0.25">
      <c r="A80" s="2">
        <v>45690</v>
      </c>
      <c r="B80" t="s">
        <v>79</v>
      </c>
      <c r="C80" t="s">
        <v>81</v>
      </c>
      <c r="D80" t="s">
        <v>87</v>
      </c>
      <c r="E80">
        <v>5544</v>
      </c>
      <c r="F80">
        <v>7</v>
      </c>
      <c r="G80" t="s">
        <v>403</v>
      </c>
      <c r="H80" t="s">
        <v>406</v>
      </c>
      <c r="I80">
        <v>491</v>
      </c>
      <c r="J80" s="85" cm="1">
        <f t="array" ref="J80">_xlfn.SWITCH(Table1__9[[#This Row],[Region]],1,"East",2,"West",3,"North",4)</f>
        <v>4</v>
      </c>
      <c r="K80">
        <v>10849</v>
      </c>
      <c r="L80">
        <v>1</v>
      </c>
      <c r="M80">
        <v>19</v>
      </c>
      <c r="N80">
        <v>19</v>
      </c>
      <c r="O80" t="e">
        <v>#DIV/0!</v>
      </c>
      <c r="S80" t="s">
        <v>310</v>
      </c>
      <c r="T80">
        <v>6.333333333333333</v>
      </c>
      <c r="U80">
        <v>4</v>
      </c>
      <c r="V80">
        <v>5.166666666666667</v>
      </c>
    </row>
    <row r="81" spans="1:22" x14ac:dyDescent="0.25">
      <c r="A81" s="2">
        <v>45667</v>
      </c>
      <c r="B81" t="s">
        <v>77</v>
      </c>
      <c r="C81" t="s">
        <v>83</v>
      </c>
      <c r="D81" t="s">
        <v>88</v>
      </c>
      <c r="E81">
        <v>1694</v>
      </c>
      <c r="F81">
        <v>11</v>
      </c>
      <c r="G81" t="s">
        <v>405</v>
      </c>
      <c r="H81" t="s">
        <v>408</v>
      </c>
      <c r="I81">
        <v>514</v>
      </c>
      <c r="J81" s="85" cm="1">
        <f t="array" ref="J81">_xlfn.SWITCH(Table1__9[[#This Row],[Region]],1,"East",2,"West",3,"North",4)</f>
        <v>4</v>
      </c>
      <c r="K81">
        <v>14256</v>
      </c>
      <c r="L81">
        <v>1</v>
      </c>
      <c r="M81">
        <v>16</v>
      </c>
      <c r="N81">
        <v>16</v>
      </c>
      <c r="O81" t="e">
        <v>#DIV/0!</v>
      </c>
      <c r="S81" t="s">
        <v>311</v>
      </c>
      <c r="T81">
        <v>6.3333333333333357</v>
      </c>
      <c r="U81">
        <v>0</v>
      </c>
      <c r="V81">
        <v>4.1666666666666687</v>
      </c>
    </row>
    <row r="82" spans="1:22" x14ac:dyDescent="0.25">
      <c r="A82" s="2">
        <v>45665</v>
      </c>
      <c r="B82" t="s">
        <v>75</v>
      </c>
      <c r="C82" t="s">
        <v>83</v>
      </c>
      <c r="D82" t="s">
        <v>86</v>
      </c>
      <c r="E82">
        <v>5760</v>
      </c>
      <c r="F82">
        <v>9</v>
      </c>
      <c r="G82" t="s">
        <v>405</v>
      </c>
      <c r="H82" t="s">
        <v>408</v>
      </c>
      <c r="I82">
        <v>516</v>
      </c>
      <c r="J82" s="85" cm="1">
        <f t="array" ref="J82">_xlfn.SWITCH(Table1__9[[#This Row],[Region]],1,"East",2,"West",3,"North",4)</f>
        <v>4</v>
      </c>
      <c r="K82">
        <v>1464</v>
      </c>
      <c r="L82">
        <v>1</v>
      </c>
      <c r="M82">
        <v>2</v>
      </c>
      <c r="N82">
        <v>2</v>
      </c>
      <c r="O82" t="e">
        <v>#DIV/0!</v>
      </c>
    </row>
    <row r="83" spans="1:22" ht="15.75" thickBot="1" x14ac:dyDescent="0.3">
      <c r="A83" s="2">
        <v>45712</v>
      </c>
      <c r="B83" t="s">
        <v>78</v>
      </c>
      <c r="C83" t="s">
        <v>84</v>
      </c>
      <c r="D83" t="s">
        <v>85</v>
      </c>
      <c r="E83">
        <v>8550</v>
      </c>
      <c r="F83">
        <v>10</v>
      </c>
      <c r="G83" t="s">
        <v>403</v>
      </c>
      <c r="H83" t="s">
        <v>406</v>
      </c>
      <c r="I83">
        <v>469</v>
      </c>
      <c r="J83" s="85" cm="1">
        <f t="array" ref="J83">_xlfn.SWITCH(Table1__9[[#This Row],[Region]],1,"East",2,"West",3,"North",4)</f>
        <v>4</v>
      </c>
      <c r="K83">
        <v>9622</v>
      </c>
      <c r="L83">
        <v>1</v>
      </c>
      <c r="M83">
        <v>17</v>
      </c>
      <c r="N83">
        <v>17</v>
      </c>
      <c r="O83" t="e">
        <v>#DIV/0!</v>
      </c>
      <c r="S83" s="86">
        <v>4884</v>
      </c>
      <c r="T83" s="86"/>
      <c r="U83" s="86"/>
      <c r="V83" s="86"/>
    </row>
    <row r="84" spans="1:22" x14ac:dyDescent="0.25">
      <c r="A84" s="2">
        <v>45668</v>
      </c>
      <c r="B84" t="s">
        <v>79</v>
      </c>
      <c r="C84" t="s">
        <v>81</v>
      </c>
      <c r="D84" t="s">
        <v>86</v>
      </c>
      <c r="E84">
        <v>1220</v>
      </c>
      <c r="F84">
        <v>5</v>
      </c>
      <c r="G84" t="s">
        <v>405</v>
      </c>
      <c r="H84" t="s">
        <v>408</v>
      </c>
      <c r="I84">
        <v>513</v>
      </c>
      <c r="J84" s="85" cm="1">
        <f t="array" ref="J84">_xlfn.SWITCH(Table1__9[[#This Row],[Region]],1,"East",2,"West",3,"North",4)</f>
        <v>4</v>
      </c>
      <c r="K84">
        <v>13420</v>
      </c>
      <c r="L84">
        <v>1</v>
      </c>
      <c r="M84">
        <v>20</v>
      </c>
      <c r="N84">
        <v>20</v>
      </c>
      <c r="O84" t="e">
        <v>#DIV/0!</v>
      </c>
      <c r="S84" t="s">
        <v>308</v>
      </c>
      <c r="T84">
        <v>3</v>
      </c>
      <c r="U84">
        <v>3</v>
      </c>
      <c r="V84">
        <v>6</v>
      </c>
    </row>
    <row r="85" spans="1:22" x14ac:dyDescent="0.25">
      <c r="A85" s="2">
        <v>45777</v>
      </c>
      <c r="B85" t="s">
        <v>77</v>
      </c>
      <c r="C85" t="s">
        <v>83</v>
      </c>
      <c r="D85" t="s">
        <v>88</v>
      </c>
      <c r="E85">
        <v>2490</v>
      </c>
      <c r="F85">
        <v>15</v>
      </c>
      <c r="G85" t="s">
        <v>404</v>
      </c>
      <c r="H85" t="s">
        <v>409</v>
      </c>
      <c r="I85">
        <v>404</v>
      </c>
      <c r="J85" s="85" cm="1">
        <f t="array" ref="J85">_xlfn.SWITCH(Table1__9[[#This Row],[Region]],1,"East",2,"West",3,"North",4)</f>
        <v>4</v>
      </c>
      <c r="K85">
        <v>3004</v>
      </c>
      <c r="L85">
        <v>1</v>
      </c>
      <c r="M85">
        <v>4</v>
      </c>
      <c r="N85">
        <v>4</v>
      </c>
      <c r="O85" t="e">
        <v>#DIV/0!</v>
      </c>
      <c r="S85" t="s">
        <v>309</v>
      </c>
      <c r="T85">
        <v>23</v>
      </c>
      <c r="U85">
        <v>12</v>
      </c>
      <c r="V85">
        <v>35</v>
      </c>
    </row>
    <row r="86" spans="1:22" x14ac:dyDescent="0.25">
      <c r="A86" s="2">
        <v>45731</v>
      </c>
      <c r="B86" t="s">
        <v>73</v>
      </c>
      <c r="C86" t="s">
        <v>81</v>
      </c>
      <c r="D86" t="s">
        <v>88</v>
      </c>
      <c r="E86">
        <v>3225</v>
      </c>
      <c r="F86">
        <v>15</v>
      </c>
      <c r="G86" t="s">
        <v>404</v>
      </c>
      <c r="H86" t="s">
        <v>407</v>
      </c>
      <c r="I86">
        <v>450</v>
      </c>
      <c r="J86" s="85" cm="1">
        <f t="array" ref="J86">_xlfn.SWITCH(Table1__9[[#This Row],[Region]],1,"East",2,"West",3,"North",4)</f>
        <v>4</v>
      </c>
      <c r="K86">
        <v>11865</v>
      </c>
      <c r="L86">
        <v>1</v>
      </c>
      <c r="M86">
        <v>15</v>
      </c>
      <c r="N86">
        <v>15</v>
      </c>
      <c r="O86" t="e">
        <v>#DIV/0!</v>
      </c>
      <c r="S86" t="s">
        <v>310</v>
      </c>
      <c r="T86">
        <v>7.666666666666667</v>
      </c>
      <c r="U86">
        <v>4</v>
      </c>
      <c r="V86">
        <v>5.833333333333333</v>
      </c>
    </row>
    <row r="87" spans="1:22" x14ac:dyDescent="0.25">
      <c r="A87" s="2">
        <v>45725</v>
      </c>
      <c r="B87" t="s">
        <v>79</v>
      </c>
      <c r="C87" t="s">
        <v>81</v>
      </c>
      <c r="D87" t="s">
        <v>88</v>
      </c>
      <c r="E87">
        <v>7930</v>
      </c>
      <c r="F87">
        <v>13</v>
      </c>
      <c r="G87" t="s">
        <v>403</v>
      </c>
      <c r="H87" t="s">
        <v>407</v>
      </c>
      <c r="I87">
        <v>456</v>
      </c>
      <c r="J87" s="85" cm="1">
        <f t="array" ref="J87">_xlfn.SWITCH(Table1__9[[#This Row],[Region]],1,"East",2,"West",3,"North",4)</f>
        <v>4</v>
      </c>
      <c r="K87">
        <v>7395</v>
      </c>
      <c r="L87">
        <v>1</v>
      </c>
      <c r="M87">
        <v>17</v>
      </c>
      <c r="N87">
        <v>17</v>
      </c>
      <c r="O87" t="e">
        <v>#DIV/0!</v>
      </c>
      <c r="S87" t="s">
        <v>311</v>
      </c>
      <c r="T87">
        <v>32.333333333333329</v>
      </c>
      <c r="U87">
        <v>0</v>
      </c>
      <c r="V87">
        <v>16.966666666666669</v>
      </c>
    </row>
    <row r="88" spans="1:22" x14ac:dyDescent="0.25">
      <c r="A88" s="2">
        <v>45756</v>
      </c>
      <c r="B88" t="s">
        <v>78</v>
      </c>
      <c r="C88" t="s">
        <v>84</v>
      </c>
      <c r="D88" t="s">
        <v>85</v>
      </c>
      <c r="E88">
        <v>12920</v>
      </c>
      <c r="F88">
        <v>19</v>
      </c>
      <c r="G88" t="s">
        <v>404</v>
      </c>
      <c r="H88" t="s">
        <v>409</v>
      </c>
      <c r="I88">
        <v>425</v>
      </c>
      <c r="J88" s="85" cm="1">
        <f t="array" ref="J88">_xlfn.SWITCH(Table1__9[[#This Row],[Region]],1,"East",2,"West",3,"North",4)</f>
        <v>4</v>
      </c>
      <c r="K88">
        <v>12701</v>
      </c>
      <c r="L88">
        <v>1</v>
      </c>
      <c r="M88">
        <v>13</v>
      </c>
      <c r="N88">
        <v>13</v>
      </c>
      <c r="O88" t="e">
        <v>#DIV/0!</v>
      </c>
    </row>
    <row r="89" spans="1:22" ht="15.75" thickBot="1" x14ac:dyDescent="0.3">
      <c r="A89" s="2">
        <v>45725</v>
      </c>
      <c r="B89" t="s">
        <v>77</v>
      </c>
      <c r="C89" t="s">
        <v>83</v>
      </c>
      <c r="D89" t="s">
        <v>85</v>
      </c>
      <c r="E89">
        <v>4685</v>
      </c>
      <c r="F89">
        <v>5</v>
      </c>
      <c r="G89" t="s">
        <v>403</v>
      </c>
      <c r="H89" t="s">
        <v>407</v>
      </c>
      <c r="I89">
        <v>456</v>
      </c>
      <c r="J89" s="85" cm="1">
        <f t="array" ref="J89">_xlfn.SWITCH(Table1__9[[#This Row],[Region]],1,"East",2,"West",3,"North",4)</f>
        <v>4</v>
      </c>
      <c r="K89">
        <v>8697</v>
      </c>
      <c r="L89">
        <v>1</v>
      </c>
      <c r="M89">
        <v>13</v>
      </c>
      <c r="N89">
        <v>13</v>
      </c>
      <c r="O89" t="e">
        <v>#DIV/0!</v>
      </c>
      <c r="S89" s="86">
        <v>4806</v>
      </c>
      <c r="T89" s="86"/>
      <c r="U89" s="86"/>
      <c r="V89" s="86"/>
    </row>
    <row r="90" spans="1:22" x14ac:dyDescent="0.25">
      <c r="A90" s="2">
        <v>45694</v>
      </c>
      <c r="B90" t="s">
        <v>74</v>
      </c>
      <c r="C90" t="s">
        <v>82</v>
      </c>
      <c r="D90" t="s">
        <v>88</v>
      </c>
      <c r="E90">
        <v>808</v>
      </c>
      <c r="F90">
        <v>8</v>
      </c>
      <c r="G90" t="s">
        <v>403</v>
      </c>
      <c r="H90" t="s">
        <v>406</v>
      </c>
      <c r="I90">
        <v>487</v>
      </c>
      <c r="J90" s="85" cm="1">
        <f t="array" ref="J90">_xlfn.SWITCH(Table1__9[[#This Row],[Region]],1,"East",2,"West",3,"North",4)</f>
        <v>4</v>
      </c>
      <c r="K90">
        <v>2728</v>
      </c>
      <c r="L90">
        <v>1</v>
      </c>
      <c r="M90">
        <v>11</v>
      </c>
      <c r="N90">
        <v>11</v>
      </c>
      <c r="O90" t="e">
        <v>#DIV/0!</v>
      </c>
      <c r="S90" t="s">
        <v>308</v>
      </c>
      <c r="T90">
        <v>3</v>
      </c>
      <c r="U90">
        <v>3</v>
      </c>
      <c r="V90">
        <v>6</v>
      </c>
    </row>
    <row r="91" spans="1:22" x14ac:dyDescent="0.25">
      <c r="A91" s="2">
        <v>45749</v>
      </c>
      <c r="B91" t="s">
        <v>76</v>
      </c>
      <c r="C91" t="s">
        <v>84</v>
      </c>
      <c r="D91" t="s">
        <v>85</v>
      </c>
      <c r="E91">
        <v>1592</v>
      </c>
      <c r="F91">
        <v>4</v>
      </c>
      <c r="G91" t="s">
        <v>404</v>
      </c>
      <c r="H91" t="s">
        <v>409</v>
      </c>
      <c r="I91">
        <v>432</v>
      </c>
      <c r="J91" s="85" cm="1">
        <f t="array" ref="J91">_xlfn.SWITCH(Table1__9[[#This Row],[Region]],1,"East",2,"West",3,"North",4)</f>
        <v>4</v>
      </c>
      <c r="K91">
        <v>7395</v>
      </c>
      <c r="L91">
        <v>1</v>
      </c>
      <c r="M91">
        <v>17</v>
      </c>
      <c r="N91">
        <v>17</v>
      </c>
      <c r="O91" t="e">
        <v>#DIV/0!</v>
      </c>
      <c r="S91" t="s">
        <v>309</v>
      </c>
      <c r="T91">
        <v>26</v>
      </c>
      <c r="U91">
        <v>12</v>
      </c>
      <c r="V91">
        <v>38</v>
      </c>
    </row>
    <row r="92" spans="1:22" x14ac:dyDescent="0.25">
      <c r="A92" s="2">
        <v>45778</v>
      </c>
      <c r="B92" t="s">
        <v>75</v>
      </c>
      <c r="C92" t="s">
        <v>83</v>
      </c>
      <c r="D92" t="s">
        <v>86</v>
      </c>
      <c r="E92">
        <v>14860</v>
      </c>
      <c r="F92">
        <v>20</v>
      </c>
      <c r="G92" t="s">
        <v>404</v>
      </c>
      <c r="H92" t="s">
        <v>410</v>
      </c>
      <c r="I92">
        <v>403</v>
      </c>
      <c r="J92" s="85" cm="1">
        <f t="array" ref="J92">_xlfn.SWITCH(Table1__9[[#This Row],[Region]],1,"East",2,"West",3,"North",4)</f>
        <v>4</v>
      </c>
      <c r="K92">
        <v>632</v>
      </c>
      <c r="L92">
        <v>1</v>
      </c>
      <c r="M92">
        <v>1</v>
      </c>
      <c r="N92">
        <v>1</v>
      </c>
      <c r="O92" t="e">
        <v>#DIV/0!</v>
      </c>
      <c r="S92" t="s">
        <v>310</v>
      </c>
      <c r="T92">
        <v>8.6666666666666661</v>
      </c>
      <c r="U92">
        <v>4</v>
      </c>
      <c r="V92">
        <v>6.333333333333333</v>
      </c>
    </row>
    <row r="93" spans="1:22" x14ac:dyDescent="0.25">
      <c r="A93" s="2">
        <v>45658</v>
      </c>
      <c r="B93" t="s">
        <v>78</v>
      </c>
      <c r="C93" t="s">
        <v>84</v>
      </c>
      <c r="D93" t="s">
        <v>86</v>
      </c>
      <c r="E93">
        <v>8040</v>
      </c>
      <c r="F93">
        <v>10</v>
      </c>
      <c r="G93" t="s">
        <v>405</v>
      </c>
      <c r="H93" t="s">
        <v>408</v>
      </c>
      <c r="I93">
        <v>523</v>
      </c>
      <c r="J93" s="85" cm="1">
        <f t="array" ref="J93">_xlfn.SWITCH(Table1__9[[#This Row],[Region]],1,"East",2,"West",3,"North",4)</f>
        <v>4</v>
      </c>
      <c r="K93">
        <v>1044</v>
      </c>
      <c r="L93">
        <v>1</v>
      </c>
      <c r="M93">
        <v>3</v>
      </c>
      <c r="N93">
        <v>3</v>
      </c>
      <c r="O93" t="e">
        <v>#DIV/0!</v>
      </c>
      <c r="S93" t="s">
        <v>311</v>
      </c>
      <c r="T93">
        <v>54.333333333333329</v>
      </c>
      <c r="U93">
        <v>0</v>
      </c>
      <c r="V93">
        <v>28.266666666666669</v>
      </c>
    </row>
    <row r="94" spans="1:22" x14ac:dyDescent="0.25">
      <c r="A94" s="2">
        <v>45762</v>
      </c>
      <c r="B94" t="s">
        <v>78</v>
      </c>
      <c r="C94" t="s">
        <v>84</v>
      </c>
      <c r="D94" t="s">
        <v>87</v>
      </c>
      <c r="E94">
        <v>3880</v>
      </c>
      <c r="F94">
        <v>20</v>
      </c>
      <c r="G94" t="s">
        <v>404</v>
      </c>
      <c r="H94" t="s">
        <v>409</v>
      </c>
      <c r="I94">
        <v>419</v>
      </c>
      <c r="J94" s="85" cm="1">
        <f t="array" ref="J94">_xlfn.SWITCH(Table1__9[[#This Row],[Region]],1,"East",2,"West",3,"North",4)</f>
        <v>4</v>
      </c>
      <c r="K94">
        <v>4779</v>
      </c>
      <c r="L94">
        <v>1</v>
      </c>
      <c r="M94">
        <v>9</v>
      </c>
      <c r="N94">
        <v>9</v>
      </c>
      <c r="O94" t="e">
        <v>#DIV/0!</v>
      </c>
    </row>
    <row r="95" spans="1:22" ht="15.75" thickBot="1" x14ac:dyDescent="0.3">
      <c r="A95" s="2">
        <v>45765</v>
      </c>
      <c r="B95" t="s">
        <v>75</v>
      </c>
      <c r="C95" t="s">
        <v>83</v>
      </c>
      <c r="D95" t="s">
        <v>87</v>
      </c>
      <c r="E95">
        <v>2522</v>
      </c>
      <c r="F95">
        <v>13</v>
      </c>
      <c r="G95" t="s">
        <v>404</v>
      </c>
      <c r="H95" t="s">
        <v>409</v>
      </c>
      <c r="I95">
        <v>416</v>
      </c>
      <c r="J95" s="85" cm="1">
        <f t="array" ref="J95">_xlfn.SWITCH(Table1__9[[#This Row],[Region]],1,"East",2,"West",3,"North",4)</f>
        <v>4</v>
      </c>
      <c r="K95">
        <v>636</v>
      </c>
      <c r="L95">
        <v>1</v>
      </c>
      <c r="M95">
        <v>2</v>
      </c>
      <c r="N95">
        <v>2</v>
      </c>
      <c r="O95" t="e">
        <v>#DIV/0!</v>
      </c>
      <c r="S95" s="86">
        <v>2134</v>
      </c>
      <c r="T95" s="86"/>
      <c r="U95" s="86"/>
      <c r="V95" s="86"/>
    </row>
    <row r="96" spans="1:22" x14ac:dyDescent="0.25">
      <c r="A96" s="2">
        <v>45701</v>
      </c>
      <c r="B96" t="s">
        <v>76</v>
      </c>
      <c r="C96" t="s">
        <v>84</v>
      </c>
      <c r="D96" t="s">
        <v>85</v>
      </c>
      <c r="E96">
        <v>852</v>
      </c>
      <c r="F96">
        <v>2</v>
      </c>
      <c r="G96" t="s">
        <v>403</v>
      </c>
      <c r="H96" t="s">
        <v>406</v>
      </c>
      <c r="I96">
        <v>480</v>
      </c>
      <c r="J96" s="85" cm="1">
        <f t="array" ref="J96">_xlfn.SWITCH(Table1__9[[#This Row],[Region]],1,"East",2,"West",3,"North",4)</f>
        <v>4</v>
      </c>
      <c r="K96">
        <v>7800</v>
      </c>
      <c r="L96">
        <v>1</v>
      </c>
      <c r="M96">
        <v>10</v>
      </c>
      <c r="N96">
        <v>10</v>
      </c>
      <c r="O96" t="e">
        <v>#DIV/0!</v>
      </c>
      <c r="S96" t="s">
        <v>308</v>
      </c>
      <c r="T96">
        <v>3</v>
      </c>
      <c r="U96">
        <v>3</v>
      </c>
      <c r="V96">
        <v>6</v>
      </c>
    </row>
    <row r="97" spans="1:22" x14ac:dyDescent="0.25">
      <c r="A97" s="2">
        <v>45727</v>
      </c>
      <c r="B97" t="s">
        <v>73</v>
      </c>
      <c r="C97" t="s">
        <v>81</v>
      </c>
      <c r="D97" t="s">
        <v>85</v>
      </c>
      <c r="E97">
        <v>1185</v>
      </c>
      <c r="F97">
        <v>5</v>
      </c>
      <c r="G97" t="s">
        <v>403</v>
      </c>
      <c r="H97" t="s">
        <v>407</v>
      </c>
      <c r="I97">
        <v>454</v>
      </c>
      <c r="J97" s="85" cm="1">
        <f t="array" ref="J97">_xlfn.SWITCH(Table1__9[[#This Row],[Region]],1,"East",2,"West",3,"North",4)</f>
        <v>4</v>
      </c>
      <c r="K97">
        <v>545</v>
      </c>
      <c r="L97">
        <v>1</v>
      </c>
      <c r="M97">
        <v>5</v>
      </c>
      <c r="N97">
        <v>5</v>
      </c>
      <c r="O97" t="e">
        <v>#DIV/0!</v>
      </c>
      <c r="S97" t="s">
        <v>309</v>
      </c>
      <c r="T97">
        <v>15</v>
      </c>
      <c r="U97">
        <v>12</v>
      </c>
      <c r="V97">
        <v>27</v>
      </c>
    </row>
    <row r="98" spans="1:22" x14ac:dyDescent="0.25">
      <c r="A98" s="2">
        <v>45741</v>
      </c>
      <c r="B98" t="s">
        <v>73</v>
      </c>
      <c r="C98" t="s">
        <v>81</v>
      </c>
      <c r="D98" t="s">
        <v>85</v>
      </c>
      <c r="E98">
        <v>1836</v>
      </c>
      <c r="F98">
        <v>12</v>
      </c>
      <c r="G98" t="s">
        <v>404</v>
      </c>
      <c r="H98" t="s">
        <v>407</v>
      </c>
      <c r="I98">
        <v>440</v>
      </c>
      <c r="J98" s="85" cm="1">
        <f t="array" ref="J98">_xlfn.SWITCH(Table1__9[[#This Row],[Region]],1,"East",2,"West",3,"North",4)</f>
        <v>4</v>
      </c>
      <c r="K98">
        <v>6040</v>
      </c>
      <c r="L98">
        <v>1</v>
      </c>
      <c r="M98">
        <v>20</v>
      </c>
      <c r="N98">
        <v>20</v>
      </c>
      <c r="O98" t="e">
        <v>#DIV/0!</v>
      </c>
      <c r="S98" t="s">
        <v>310</v>
      </c>
      <c r="T98">
        <v>5</v>
      </c>
      <c r="U98">
        <v>4</v>
      </c>
      <c r="V98">
        <v>4.5</v>
      </c>
    </row>
    <row r="99" spans="1:22" x14ac:dyDescent="0.25">
      <c r="A99" s="2">
        <v>45679</v>
      </c>
      <c r="B99" t="s">
        <v>80</v>
      </c>
      <c r="C99" t="s">
        <v>82</v>
      </c>
      <c r="D99" t="s">
        <v>87</v>
      </c>
      <c r="E99">
        <v>3835</v>
      </c>
      <c r="F99">
        <v>5</v>
      </c>
      <c r="G99" t="s">
        <v>405</v>
      </c>
      <c r="H99" t="s">
        <v>408</v>
      </c>
      <c r="I99">
        <v>502</v>
      </c>
      <c r="J99" s="85" cm="1">
        <f t="array" ref="J99">_xlfn.SWITCH(Table1__9[[#This Row],[Region]],1,"East",2,"West",3,"North",4)</f>
        <v>4</v>
      </c>
      <c r="K99">
        <v>8136</v>
      </c>
      <c r="L99">
        <v>1</v>
      </c>
      <c r="M99">
        <v>9</v>
      </c>
      <c r="N99">
        <v>9</v>
      </c>
      <c r="O99" t="e">
        <v>#DIV/0!</v>
      </c>
      <c r="S99" t="s">
        <v>311</v>
      </c>
      <c r="T99">
        <v>28</v>
      </c>
      <c r="U99">
        <v>0</v>
      </c>
      <c r="V99">
        <v>11.5</v>
      </c>
    </row>
    <row r="100" spans="1:22" x14ac:dyDescent="0.25">
      <c r="A100" s="2">
        <v>45711</v>
      </c>
      <c r="B100" t="s">
        <v>75</v>
      </c>
      <c r="C100" t="s">
        <v>83</v>
      </c>
      <c r="D100" t="s">
        <v>85</v>
      </c>
      <c r="E100">
        <v>2460</v>
      </c>
      <c r="F100">
        <v>12</v>
      </c>
      <c r="G100" t="s">
        <v>403</v>
      </c>
      <c r="H100" t="s">
        <v>406</v>
      </c>
      <c r="I100">
        <v>470</v>
      </c>
      <c r="J100" s="85" cm="1">
        <f t="array" ref="J100">_xlfn.SWITCH(Table1__9[[#This Row],[Region]],1,"East",2,"West",3,"North",4)</f>
        <v>4</v>
      </c>
      <c r="K100">
        <v>3928</v>
      </c>
      <c r="L100">
        <v>1</v>
      </c>
      <c r="M100">
        <v>4</v>
      </c>
      <c r="N100">
        <v>4</v>
      </c>
      <c r="O100" t="e">
        <v>#DIV/0!</v>
      </c>
    </row>
    <row r="101" spans="1:22" ht="15.75" thickBot="1" x14ac:dyDescent="0.3">
      <c r="A101" s="2">
        <v>45693</v>
      </c>
      <c r="B101" t="s">
        <v>78</v>
      </c>
      <c r="C101" t="s">
        <v>84</v>
      </c>
      <c r="D101" t="s">
        <v>88</v>
      </c>
      <c r="E101">
        <v>3941</v>
      </c>
      <c r="F101">
        <v>7</v>
      </c>
      <c r="G101" t="s">
        <v>403</v>
      </c>
      <c r="H101" t="s">
        <v>406</v>
      </c>
      <c r="I101">
        <v>488</v>
      </c>
      <c r="J101" s="85" cm="1">
        <f t="array" ref="J101">_xlfn.SWITCH(Table1__9[[#This Row],[Region]],1,"East",2,"West",3,"North",4)</f>
        <v>4</v>
      </c>
      <c r="K101">
        <v>2968</v>
      </c>
      <c r="L101">
        <v>1</v>
      </c>
      <c r="M101">
        <v>14</v>
      </c>
      <c r="N101">
        <v>14</v>
      </c>
      <c r="O101" t="e">
        <v>#DIV/0!</v>
      </c>
      <c r="S101" s="86">
        <v>2853</v>
      </c>
      <c r="T101" s="86"/>
      <c r="U101" s="86"/>
      <c r="V101" s="86"/>
    </row>
    <row r="102" spans="1:22" x14ac:dyDescent="0.25">
      <c r="K102">
        <v>3955</v>
      </c>
      <c r="L102">
        <v>1</v>
      </c>
      <c r="M102">
        <v>5</v>
      </c>
      <c r="N102">
        <v>5</v>
      </c>
      <c r="O102" t="e">
        <v>#DIV/0!</v>
      </c>
      <c r="S102" t="s">
        <v>308</v>
      </c>
      <c r="T102">
        <v>3</v>
      </c>
      <c r="U102">
        <v>3</v>
      </c>
      <c r="V102">
        <v>6</v>
      </c>
    </row>
    <row r="103" spans="1:22" x14ac:dyDescent="0.25">
      <c r="K103">
        <v>4048</v>
      </c>
      <c r="L103">
        <v>1</v>
      </c>
      <c r="M103">
        <v>8</v>
      </c>
      <c r="N103">
        <v>8</v>
      </c>
      <c r="O103" t="e">
        <v>#DIV/0!</v>
      </c>
      <c r="S103" t="s">
        <v>309</v>
      </c>
      <c r="T103">
        <v>21</v>
      </c>
      <c r="U103">
        <v>12</v>
      </c>
      <c r="V103">
        <v>33</v>
      </c>
    </row>
    <row r="104" spans="1:22" x14ac:dyDescent="0.25">
      <c r="K104">
        <v>6464</v>
      </c>
      <c r="L104">
        <v>1</v>
      </c>
      <c r="M104">
        <v>8</v>
      </c>
      <c r="N104">
        <v>8</v>
      </c>
      <c r="O104" t="e">
        <v>#DIV/0!</v>
      </c>
      <c r="S104" t="s">
        <v>310</v>
      </c>
      <c r="T104">
        <v>7</v>
      </c>
      <c r="U104">
        <v>4</v>
      </c>
      <c r="V104">
        <v>5.5</v>
      </c>
    </row>
    <row r="105" spans="1:22" x14ac:dyDescent="0.25">
      <c r="K105">
        <v>3042</v>
      </c>
      <c r="L105">
        <v>1</v>
      </c>
      <c r="M105">
        <v>13</v>
      </c>
      <c r="N105">
        <v>13</v>
      </c>
      <c r="O105" t="e">
        <v>#DIV/0!</v>
      </c>
      <c r="S105" t="s">
        <v>311</v>
      </c>
      <c r="T105">
        <v>4</v>
      </c>
      <c r="U105">
        <v>0</v>
      </c>
      <c r="V105">
        <v>4.3</v>
      </c>
    </row>
    <row r="106" spans="1:22" x14ac:dyDescent="0.25">
      <c r="K106">
        <v>9480</v>
      </c>
      <c r="L106">
        <v>1</v>
      </c>
      <c r="M106">
        <v>15</v>
      </c>
      <c r="N106">
        <v>15</v>
      </c>
      <c r="O106" t="e">
        <v>#DIV/0!</v>
      </c>
    </row>
    <row r="107" spans="1:22" ht="15.75" thickBot="1" x14ac:dyDescent="0.3">
      <c r="K107">
        <v>16321</v>
      </c>
      <c r="L107">
        <v>1</v>
      </c>
      <c r="M107">
        <v>19</v>
      </c>
      <c r="N107">
        <v>19</v>
      </c>
      <c r="O107" t="e">
        <v>#DIV/0!</v>
      </c>
      <c r="S107" s="86">
        <v>399</v>
      </c>
      <c r="T107" s="86"/>
      <c r="U107" s="86"/>
      <c r="V107" s="86"/>
    </row>
    <row r="108" spans="1:22" x14ac:dyDescent="0.25">
      <c r="K108">
        <v>8436</v>
      </c>
      <c r="L108">
        <v>1</v>
      </c>
      <c r="M108">
        <v>19</v>
      </c>
      <c r="N108">
        <v>19</v>
      </c>
      <c r="O108" t="e">
        <v>#DIV/0!</v>
      </c>
      <c r="S108" t="s">
        <v>308</v>
      </c>
      <c r="T108">
        <v>3</v>
      </c>
      <c r="U108">
        <v>3</v>
      </c>
      <c r="V108">
        <v>6</v>
      </c>
    </row>
    <row r="109" spans="1:22" x14ac:dyDescent="0.25">
      <c r="K109">
        <v>2832</v>
      </c>
      <c r="L109">
        <v>1</v>
      </c>
      <c r="M109">
        <v>8</v>
      </c>
      <c r="N109">
        <v>8</v>
      </c>
      <c r="O109" t="e">
        <v>#DIV/0!</v>
      </c>
      <c r="S109" t="s">
        <v>309</v>
      </c>
      <c r="T109">
        <v>13</v>
      </c>
      <c r="U109">
        <v>12</v>
      </c>
      <c r="V109">
        <v>25</v>
      </c>
    </row>
    <row r="110" spans="1:22" x14ac:dyDescent="0.25">
      <c r="K110">
        <v>8604</v>
      </c>
      <c r="L110">
        <v>1</v>
      </c>
      <c r="M110">
        <v>18</v>
      </c>
      <c r="N110">
        <v>18</v>
      </c>
      <c r="O110" t="e">
        <v>#DIV/0!</v>
      </c>
      <c r="S110" t="s">
        <v>310</v>
      </c>
      <c r="T110">
        <v>4.333333333333333</v>
      </c>
      <c r="U110">
        <v>4</v>
      </c>
      <c r="V110">
        <v>4.166666666666667</v>
      </c>
    </row>
    <row r="111" spans="1:22" x14ac:dyDescent="0.25">
      <c r="K111">
        <v>2805</v>
      </c>
      <c r="L111">
        <v>1</v>
      </c>
      <c r="M111">
        <v>5</v>
      </c>
      <c r="N111">
        <v>5</v>
      </c>
      <c r="O111" t="e">
        <v>#DIV/0!</v>
      </c>
      <c r="S111" t="s">
        <v>311</v>
      </c>
      <c r="T111">
        <v>5.3333333333333321</v>
      </c>
      <c r="U111">
        <v>0</v>
      </c>
      <c r="V111">
        <v>2.1666666666666656</v>
      </c>
    </row>
    <row r="112" spans="1:22" x14ac:dyDescent="0.25">
      <c r="K112">
        <v>5544</v>
      </c>
      <c r="L112">
        <v>1</v>
      </c>
      <c r="M112">
        <v>7</v>
      </c>
      <c r="N112">
        <v>7</v>
      </c>
      <c r="O112" t="e">
        <v>#DIV/0!</v>
      </c>
    </row>
    <row r="113" spans="11:22" ht="15.75" thickBot="1" x14ac:dyDescent="0.3">
      <c r="K113">
        <v>1694</v>
      </c>
      <c r="L113">
        <v>1</v>
      </c>
      <c r="M113">
        <v>11</v>
      </c>
      <c r="N113">
        <v>11</v>
      </c>
      <c r="O113" t="e">
        <v>#DIV/0!</v>
      </c>
      <c r="S113" s="86">
        <v>11552</v>
      </c>
      <c r="T113" s="86"/>
      <c r="U113" s="86"/>
      <c r="V113" s="86"/>
    </row>
    <row r="114" spans="11:22" x14ac:dyDescent="0.25">
      <c r="K114">
        <v>5760</v>
      </c>
      <c r="L114">
        <v>1</v>
      </c>
      <c r="M114">
        <v>9</v>
      </c>
      <c r="N114">
        <v>9</v>
      </c>
      <c r="O114" t="e">
        <v>#DIV/0!</v>
      </c>
      <c r="S114" t="s">
        <v>308</v>
      </c>
      <c r="T114">
        <v>3</v>
      </c>
      <c r="U114">
        <v>3</v>
      </c>
      <c r="V114">
        <v>6</v>
      </c>
    </row>
    <row r="115" spans="11:22" x14ac:dyDescent="0.25">
      <c r="K115">
        <v>8550</v>
      </c>
      <c r="L115">
        <v>1</v>
      </c>
      <c r="M115">
        <v>10</v>
      </c>
      <c r="N115">
        <v>10</v>
      </c>
      <c r="O115" t="e">
        <v>#DIV/0!</v>
      </c>
      <c r="S115" t="s">
        <v>309</v>
      </c>
      <c r="T115">
        <v>32</v>
      </c>
      <c r="U115">
        <v>12</v>
      </c>
      <c r="V115">
        <v>44</v>
      </c>
    </row>
    <row r="116" spans="11:22" x14ac:dyDescent="0.25">
      <c r="K116">
        <v>1220</v>
      </c>
      <c r="L116">
        <v>1</v>
      </c>
      <c r="M116">
        <v>5</v>
      </c>
      <c r="N116">
        <v>5</v>
      </c>
      <c r="O116" t="e">
        <v>#DIV/0!</v>
      </c>
      <c r="S116" t="s">
        <v>310</v>
      </c>
      <c r="T116">
        <v>10.666666666666666</v>
      </c>
      <c r="U116">
        <v>4</v>
      </c>
      <c r="V116">
        <v>7.333333333333333</v>
      </c>
    </row>
    <row r="117" spans="11:22" x14ac:dyDescent="0.25">
      <c r="K117">
        <v>2490</v>
      </c>
      <c r="L117">
        <v>1</v>
      </c>
      <c r="M117">
        <v>15</v>
      </c>
      <c r="N117">
        <v>15</v>
      </c>
      <c r="O117" t="e">
        <v>#DIV/0!</v>
      </c>
      <c r="S117" t="s">
        <v>311</v>
      </c>
      <c r="T117">
        <v>54.333333333333343</v>
      </c>
      <c r="U117">
        <v>0</v>
      </c>
      <c r="V117">
        <v>35.066666666666663</v>
      </c>
    </row>
    <row r="118" spans="11:22" x14ac:dyDescent="0.25">
      <c r="K118">
        <v>3225</v>
      </c>
      <c r="L118">
        <v>1</v>
      </c>
      <c r="M118">
        <v>15</v>
      </c>
      <c r="N118">
        <v>15</v>
      </c>
      <c r="O118" t="e">
        <v>#DIV/0!</v>
      </c>
    </row>
    <row r="119" spans="11:22" ht="15.75" thickBot="1" x14ac:dyDescent="0.3">
      <c r="K119">
        <v>7930</v>
      </c>
      <c r="L119">
        <v>1</v>
      </c>
      <c r="M119">
        <v>13</v>
      </c>
      <c r="N119">
        <v>13</v>
      </c>
      <c r="O119" t="e">
        <v>#DIV/0!</v>
      </c>
      <c r="S119" s="86">
        <v>4140</v>
      </c>
      <c r="T119" s="86"/>
      <c r="U119" s="86"/>
      <c r="V119" s="86"/>
    </row>
    <row r="120" spans="11:22" x14ac:dyDescent="0.25">
      <c r="K120">
        <v>12920</v>
      </c>
      <c r="L120">
        <v>1</v>
      </c>
      <c r="M120">
        <v>19</v>
      </c>
      <c r="N120">
        <v>19</v>
      </c>
      <c r="O120" t="e">
        <v>#DIV/0!</v>
      </c>
      <c r="S120" t="s">
        <v>308</v>
      </c>
      <c r="T120">
        <v>3</v>
      </c>
      <c r="U120">
        <v>3</v>
      </c>
      <c r="V120">
        <v>6</v>
      </c>
    </row>
    <row r="121" spans="11:22" x14ac:dyDescent="0.25">
      <c r="K121">
        <v>4685</v>
      </c>
      <c r="L121">
        <v>1</v>
      </c>
      <c r="M121">
        <v>5</v>
      </c>
      <c r="N121">
        <v>5</v>
      </c>
      <c r="O121" t="e">
        <v>#DIV/0!</v>
      </c>
      <c r="S121" t="s">
        <v>309</v>
      </c>
      <c r="T121">
        <v>36</v>
      </c>
      <c r="U121">
        <v>12</v>
      </c>
      <c r="V121">
        <v>48</v>
      </c>
    </row>
    <row r="122" spans="11:22" x14ac:dyDescent="0.25">
      <c r="K122">
        <v>808</v>
      </c>
      <c r="L122">
        <v>1</v>
      </c>
      <c r="M122">
        <v>8</v>
      </c>
      <c r="N122">
        <v>8</v>
      </c>
      <c r="O122" t="e">
        <v>#DIV/0!</v>
      </c>
      <c r="S122" t="s">
        <v>310</v>
      </c>
      <c r="T122">
        <v>12</v>
      </c>
      <c r="U122">
        <v>4</v>
      </c>
      <c r="V122">
        <v>8</v>
      </c>
    </row>
    <row r="123" spans="11:22" x14ac:dyDescent="0.25">
      <c r="K123">
        <v>1592</v>
      </c>
      <c r="L123">
        <v>1</v>
      </c>
      <c r="M123">
        <v>4</v>
      </c>
      <c r="N123">
        <v>4</v>
      </c>
      <c r="O123" t="e">
        <v>#DIV/0!</v>
      </c>
      <c r="S123" t="s">
        <v>311</v>
      </c>
      <c r="T123">
        <v>28</v>
      </c>
      <c r="U123">
        <v>0</v>
      </c>
      <c r="V123">
        <v>30.4</v>
      </c>
    </row>
    <row r="124" spans="11:22" x14ac:dyDescent="0.25">
      <c r="K124">
        <v>14860</v>
      </c>
      <c r="L124">
        <v>1</v>
      </c>
      <c r="M124">
        <v>20</v>
      </c>
      <c r="N124">
        <v>20</v>
      </c>
      <c r="O124" t="e">
        <v>#DIV/0!</v>
      </c>
    </row>
    <row r="125" spans="11:22" ht="15.75" thickBot="1" x14ac:dyDescent="0.3">
      <c r="K125">
        <v>8040</v>
      </c>
      <c r="L125">
        <v>1</v>
      </c>
      <c r="M125">
        <v>10</v>
      </c>
      <c r="N125">
        <v>10</v>
      </c>
      <c r="O125" t="e">
        <v>#DIV/0!</v>
      </c>
      <c r="S125" s="86">
        <v>10849</v>
      </c>
      <c r="T125" s="86"/>
      <c r="U125" s="86"/>
      <c r="V125" s="86"/>
    </row>
    <row r="126" spans="11:22" x14ac:dyDescent="0.25">
      <c r="K126">
        <v>3880</v>
      </c>
      <c r="L126">
        <v>1</v>
      </c>
      <c r="M126">
        <v>20</v>
      </c>
      <c r="N126">
        <v>20</v>
      </c>
      <c r="O126" t="e">
        <v>#DIV/0!</v>
      </c>
      <c r="S126" t="s">
        <v>308</v>
      </c>
      <c r="T126">
        <v>3</v>
      </c>
      <c r="U126">
        <v>3</v>
      </c>
      <c r="V126">
        <v>6</v>
      </c>
    </row>
    <row r="127" spans="11:22" x14ac:dyDescent="0.25">
      <c r="K127">
        <v>2522</v>
      </c>
      <c r="L127">
        <v>1</v>
      </c>
      <c r="M127">
        <v>13</v>
      </c>
      <c r="N127">
        <v>13</v>
      </c>
      <c r="O127" t="e">
        <v>#DIV/0!</v>
      </c>
      <c r="S127" t="s">
        <v>309</v>
      </c>
      <c r="T127">
        <v>37</v>
      </c>
      <c r="U127">
        <v>12</v>
      </c>
      <c r="V127">
        <v>49</v>
      </c>
    </row>
    <row r="128" spans="11:22" x14ac:dyDescent="0.25">
      <c r="K128">
        <v>852</v>
      </c>
      <c r="L128">
        <v>1</v>
      </c>
      <c r="M128">
        <v>2</v>
      </c>
      <c r="N128">
        <v>2</v>
      </c>
      <c r="O128" t="e">
        <v>#DIV/0!</v>
      </c>
      <c r="S128" t="s">
        <v>310</v>
      </c>
      <c r="T128">
        <v>12.333333333333334</v>
      </c>
      <c r="U128">
        <v>4</v>
      </c>
      <c r="V128">
        <v>8.1666666666666661</v>
      </c>
    </row>
    <row r="129" spans="11:22" x14ac:dyDescent="0.25">
      <c r="K129">
        <v>1185</v>
      </c>
      <c r="L129">
        <v>1</v>
      </c>
      <c r="M129">
        <v>5</v>
      </c>
      <c r="N129">
        <v>5</v>
      </c>
      <c r="O129" t="e">
        <v>#DIV/0!</v>
      </c>
      <c r="S129" t="s">
        <v>311</v>
      </c>
      <c r="T129">
        <v>82.333333333333343</v>
      </c>
      <c r="U129">
        <v>0</v>
      </c>
      <c r="V129">
        <v>53.766666666666666</v>
      </c>
    </row>
    <row r="130" spans="11:22" x14ac:dyDescent="0.25">
      <c r="K130">
        <v>1836</v>
      </c>
      <c r="L130">
        <v>1</v>
      </c>
      <c r="M130">
        <v>12</v>
      </c>
      <c r="N130">
        <v>12</v>
      </c>
      <c r="O130" t="e">
        <v>#DIV/0!</v>
      </c>
    </row>
    <row r="131" spans="11:22" ht="15.75" thickBot="1" x14ac:dyDescent="0.3">
      <c r="K131">
        <v>3835</v>
      </c>
      <c r="L131">
        <v>1</v>
      </c>
      <c r="M131">
        <v>5</v>
      </c>
      <c r="N131">
        <v>5</v>
      </c>
      <c r="O131" t="e">
        <v>#DIV/0!</v>
      </c>
      <c r="S131" s="86">
        <v>9622</v>
      </c>
      <c r="T131" s="86"/>
      <c r="U131" s="86"/>
      <c r="V131" s="86"/>
    </row>
    <row r="132" spans="11:22" x14ac:dyDescent="0.25">
      <c r="K132">
        <v>2460</v>
      </c>
      <c r="L132">
        <v>1</v>
      </c>
      <c r="M132">
        <v>12</v>
      </c>
      <c r="N132">
        <v>12</v>
      </c>
      <c r="O132" t="e">
        <v>#DIV/0!</v>
      </c>
      <c r="S132" t="s">
        <v>308</v>
      </c>
      <c r="T132">
        <v>3</v>
      </c>
      <c r="U132">
        <v>3</v>
      </c>
      <c r="V132">
        <v>6</v>
      </c>
    </row>
    <row r="133" spans="11:22" x14ac:dyDescent="0.25">
      <c r="K133">
        <v>3941</v>
      </c>
      <c r="L133">
        <v>1</v>
      </c>
      <c r="M133">
        <v>7</v>
      </c>
      <c r="N133">
        <v>7</v>
      </c>
      <c r="O133" t="e">
        <v>#DIV/0!</v>
      </c>
      <c r="S133" t="s">
        <v>309</v>
      </c>
      <c r="T133">
        <v>41</v>
      </c>
      <c r="U133">
        <v>12</v>
      </c>
      <c r="V133">
        <v>53</v>
      </c>
    </row>
    <row r="134" spans="11:22" x14ac:dyDescent="0.25">
      <c r="S134" t="s">
        <v>310</v>
      </c>
      <c r="T134">
        <v>13.666666666666666</v>
      </c>
      <c r="U134">
        <v>4</v>
      </c>
      <c r="V134">
        <v>8.8333333333333339</v>
      </c>
    </row>
    <row r="135" spans="11:22" ht="15.75" thickBot="1" x14ac:dyDescent="0.3">
      <c r="K135" s="82">
        <v>18</v>
      </c>
      <c r="L135" s="82">
        <v>99</v>
      </c>
      <c r="M135" s="82">
        <v>979</v>
      </c>
      <c r="N135" s="82">
        <v>9.8888888888888893</v>
      </c>
      <c r="O135" s="82">
        <v>31.038548752834462</v>
      </c>
      <c r="S135" t="s">
        <v>311</v>
      </c>
      <c r="T135">
        <v>72.333333333333314</v>
      </c>
      <c r="U135">
        <v>0</v>
      </c>
      <c r="V135">
        <v>56.966666666666661</v>
      </c>
    </row>
    <row r="137" spans="11:22" ht="15.75" thickBot="1" x14ac:dyDescent="0.3">
      <c r="S137" s="86">
        <v>11865</v>
      </c>
      <c r="T137" s="86"/>
      <c r="U137" s="86"/>
      <c r="V137" s="86"/>
    </row>
    <row r="138" spans="11:22" ht="15.75" thickBot="1" x14ac:dyDescent="0.3">
      <c r="K138" t="s">
        <v>304</v>
      </c>
      <c r="S138" t="s">
        <v>308</v>
      </c>
      <c r="T138">
        <v>3</v>
      </c>
      <c r="U138">
        <v>3</v>
      </c>
      <c r="V138">
        <v>6</v>
      </c>
    </row>
    <row r="139" spans="11:22" x14ac:dyDescent="0.25">
      <c r="K139" s="83" t="s">
        <v>312</v>
      </c>
      <c r="L139" s="83" t="s">
        <v>313</v>
      </c>
      <c r="M139" s="83" t="s">
        <v>314</v>
      </c>
      <c r="N139" s="83" t="s">
        <v>315</v>
      </c>
      <c r="O139" s="83" t="s">
        <v>316</v>
      </c>
      <c r="P139" s="83" t="s">
        <v>317</v>
      </c>
      <c r="Q139" s="83" t="s">
        <v>318</v>
      </c>
      <c r="S139" t="s">
        <v>309</v>
      </c>
      <c r="T139">
        <v>45</v>
      </c>
      <c r="U139">
        <v>12</v>
      </c>
      <c r="V139">
        <v>57</v>
      </c>
    </row>
    <row r="140" spans="11:22" x14ac:dyDescent="0.25">
      <c r="K140" t="s">
        <v>323</v>
      </c>
      <c r="L140">
        <v>3041.7777777777783</v>
      </c>
      <c r="M140">
        <v>98</v>
      </c>
      <c r="N140">
        <v>31.038548752834473</v>
      </c>
      <c r="O140">
        <v>65535</v>
      </c>
      <c r="P140" t="e">
        <v>#NUM!</v>
      </c>
      <c r="Q140" t="e">
        <v>#NUM!</v>
      </c>
      <c r="S140" t="s">
        <v>310</v>
      </c>
      <c r="T140">
        <v>15</v>
      </c>
      <c r="U140">
        <v>4</v>
      </c>
      <c r="V140">
        <v>9.5</v>
      </c>
    </row>
    <row r="141" spans="11:22" x14ac:dyDescent="0.25">
      <c r="K141" t="s">
        <v>324</v>
      </c>
      <c r="L141">
        <v>0</v>
      </c>
      <c r="M141">
        <v>0</v>
      </c>
      <c r="N141">
        <v>65535</v>
      </c>
      <c r="O141">
        <v>65535</v>
      </c>
      <c r="P141" t="e">
        <v>#NUM!</v>
      </c>
      <c r="Q141" t="e">
        <v>#NUM!</v>
      </c>
      <c r="S141" t="s">
        <v>311</v>
      </c>
      <c r="T141">
        <v>4</v>
      </c>
      <c r="U141">
        <v>0</v>
      </c>
      <c r="V141">
        <v>37.9</v>
      </c>
    </row>
    <row r="142" spans="11:22" x14ac:dyDescent="0.25">
      <c r="K142" t="s">
        <v>325</v>
      </c>
      <c r="L142">
        <v>0</v>
      </c>
      <c r="M142">
        <v>0</v>
      </c>
      <c r="N142">
        <v>65535</v>
      </c>
    </row>
    <row r="143" spans="11:22" ht="15.75" thickBot="1" x14ac:dyDescent="0.3">
      <c r="S143" s="86">
        <v>8697</v>
      </c>
      <c r="T143" s="86"/>
      <c r="U143" s="86"/>
      <c r="V143" s="86"/>
    </row>
    <row r="144" spans="11:22" ht="15.75" thickBot="1" x14ac:dyDescent="0.3">
      <c r="K144" s="82" t="s">
        <v>321</v>
      </c>
      <c r="L144" s="82">
        <v>3041.7777777777783</v>
      </c>
      <c r="M144" s="82">
        <v>98</v>
      </c>
      <c r="N144" s="82"/>
      <c r="O144" s="82"/>
      <c r="P144" s="82"/>
      <c r="Q144" s="82"/>
      <c r="S144" t="s">
        <v>308</v>
      </c>
      <c r="T144">
        <v>3</v>
      </c>
      <c r="U144">
        <v>3</v>
      </c>
      <c r="V144">
        <v>6</v>
      </c>
    </row>
    <row r="145" spans="19:22" x14ac:dyDescent="0.25">
      <c r="S145" t="s">
        <v>309</v>
      </c>
      <c r="T145">
        <v>41</v>
      </c>
      <c r="U145">
        <v>12</v>
      </c>
      <c r="V145">
        <v>53</v>
      </c>
    </row>
    <row r="146" spans="19:22" x14ac:dyDescent="0.25">
      <c r="S146" t="s">
        <v>310</v>
      </c>
      <c r="T146">
        <v>13.666666666666666</v>
      </c>
      <c r="U146">
        <v>4</v>
      </c>
      <c r="V146">
        <v>8.8333333333333339</v>
      </c>
    </row>
    <row r="147" spans="19:22" x14ac:dyDescent="0.25">
      <c r="S147" t="s">
        <v>311</v>
      </c>
      <c r="T147">
        <v>9.3333333333333144</v>
      </c>
      <c r="U147">
        <v>0</v>
      </c>
      <c r="V147">
        <v>31.766666666666662</v>
      </c>
    </row>
    <row r="149" spans="19:22" ht="15.75" thickBot="1" x14ac:dyDescent="0.3">
      <c r="S149" s="86">
        <v>632</v>
      </c>
      <c r="T149" s="86"/>
      <c r="U149" s="86"/>
      <c r="V149" s="86"/>
    </row>
    <row r="150" spans="19:22" x14ac:dyDescent="0.25">
      <c r="S150" t="s">
        <v>308</v>
      </c>
      <c r="T150">
        <v>3</v>
      </c>
      <c r="U150">
        <v>3</v>
      </c>
      <c r="V150">
        <v>6</v>
      </c>
    </row>
    <row r="151" spans="19:22" x14ac:dyDescent="0.25">
      <c r="S151" t="s">
        <v>309</v>
      </c>
      <c r="T151">
        <v>13</v>
      </c>
      <c r="U151">
        <v>12</v>
      </c>
      <c r="V151">
        <v>25</v>
      </c>
    </row>
    <row r="152" spans="19:22" x14ac:dyDescent="0.25">
      <c r="S152" t="s">
        <v>310</v>
      </c>
      <c r="T152">
        <v>4.333333333333333</v>
      </c>
      <c r="U152">
        <v>4</v>
      </c>
      <c r="V152">
        <v>4.166666666666667</v>
      </c>
    </row>
    <row r="153" spans="19:22" x14ac:dyDescent="0.25">
      <c r="S153" t="s">
        <v>311</v>
      </c>
      <c r="T153">
        <v>17.333333333333332</v>
      </c>
      <c r="U153">
        <v>0</v>
      </c>
      <c r="V153">
        <v>6.9666666666666659</v>
      </c>
    </row>
    <row r="155" spans="19:22" ht="15.75" thickBot="1" x14ac:dyDescent="0.3">
      <c r="S155" s="86">
        <v>636</v>
      </c>
      <c r="T155" s="86"/>
      <c r="U155" s="86"/>
      <c r="V155" s="86"/>
    </row>
    <row r="156" spans="19:22" x14ac:dyDescent="0.25">
      <c r="S156" t="s">
        <v>308</v>
      </c>
      <c r="T156">
        <v>3</v>
      </c>
      <c r="U156">
        <v>3</v>
      </c>
      <c r="V156">
        <v>6</v>
      </c>
    </row>
    <row r="157" spans="19:22" x14ac:dyDescent="0.25">
      <c r="S157" t="s">
        <v>309</v>
      </c>
      <c r="T157">
        <v>17</v>
      </c>
      <c r="U157">
        <v>12</v>
      </c>
      <c r="V157">
        <v>29</v>
      </c>
    </row>
    <row r="158" spans="19:22" x14ac:dyDescent="0.25">
      <c r="S158" t="s">
        <v>310</v>
      </c>
      <c r="T158">
        <v>5.666666666666667</v>
      </c>
      <c r="U158">
        <v>4</v>
      </c>
      <c r="V158">
        <v>4.833333333333333</v>
      </c>
    </row>
    <row r="159" spans="19:22" x14ac:dyDescent="0.25">
      <c r="S159" t="s">
        <v>311</v>
      </c>
      <c r="T159">
        <v>16.333333333333336</v>
      </c>
      <c r="U159">
        <v>0</v>
      </c>
      <c r="V159">
        <v>7.3666666666666689</v>
      </c>
    </row>
    <row r="161" spans="19:22" ht="15.75" thickBot="1" x14ac:dyDescent="0.3">
      <c r="S161" s="86">
        <v>6040</v>
      </c>
      <c r="T161" s="86"/>
      <c r="U161" s="86"/>
      <c r="V161" s="86"/>
    </row>
    <row r="162" spans="19:22" x14ac:dyDescent="0.25">
      <c r="S162" t="s">
        <v>308</v>
      </c>
      <c r="T162">
        <v>3</v>
      </c>
      <c r="U162">
        <v>3</v>
      </c>
      <c r="V162">
        <v>6</v>
      </c>
    </row>
    <row r="163" spans="19:22" x14ac:dyDescent="0.25">
      <c r="S163" t="s">
        <v>309</v>
      </c>
      <c r="T163">
        <v>33</v>
      </c>
      <c r="U163">
        <v>12</v>
      </c>
      <c r="V163">
        <v>45</v>
      </c>
    </row>
    <row r="164" spans="19:22" x14ac:dyDescent="0.25">
      <c r="S164" t="s">
        <v>310</v>
      </c>
      <c r="T164">
        <v>11</v>
      </c>
      <c r="U164">
        <v>4</v>
      </c>
      <c r="V164">
        <v>7.5</v>
      </c>
    </row>
    <row r="165" spans="19:22" x14ac:dyDescent="0.25">
      <c r="S165" t="s">
        <v>311</v>
      </c>
      <c r="T165">
        <v>67</v>
      </c>
      <c r="U165">
        <v>0</v>
      </c>
      <c r="V165">
        <v>41.5</v>
      </c>
    </row>
    <row r="167" spans="19:22" ht="15.75" thickBot="1" x14ac:dyDescent="0.3">
      <c r="S167" s="86">
        <v>2968</v>
      </c>
      <c r="T167" s="86"/>
      <c r="U167" s="86"/>
      <c r="V167" s="86"/>
    </row>
    <row r="168" spans="19:22" x14ac:dyDescent="0.25">
      <c r="S168" t="s">
        <v>308</v>
      </c>
      <c r="T168">
        <v>3</v>
      </c>
      <c r="U168">
        <v>3</v>
      </c>
      <c r="V168">
        <v>6</v>
      </c>
    </row>
    <row r="169" spans="19:22" x14ac:dyDescent="0.25">
      <c r="S169" t="s">
        <v>309</v>
      </c>
      <c r="T169">
        <v>27</v>
      </c>
      <c r="U169">
        <v>12</v>
      </c>
      <c r="V169">
        <v>39</v>
      </c>
    </row>
    <row r="170" spans="19:22" x14ac:dyDescent="0.25">
      <c r="S170" t="s">
        <v>310</v>
      </c>
      <c r="T170">
        <v>9</v>
      </c>
      <c r="U170">
        <v>4</v>
      </c>
      <c r="V170">
        <v>6.5</v>
      </c>
    </row>
    <row r="171" spans="19:22" x14ac:dyDescent="0.25">
      <c r="S171" t="s">
        <v>311</v>
      </c>
      <c r="T171">
        <v>21</v>
      </c>
      <c r="U171">
        <v>0</v>
      </c>
      <c r="V171">
        <v>15.9</v>
      </c>
    </row>
    <row r="173" spans="19:22" ht="15.75" thickBot="1" x14ac:dyDescent="0.3">
      <c r="S173" s="86">
        <v>6464</v>
      </c>
      <c r="T173" s="86"/>
      <c r="U173" s="86"/>
      <c r="V173" s="86"/>
    </row>
    <row r="174" spans="19:22" x14ac:dyDescent="0.25">
      <c r="S174" t="s">
        <v>308</v>
      </c>
      <c r="T174">
        <v>3</v>
      </c>
      <c r="U174">
        <v>3</v>
      </c>
      <c r="V174">
        <v>6</v>
      </c>
    </row>
    <row r="175" spans="19:22" x14ac:dyDescent="0.25">
      <c r="S175" t="s">
        <v>309</v>
      </c>
      <c r="T175">
        <v>36</v>
      </c>
      <c r="U175">
        <v>12</v>
      </c>
      <c r="V175">
        <v>48</v>
      </c>
    </row>
    <row r="176" spans="19:22" x14ac:dyDescent="0.25">
      <c r="S176" t="s">
        <v>310</v>
      </c>
      <c r="T176">
        <v>12</v>
      </c>
      <c r="U176">
        <v>4</v>
      </c>
      <c r="V176">
        <v>8</v>
      </c>
    </row>
    <row r="177" spans="19:22" x14ac:dyDescent="0.25">
      <c r="S177" t="s">
        <v>311</v>
      </c>
      <c r="T177">
        <v>13</v>
      </c>
      <c r="U177">
        <v>0</v>
      </c>
      <c r="V177">
        <v>24.4</v>
      </c>
    </row>
    <row r="179" spans="19:22" ht="15.75" thickBot="1" x14ac:dyDescent="0.3">
      <c r="S179" s="86">
        <v>16321</v>
      </c>
      <c r="T179" s="86"/>
      <c r="U179" s="86"/>
      <c r="V179" s="86"/>
    </row>
    <row r="180" spans="19:22" x14ac:dyDescent="0.25">
      <c r="S180" t="s">
        <v>308</v>
      </c>
      <c r="T180">
        <v>3</v>
      </c>
      <c r="U180">
        <v>3</v>
      </c>
      <c r="V180">
        <v>6</v>
      </c>
    </row>
    <row r="181" spans="19:22" x14ac:dyDescent="0.25">
      <c r="S181" t="s">
        <v>309</v>
      </c>
      <c r="T181">
        <v>46</v>
      </c>
      <c r="U181">
        <v>12</v>
      </c>
      <c r="V181">
        <v>58</v>
      </c>
    </row>
    <row r="182" spans="19:22" x14ac:dyDescent="0.25">
      <c r="S182" t="s">
        <v>310</v>
      </c>
      <c r="T182">
        <v>15.333333333333334</v>
      </c>
      <c r="U182">
        <v>4</v>
      </c>
      <c r="V182">
        <v>9.6666666666666661</v>
      </c>
    </row>
    <row r="183" spans="19:22" x14ac:dyDescent="0.25">
      <c r="S183" t="s">
        <v>311</v>
      </c>
      <c r="T183">
        <v>40.333333333333314</v>
      </c>
      <c r="U183">
        <v>0</v>
      </c>
      <c r="V183">
        <v>54.666666666666671</v>
      </c>
    </row>
    <row r="185" spans="19:22" ht="15.75" thickBot="1" x14ac:dyDescent="0.3">
      <c r="S185" s="86">
        <v>8604</v>
      </c>
      <c r="T185" s="86"/>
      <c r="U185" s="86"/>
      <c r="V185" s="86"/>
    </row>
    <row r="186" spans="19:22" x14ac:dyDescent="0.25">
      <c r="S186" t="s">
        <v>308</v>
      </c>
      <c r="T186">
        <v>3</v>
      </c>
      <c r="U186">
        <v>3</v>
      </c>
      <c r="V186">
        <v>6</v>
      </c>
    </row>
    <row r="187" spans="19:22" x14ac:dyDescent="0.25">
      <c r="S187" t="s">
        <v>309</v>
      </c>
      <c r="T187">
        <v>30</v>
      </c>
      <c r="U187">
        <v>12</v>
      </c>
      <c r="V187">
        <v>42</v>
      </c>
    </row>
    <row r="188" spans="19:22" x14ac:dyDescent="0.25">
      <c r="S188" t="s">
        <v>310</v>
      </c>
      <c r="T188">
        <v>10</v>
      </c>
      <c r="U188">
        <v>4</v>
      </c>
      <c r="V188">
        <v>7</v>
      </c>
    </row>
    <row r="189" spans="19:22" x14ac:dyDescent="0.25">
      <c r="S189" t="s">
        <v>311</v>
      </c>
      <c r="T189">
        <v>49</v>
      </c>
      <c r="U189">
        <v>0</v>
      </c>
      <c r="V189">
        <v>30.4</v>
      </c>
    </row>
    <row r="191" spans="19:22" ht="15.75" thickBot="1" x14ac:dyDescent="0.3">
      <c r="S191" s="86">
        <v>1694</v>
      </c>
      <c r="T191" s="86"/>
      <c r="U191" s="86"/>
      <c r="V191" s="86"/>
    </row>
    <row r="192" spans="19:22" x14ac:dyDescent="0.25">
      <c r="S192" t="s">
        <v>308</v>
      </c>
      <c r="T192">
        <v>3</v>
      </c>
      <c r="U192">
        <v>3</v>
      </c>
      <c r="V192">
        <v>6</v>
      </c>
    </row>
    <row r="193" spans="19:22" x14ac:dyDescent="0.25">
      <c r="S193" t="s">
        <v>309</v>
      </c>
      <c r="T193">
        <v>30</v>
      </c>
      <c r="U193">
        <v>12</v>
      </c>
      <c r="V193">
        <v>42</v>
      </c>
    </row>
    <row r="194" spans="19:22" x14ac:dyDescent="0.25">
      <c r="S194" t="s">
        <v>310</v>
      </c>
      <c r="T194">
        <v>10</v>
      </c>
      <c r="U194">
        <v>4</v>
      </c>
      <c r="V194">
        <v>7</v>
      </c>
    </row>
    <row r="195" spans="19:22" x14ac:dyDescent="0.25">
      <c r="S195" t="s">
        <v>311</v>
      </c>
      <c r="T195">
        <v>1</v>
      </c>
      <c r="U195">
        <v>0</v>
      </c>
      <c r="V195">
        <v>11.2</v>
      </c>
    </row>
    <row r="197" spans="19:22" ht="15.75" thickBot="1" x14ac:dyDescent="0.3">
      <c r="S197" s="86">
        <v>1220</v>
      </c>
      <c r="T197" s="86"/>
      <c r="U197" s="86"/>
      <c r="V197" s="86"/>
    </row>
    <row r="198" spans="19:22" x14ac:dyDescent="0.25">
      <c r="S198" t="s">
        <v>308</v>
      </c>
      <c r="T198">
        <v>3</v>
      </c>
      <c r="U198">
        <v>3</v>
      </c>
      <c r="V198">
        <v>6</v>
      </c>
    </row>
    <row r="199" spans="19:22" x14ac:dyDescent="0.25">
      <c r="S199" t="s">
        <v>309</v>
      </c>
      <c r="T199">
        <v>35</v>
      </c>
      <c r="U199">
        <v>12</v>
      </c>
      <c r="V199">
        <v>47</v>
      </c>
    </row>
    <row r="200" spans="19:22" x14ac:dyDescent="0.25">
      <c r="S200" t="s">
        <v>310</v>
      </c>
      <c r="T200">
        <v>11.666666666666666</v>
      </c>
      <c r="U200">
        <v>4</v>
      </c>
      <c r="V200">
        <v>7.833333333333333</v>
      </c>
    </row>
    <row r="201" spans="19:22" x14ac:dyDescent="0.25">
      <c r="S201" t="s">
        <v>311</v>
      </c>
      <c r="T201">
        <v>33.333333333333343</v>
      </c>
      <c r="U201">
        <v>0</v>
      </c>
      <c r="V201">
        <v>30.966666666666661</v>
      </c>
    </row>
    <row r="203" spans="19:22" ht="15.75" thickBot="1" x14ac:dyDescent="0.3">
      <c r="S203" s="86">
        <v>7930</v>
      </c>
      <c r="T203" s="86"/>
      <c r="U203" s="86"/>
      <c r="V203" s="86"/>
    </row>
    <row r="204" spans="19:22" x14ac:dyDescent="0.25">
      <c r="S204" t="s">
        <v>308</v>
      </c>
      <c r="T204">
        <v>3</v>
      </c>
      <c r="U204">
        <v>3</v>
      </c>
      <c r="V204">
        <v>6</v>
      </c>
    </row>
    <row r="205" spans="19:22" x14ac:dyDescent="0.25">
      <c r="S205" t="s">
        <v>309</v>
      </c>
      <c r="T205">
        <v>37</v>
      </c>
      <c r="U205">
        <v>12</v>
      </c>
      <c r="V205">
        <v>49</v>
      </c>
    </row>
    <row r="206" spans="19:22" x14ac:dyDescent="0.25">
      <c r="S206" t="s">
        <v>310</v>
      </c>
      <c r="T206">
        <v>12.333333333333334</v>
      </c>
      <c r="U206">
        <v>4</v>
      </c>
      <c r="V206">
        <v>8.1666666666666661</v>
      </c>
    </row>
    <row r="207" spans="19:22" x14ac:dyDescent="0.25">
      <c r="S207" t="s">
        <v>311</v>
      </c>
      <c r="T207">
        <v>49.333333333333343</v>
      </c>
      <c r="U207">
        <v>0</v>
      </c>
      <c r="V207">
        <v>40.566666666666663</v>
      </c>
    </row>
    <row r="209" spans="19:22" ht="15.75" thickBot="1" x14ac:dyDescent="0.3">
      <c r="S209" s="86">
        <v>808</v>
      </c>
      <c r="T209" s="86"/>
      <c r="U209" s="86"/>
      <c r="V209" s="86"/>
    </row>
    <row r="210" spans="19:22" x14ac:dyDescent="0.25">
      <c r="S210" t="s">
        <v>308</v>
      </c>
      <c r="T210">
        <v>3</v>
      </c>
      <c r="U210">
        <v>3</v>
      </c>
      <c r="V210">
        <v>6</v>
      </c>
    </row>
    <row r="211" spans="19:22" x14ac:dyDescent="0.25">
      <c r="S211" t="s">
        <v>309</v>
      </c>
      <c r="T211">
        <v>32</v>
      </c>
      <c r="U211">
        <v>12</v>
      </c>
      <c r="V211">
        <v>44</v>
      </c>
    </row>
    <row r="212" spans="19:22" x14ac:dyDescent="0.25">
      <c r="S212" t="s">
        <v>310</v>
      </c>
      <c r="T212">
        <v>10.666666666666666</v>
      </c>
      <c r="U212">
        <v>4</v>
      </c>
      <c r="V212">
        <v>7.333333333333333</v>
      </c>
    </row>
    <row r="213" spans="19:22" x14ac:dyDescent="0.25">
      <c r="S213" t="s">
        <v>311</v>
      </c>
      <c r="T213">
        <v>69.333333333333343</v>
      </c>
      <c r="U213">
        <v>0</v>
      </c>
      <c r="V213">
        <v>41.066666666666663</v>
      </c>
    </row>
    <row r="215" spans="19:22" ht="15.75" thickBot="1" x14ac:dyDescent="0.3">
      <c r="S215" s="86">
        <v>8040</v>
      </c>
      <c r="T215" s="86"/>
      <c r="U215" s="86"/>
      <c r="V215" s="86"/>
    </row>
    <row r="216" spans="19:22" x14ac:dyDescent="0.25">
      <c r="S216" t="s">
        <v>308</v>
      </c>
      <c r="T216">
        <v>3</v>
      </c>
      <c r="U216">
        <v>3</v>
      </c>
      <c r="V216">
        <v>6</v>
      </c>
    </row>
    <row r="217" spans="19:22" x14ac:dyDescent="0.25">
      <c r="S217" t="s">
        <v>309</v>
      </c>
      <c r="T217">
        <v>43</v>
      </c>
      <c r="U217">
        <v>12</v>
      </c>
      <c r="V217">
        <v>55</v>
      </c>
    </row>
    <row r="218" spans="19:22" x14ac:dyDescent="0.25">
      <c r="S218" t="s">
        <v>310</v>
      </c>
      <c r="T218">
        <v>14.333333333333334</v>
      </c>
      <c r="U218">
        <v>4</v>
      </c>
      <c r="V218">
        <v>9.1666666666666661</v>
      </c>
    </row>
    <row r="219" spans="19:22" x14ac:dyDescent="0.25">
      <c r="S219" t="s">
        <v>311</v>
      </c>
      <c r="T219">
        <v>26.333333333333314</v>
      </c>
      <c r="U219">
        <v>0</v>
      </c>
      <c r="V219">
        <v>42.566666666666663</v>
      </c>
    </row>
    <row r="221" spans="19:22" ht="15.75" thickBot="1" x14ac:dyDescent="0.3">
      <c r="S221" s="86">
        <v>852</v>
      </c>
      <c r="T221" s="86"/>
      <c r="U221" s="86"/>
      <c r="V221" s="86"/>
    </row>
    <row r="222" spans="19:22" x14ac:dyDescent="0.25">
      <c r="S222" t="s">
        <v>308</v>
      </c>
      <c r="T222">
        <v>3</v>
      </c>
      <c r="U222">
        <v>3</v>
      </c>
      <c r="V222">
        <v>6</v>
      </c>
    </row>
    <row r="223" spans="19:22" x14ac:dyDescent="0.25">
      <c r="S223" t="s">
        <v>309</v>
      </c>
      <c r="T223">
        <v>19</v>
      </c>
      <c r="U223">
        <v>12</v>
      </c>
      <c r="V223">
        <v>31</v>
      </c>
    </row>
    <row r="224" spans="19:22" x14ac:dyDescent="0.25">
      <c r="S224" t="s">
        <v>310</v>
      </c>
      <c r="T224">
        <v>6.333333333333333</v>
      </c>
      <c r="U224">
        <v>4</v>
      </c>
      <c r="V224">
        <v>5.166666666666667</v>
      </c>
    </row>
    <row r="225" spans="19:53" x14ac:dyDescent="0.25">
      <c r="S225" t="s">
        <v>311</v>
      </c>
      <c r="T225">
        <v>26.333333333333336</v>
      </c>
      <c r="U225">
        <v>0</v>
      </c>
      <c r="V225">
        <v>12.166666666666668</v>
      </c>
    </row>
    <row r="227" spans="19:53" ht="15.75" thickBot="1" x14ac:dyDescent="0.3">
      <c r="S227" s="86">
        <v>3835</v>
      </c>
      <c r="T227" s="86"/>
      <c r="U227" s="86"/>
      <c r="V227" s="86"/>
    </row>
    <row r="228" spans="19:53" x14ac:dyDescent="0.25">
      <c r="S228" t="s">
        <v>308</v>
      </c>
      <c r="T228">
        <v>3</v>
      </c>
      <c r="U228">
        <v>3</v>
      </c>
      <c r="V228">
        <v>6</v>
      </c>
    </row>
    <row r="229" spans="19:53" x14ac:dyDescent="0.25">
      <c r="S229" t="s">
        <v>309</v>
      </c>
      <c r="T229">
        <v>24</v>
      </c>
      <c r="U229">
        <v>12</v>
      </c>
      <c r="V229">
        <v>36</v>
      </c>
    </row>
    <row r="230" spans="19:53" x14ac:dyDescent="0.25">
      <c r="S230" t="s">
        <v>310</v>
      </c>
      <c r="T230">
        <v>8</v>
      </c>
      <c r="U230">
        <v>4</v>
      </c>
      <c r="V230">
        <v>6</v>
      </c>
    </row>
    <row r="231" spans="19:53" x14ac:dyDescent="0.25">
      <c r="S231" t="s">
        <v>311</v>
      </c>
      <c r="T231">
        <v>13</v>
      </c>
      <c r="U231">
        <v>0</v>
      </c>
      <c r="V231">
        <v>10</v>
      </c>
    </row>
    <row r="233" spans="19:53" ht="15.75" thickBot="1" x14ac:dyDescent="0.3">
      <c r="S233" s="86" t="s">
        <v>321</v>
      </c>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row>
    <row r="234" spans="19:53" x14ac:dyDescent="0.25">
      <c r="S234" t="s">
        <v>308</v>
      </c>
      <c r="T234">
        <v>99</v>
      </c>
      <c r="U234">
        <v>99</v>
      </c>
    </row>
    <row r="235" spans="19:53" x14ac:dyDescent="0.25">
      <c r="S235" t="s">
        <v>309</v>
      </c>
      <c r="T235">
        <v>979</v>
      </c>
      <c r="U235">
        <v>396</v>
      </c>
    </row>
    <row r="236" spans="19:53" x14ac:dyDescent="0.25">
      <c r="S236" t="s">
        <v>310</v>
      </c>
      <c r="T236">
        <v>9.8888888888888893</v>
      </c>
      <c r="U236">
        <v>4</v>
      </c>
    </row>
    <row r="237" spans="19:53" x14ac:dyDescent="0.25">
      <c r="S237" t="s">
        <v>311</v>
      </c>
      <c r="T237">
        <v>31.038548752834462</v>
      </c>
      <c r="U237">
        <v>0</v>
      </c>
    </row>
    <row r="240" spans="19:53" ht="15.75" thickBot="1" x14ac:dyDescent="0.3">
      <c r="S240" t="s">
        <v>304</v>
      </c>
    </row>
    <row r="241" spans="19:25" x14ac:dyDescent="0.25">
      <c r="S241" s="83" t="s">
        <v>312</v>
      </c>
      <c r="T241" s="83" t="s">
        <v>313</v>
      </c>
      <c r="U241" s="83" t="s">
        <v>314</v>
      </c>
      <c r="V241" s="83" t="s">
        <v>315</v>
      </c>
      <c r="W241" s="83" t="s">
        <v>316</v>
      </c>
      <c r="X241" s="83" t="s">
        <v>317</v>
      </c>
      <c r="Y241" s="83" t="s">
        <v>318</v>
      </c>
    </row>
    <row r="242" spans="19:25" x14ac:dyDescent="0.25">
      <c r="S242" t="s">
        <v>342</v>
      </c>
      <c r="T242">
        <v>511.22222222222445</v>
      </c>
      <c r="U242">
        <v>32</v>
      </c>
      <c r="V242">
        <v>15.975694444444514</v>
      </c>
      <c r="W242">
        <v>1.0443009243974952</v>
      </c>
      <c r="X242">
        <v>0.41589003137218694</v>
      </c>
      <c r="Y242">
        <v>1.5313680889996968</v>
      </c>
    </row>
    <row r="243" spans="19:25" x14ac:dyDescent="0.25">
      <c r="S243" t="s">
        <v>324</v>
      </c>
      <c r="T243">
        <v>1716.6111111111131</v>
      </c>
      <c r="U243">
        <v>1</v>
      </c>
      <c r="V243">
        <v>1716.6111111111131</v>
      </c>
      <c r="W243">
        <v>112.21162099702882</v>
      </c>
      <c r="X243">
        <v>2.3510568738109214E-19</v>
      </c>
      <c r="Y243">
        <v>3.9128750284215887</v>
      </c>
    </row>
    <row r="244" spans="19:25" x14ac:dyDescent="0.25">
      <c r="S244" t="s">
        <v>343</v>
      </c>
      <c r="T244">
        <v>511.2222222222199</v>
      </c>
      <c r="U244">
        <v>32</v>
      </c>
      <c r="V244">
        <v>15.975694444444372</v>
      </c>
      <c r="W244">
        <v>1.0443009243974859</v>
      </c>
      <c r="X244">
        <v>0.41589003137219971</v>
      </c>
      <c r="Y244">
        <v>1.5313680889996968</v>
      </c>
    </row>
    <row r="245" spans="19:25" x14ac:dyDescent="0.25">
      <c r="S245" t="s">
        <v>344</v>
      </c>
      <c r="T245">
        <v>2019.3333333333339</v>
      </c>
      <c r="U245">
        <v>132</v>
      </c>
      <c r="V245">
        <v>15.297979797979803</v>
      </c>
    </row>
    <row r="247" spans="19:25" ht="15.75" thickBot="1" x14ac:dyDescent="0.3">
      <c r="S247" s="82" t="s">
        <v>321</v>
      </c>
      <c r="T247" s="82">
        <v>4758.3888888888914</v>
      </c>
      <c r="U247" s="82">
        <v>197</v>
      </c>
      <c r="V247" s="82"/>
      <c r="W247" s="82"/>
      <c r="X247" s="82"/>
      <c r="Y247" s="82"/>
    </row>
  </sheetData>
  <phoneticPr fontId="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FBA51-9535-4859-8C8F-C2FC4A196E1A}">
  <sheetPr codeName="Sheet13"/>
  <dimension ref="A1"/>
  <sheetViews>
    <sheetView workbookViewId="0">
      <selection activeCell="Y15" sqref="Y15"/>
    </sheetView>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2EEC-EE80-4E8D-B533-A8861545F92F}">
  <sheetPr codeName="Sheet14"/>
  <dimension ref="A3:Y40"/>
  <sheetViews>
    <sheetView topLeftCell="B1" workbookViewId="0">
      <selection activeCell="S20" sqref="S20"/>
    </sheetView>
  </sheetViews>
  <sheetFormatPr defaultRowHeight="15" x14ac:dyDescent="0.25"/>
  <cols>
    <col min="1" max="1" width="13.140625" bestFit="1" customWidth="1"/>
    <col min="2" max="2" width="20" bestFit="1" customWidth="1"/>
    <col min="3" max="5" width="7" bestFit="1" customWidth="1"/>
    <col min="6" max="6" width="11.28515625" bestFit="1" customWidth="1"/>
  </cols>
  <sheetData>
    <row r="3" spans="1:2" x14ac:dyDescent="0.25">
      <c r="A3" s="88" t="s">
        <v>367</v>
      </c>
      <c r="B3" t="s">
        <v>369</v>
      </c>
    </row>
    <row r="4" spans="1:2" x14ac:dyDescent="0.25">
      <c r="A4" s="89" t="s">
        <v>78</v>
      </c>
      <c r="B4">
        <v>110928</v>
      </c>
    </row>
    <row r="5" spans="1:2" x14ac:dyDescent="0.25">
      <c r="A5" s="89" t="s">
        <v>79</v>
      </c>
      <c r="B5">
        <v>34687</v>
      </c>
    </row>
    <row r="6" spans="1:2" x14ac:dyDescent="0.25">
      <c r="A6" s="89" t="s">
        <v>80</v>
      </c>
      <c r="B6">
        <v>55834</v>
      </c>
    </row>
    <row r="7" spans="1:2" x14ac:dyDescent="0.25">
      <c r="A7" s="89" t="s">
        <v>76</v>
      </c>
      <c r="B7">
        <v>42624</v>
      </c>
    </row>
    <row r="8" spans="1:2" x14ac:dyDescent="0.25">
      <c r="A8" s="89" t="s">
        <v>75</v>
      </c>
      <c r="B8">
        <v>120105</v>
      </c>
    </row>
    <row r="9" spans="1:2" x14ac:dyDescent="0.25">
      <c r="A9" s="89" t="s">
        <v>74</v>
      </c>
      <c r="B9">
        <v>72506</v>
      </c>
    </row>
    <row r="10" spans="1:2" x14ac:dyDescent="0.25">
      <c r="A10" s="89" t="s">
        <v>73</v>
      </c>
      <c r="B10">
        <v>52563</v>
      </c>
    </row>
    <row r="11" spans="1:2" x14ac:dyDescent="0.25">
      <c r="A11" s="89" t="s">
        <v>77</v>
      </c>
      <c r="B11">
        <v>38873</v>
      </c>
    </row>
    <row r="12" spans="1:2" x14ac:dyDescent="0.25">
      <c r="A12" s="89" t="s">
        <v>368</v>
      </c>
      <c r="B12">
        <v>528120</v>
      </c>
    </row>
    <row r="15" spans="1:2" x14ac:dyDescent="0.25">
      <c r="A15" s="88" t="s">
        <v>367</v>
      </c>
      <c r="B15" t="s">
        <v>370</v>
      </c>
    </row>
    <row r="16" spans="1:2" x14ac:dyDescent="0.25">
      <c r="A16" s="89" t="s">
        <v>85</v>
      </c>
      <c r="B16">
        <v>341</v>
      </c>
    </row>
    <row r="17" spans="1:23" x14ac:dyDescent="0.25">
      <c r="A17" s="89" t="s">
        <v>88</v>
      </c>
      <c r="B17">
        <v>252</v>
      </c>
    </row>
    <row r="18" spans="1:23" x14ac:dyDescent="0.25">
      <c r="A18" s="89" t="s">
        <v>86</v>
      </c>
      <c r="B18">
        <v>199</v>
      </c>
    </row>
    <row r="19" spans="1:23" x14ac:dyDescent="0.25">
      <c r="A19" s="89" t="s">
        <v>87</v>
      </c>
      <c r="B19">
        <v>205</v>
      </c>
    </row>
    <row r="20" spans="1:23" x14ac:dyDescent="0.25">
      <c r="A20" s="89" t="s">
        <v>368</v>
      </c>
      <c r="B20">
        <v>997</v>
      </c>
    </row>
    <row r="22" spans="1:23" x14ac:dyDescent="0.25">
      <c r="K22" t="s">
        <v>305</v>
      </c>
    </row>
    <row r="24" spans="1:23" ht="15.75" thickBot="1" x14ac:dyDescent="0.3">
      <c r="A24" s="88" t="s">
        <v>369</v>
      </c>
      <c r="B24" s="88" t="s">
        <v>371</v>
      </c>
      <c r="K24" t="s">
        <v>306</v>
      </c>
    </row>
    <row r="25" spans="1:23" x14ac:dyDescent="0.25">
      <c r="A25" s="88" t="s">
        <v>367</v>
      </c>
      <c r="B25" t="s">
        <v>85</v>
      </c>
      <c r="C25" t="s">
        <v>88</v>
      </c>
      <c r="D25" t="s">
        <v>86</v>
      </c>
      <c r="E25" t="s">
        <v>87</v>
      </c>
      <c r="F25" t="s">
        <v>368</v>
      </c>
      <c r="K25" s="83" t="s">
        <v>307</v>
      </c>
      <c r="L25" s="83" t="s">
        <v>308</v>
      </c>
      <c r="M25" s="83" t="s">
        <v>309</v>
      </c>
      <c r="N25" s="83" t="s">
        <v>310</v>
      </c>
      <c r="O25" s="83" t="s">
        <v>311</v>
      </c>
      <c r="S25" t="s">
        <v>305</v>
      </c>
    </row>
    <row r="26" spans="1:23" x14ac:dyDescent="0.25">
      <c r="A26" s="89" t="s">
        <v>84</v>
      </c>
      <c r="B26">
        <v>64286</v>
      </c>
      <c r="C26">
        <v>37639</v>
      </c>
      <c r="D26">
        <v>34494</v>
      </c>
      <c r="E26">
        <v>17133</v>
      </c>
      <c r="F26">
        <v>153552</v>
      </c>
      <c r="K26" t="s">
        <v>85</v>
      </c>
      <c r="L26">
        <v>4</v>
      </c>
      <c r="M26">
        <v>171871</v>
      </c>
      <c r="N26">
        <v>42967.75</v>
      </c>
      <c r="O26">
        <v>565081407.58333337</v>
      </c>
    </row>
    <row r="27" spans="1:23" ht="15.75" thickBot="1" x14ac:dyDescent="0.3">
      <c r="A27" s="89" t="s">
        <v>83</v>
      </c>
      <c r="B27">
        <v>58959</v>
      </c>
      <c r="C27">
        <v>23316</v>
      </c>
      <c r="D27">
        <v>35563</v>
      </c>
      <c r="E27">
        <v>41140</v>
      </c>
      <c r="F27">
        <v>158978</v>
      </c>
      <c r="K27" t="s">
        <v>88</v>
      </c>
      <c r="L27">
        <v>4</v>
      </c>
      <c r="M27">
        <v>137638</v>
      </c>
      <c r="N27">
        <v>34409.5</v>
      </c>
      <c r="O27">
        <v>130840033.66666667</v>
      </c>
      <c r="S27" t="s">
        <v>306</v>
      </c>
    </row>
    <row r="28" spans="1:23" x14ac:dyDescent="0.25">
      <c r="A28" s="89" t="s">
        <v>82</v>
      </c>
      <c r="B28">
        <v>12291</v>
      </c>
      <c r="C28">
        <v>49021</v>
      </c>
      <c r="D28">
        <v>27775</v>
      </c>
      <c r="E28">
        <v>39253</v>
      </c>
      <c r="F28">
        <v>128340</v>
      </c>
      <c r="K28" t="s">
        <v>86</v>
      </c>
      <c r="L28">
        <v>4</v>
      </c>
      <c r="M28">
        <v>110772</v>
      </c>
      <c r="N28">
        <v>27693</v>
      </c>
      <c r="O28">
        <v>108616078</v>
      </c>
      <c r="S28" s="83" t="s">
        <v>307</v>
      </c>
      <c r="T28" s="83" t="s">
        <v>308</v>
      </c>
      <c r="U28" s="83" t="s">
        <v>309</v>
      </c>
      <c r="V28" s="83" t="s">
        <v>310</v>
      </c>
      <c r="W28" s="83" t="s">
        <v>311</v>
      </c>
    </row>
    <row r="29" spans="1:23" ht="15.75" thickBot="1" x14ac:dyDescent="0.3">
      <c r="A29" s="89" t="s">
        <v>81</v>
      </c>
      <c r="B29">
        <v>36335</v>
      </c>
      <c r="C29">
        <v>27662</v>
      </c>
      <c r="D29">
        <v>12940</v>
      </c>
      <c r="E29">
        <v>10313</v>
      </c>
      <c r="F29">
        <v>87250</v>
      </c>
      <c r="K29" s="82" t="s">
        <v>87</v>
      </c>
      <c r="L29" s="82">
        <v>4</v>
      </c>
      <c r="M29" s="82">
        <v>107839</v>
      </c>
      <c r="N29" s="82">
        <v>26959.75</v>
      </c>
      <c r="O29" s="82">
        <v>241960928.91666666</v>
      </c>
      <c r="S29" t="s">
        <v>85</v>
      </c>
      <c r="T29">
        <v>4</v>
      </c>
      <c r="U29">
        <v>171871</v>
      </c>
      <c r="V29">
        <v>42967.75</v>
      </c>
      <c r="W29">
        <v>565081407.58333337</v>
      </c>
    </row>
    <row r="30" spans="1:23" x14ac:dyDescent="0.25">
      <c r="A30" s="89" t="s">
        <v>368</v>
      </c>
      <c r="B30">
        <v>171871</v>
      </c>
      <c r="C30">
        <v>137638</v>
      </c>
      <c r="D30">
        <v>110772</v>
      </c>
      <c r="E30">
        <v>107839</v>
      </c>
      <c r="F30">
        <v>528120</v>
      </c>
      <c r="S30" t="s">
        <v>88</v>
      </c>
      <c r="T30">
        <v>4</v>
      </c>
      <c r="U30">
        <v>137638</v>
      </c>
      <c r="V30">
        <v>34409.5</v>
      </c>
      <c r="W30">
        <v>130840033.66666667</v>
      </c>
    </row>
    <row r="31" spans="1:23" x14ac:dyDescent="0.25">
      <c r="S31" t="s">
        <v>86</v>
      </c>
      <c r="T31">
        <v>4</v>
      </c>
      <c r="U31">
        <v>110772</v>
      </c>
      <c r="V31">
        <v>27693</v>
      </c>
      <c r="W31">
        <v>108616078</v>
      </c>
    </row>
    <row r="32" spans="1:23" ht="15.75" thickBot="1" x14ac:dyDescent="0.3">
      <c r="K32" t="s">
        <v>304</v>
      </c>
      <c r="S32" s="82" t="s">
        <v>87</v>
      </c>
      <c r="T32" s="82">
        <v>4</v>
      </c>
      <c r="U32" s="82">
        <v>107839</v>
      </c>
      <c r="V32" s="82">
        <v>26959.75</v>
      </c>
      <c r="W32" s="82">
        <v>241960928.91666666</v>
      </c>
    </row>
    <row r="33" spans="11:25" x14ac:dyDescent="0.25">
      <c r="K33" t="s">
        <v>312</v>
      </c>
      <c r="L33" t="s">
        <v>313</v>
      </c>
      <c r="M33" t="s">
        <v>314</v>
      </c>
      <c r="N33" t="s">
        <v>315</v>
      </c>
      <c r="O33" t="s">
        <v>316</v>
      </c>
      <c r="P33" t="s">
        <v>317</v>
      </c>
      <c r="Q33" t="s">
        <v>318</v>
      </c>
    </row>
    <row r="34" spans="11:25" x14ac:dyDescent="0.25">
      <c r="K34" t="s">
        <v>319</v>
      </c>
      <c r="L34">
        <v>663965497.5</v>
      </c>
      <c r="M34">
        <v>3</v>
      </c>
      <c r="N34">
        <v>221321832.5</v>
      </c>
      <c r="O34">
        <v>0.8459518803404934</v>
      </c>
      <c r="P34">
        <v>0.49486557151801791</v>
      </c>
      <c r="Q34">
        <v>3.4902948194976045</v>
      </c>
    </row>
    <row r="35" spans="11:25" ht="15.75" thickBot="1" x14ac:dyDescent="0.3">
      <c r="K35" t="s">
        <v>320</v>
      </c>
      <c r="L35">
        <v>3139495344.5</v>
      </c>
      <c r="M35">
        <v>12</v>
      </c>
      <c r="N35">
        <v>261624612.04166666</v>
      </c>
      <c r="S35" t="s">
        <v>304</v>
      </c>
    </row>
    <row r="36" spans="11:25" x14ac:dyDescent="0.25">
      <c r="S36" s="83" t="s">
        <v>312</v>
      </c>
      <c r="T36" s="83" t="s">
        <v>313</v>
      </c>
      <c r="U36" s="83" t="s">
        <v>314</v>
      </c>
      <c r="V36" s="83" t="s">
        <v>315</v>
      </c>
      <c r="W36" s="83" t="s">
        <v>316</v>
      </c>
      <c r="X36" s="83" t="s">
        <v>317</v>
      </c>
      <c r="Y36" s="83" t="s">
        <v>318</v>
      </c>
    </row>
    <row r="37" spans="11:25" x14ac:dyDescent="0.25">
      <c r="K37" t="s">
        <v>321</v>
      </c>
      <c r="L37">
        <v>3803460842</v>
      </c>
      <c r="M37">
        <v>15</v>
      </c>
      <c r="S37" t="s">
        <v>319</v>
      </c>
      <c r="T37">
        <v>663965497.5</v>
      </c>
      <c r="U37">
        <v>3</v>
      </c>
      <c r="V37">
        <v>221321832.5</v>
      </c>
      <c r="W37">
        <v>0.8459518803404934</v>
      </c>
      <c r="X37">
        <v>0.49486557151801791</v>
      </c>
      <c r="Y37">
        <v>3.4902948194976045</v>
      </c>
    </row>
    <row r="38" spans="11:25" x14ac:dyDescent="0.25">
      <c r="S38" t="s">
        <v>320</v>
      </c>
      <c r="T38">
        <v>3139495344.5</v>
      </c>
      <c r="U38">
        <v>12</v>
      </c>
      <c r="V38">
        <v>261624612.04166666</v>
      </c>
    </row>
    <row r="40" spans="11:25" ht="15.75" thickBot="1" x14ac:dyDescent="0.3">
      <c r="S40" s="82" t="s">
        <v>321</v>
      </c>
      <c r="T40" s="82">
        <v>3803460842</v>
      </c>
      <c r="U40" s="82">
        <v>15</v>
      </c>
      <c r="V40" s="82"/>
      <c r="W40" s="82"/>
      <c r="X40" s="82"/>
      <c r="Y40" s="82"/>
    </row>
  </sheetData>
  <pageMargins left="0.7" right="0.7" top="0.75" bottom="0.75" header="0.3" footer="0.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AEC5D-FDA1-456C-B1D5-317ADA68A0B9}">
  <sheetPr codeName="Sheet15"/>
  <dimension ref="A1:I103"/>
  <sheetViews>
    <sheetView workbookViewId="0"/>
  </sheetViews>
  <sheetFormatPr defaultRowHeight="15" x14ac:dyDescent="0.25"/>
  <cols>
    <col min="1" max="1" width="14.7109375" bestFit="1" customWidth="1"/>
    <col min="2" max="2" width="17.5703125" bestFit="1" customWidth="1"/>
    <col min="3" max="3" width="18.5703125" bestFit="1" customWidth="1"/>
    <col min="4" max="4" width="16.85546875" bestFit="1" customWidth="1"/>
    <col min="5" max="5" width="23" bestFit="1" customWidth="1"/>
    <col min="6" max="6" width="22.85546875" bestFit="1" customWidth="1"/>
    <col min="7" max="7" width="13.42578125" bestFit="1" customWidth="1"/>
    <col min="8" max="8" width="18.5703125" bestFit="1" customWidth="1"/>
    <col min="9" max="9" width="13.7109375" bestFit="1" customWidth="1"/>
  </cols>
  <sheetData>
    <row r="1" spans="1:9" x14ac:dyDescent="0.25">
      <c r="A1" s="90" t="s">
        <v>422</v>
      </c>
    </row>
    <row r="3" spans="1:9" x14ac:dyDescent="0.25">
      <c r="A3" t="s">
        <v>413</v>
      </c>
      <c r="B3" t="s">
        <v>414</v>
      </c>
      <c r="C3" t="s">
        <v>415</v>
      </c>
      <c r="D3" t="s">
        <v>416</v>
      </c>
      <c r="E3" t="s">
        <v>417</v>
      </c>
      <c r="F3" t="s">
        <v>418</v>
      </c>
      <c r="G3" t="s">
        <v>419</v>
      </c>
      <c r="H3" t="s">
        <v>420</v>
      </c>
      <c r="I3" t="s">
        <v>421</v>
      </c>
    </row>
    <row r="4" spans="1:9" x14ac:dyDescent="0.25">
      <c r="A4" t="s">
        <v>6</v>
      </c>
      <c r="B4" t="s">
        <v>73</v>
      </c>
      <c r="C4" t="s">
        <v>81</v>
      </c>
      <c r="D4" t="s">
        <v>85</v>
      </c>
      <c r="E4">
        <v>4050</v>
      </c>
      <c r="F4">
        <v>18</v>
      </c>
      <c r="G4" t="s">
        <v>403</v>
      </c>
      <c r="H4" t="s">
        <v>406</v>
      </c>
      <c r="I4">
        <v>482</v>
      </c>
    </row>
    <row r="5" spans="1:9" x14ac:dyDescent="0.25">
      <c r="A5" t="s">
        <v>7</v>
      </c>
      <c r="B5" t="s">
        <v>74</v>
      </c>
      <c r="C5" t="s">
        <v>82</v>
      </c>
      <c r="D5" t="s">
        <v>86</v>
      </c>
      <c r="E5">
        <v>7875</v>
      </c>
      <c r="F5">
        <v>15</v>
      </c>
      <c r="G5" t="s">
        <v>404</v>
      </c>
      <c r="H5" t="s">
        <v>407</v>
      </c>
      <c r="I5">
        <v>445</v>
      </c>
    </row>
    <row r="6" spans="1:9" x14ac:dyDescent="0.25">
      <c r="A6" t="s">
        <v>8</v>
      </c>
      <c r="B6" t="s">
        <v>75</v>
      </c>
      <c r="C6" t="s">
        <v>83</v>
      </c>
      <c r="D6" t="s">
        <v>85</v>
      </c>
      <c r="E6">
        <v>5832</v>
      </c>
      <c r="F6">
        <v>6</v>
      </c>
      <c r="G6" t="s">
        <v>405</v>
      </c>
      <c r="H6" t="s">
        <v>408</v>
      </c>
      <c r="I6">
        <v>503</v>
      </c>
    </row>
    <row r="7" spans="1:9" x14ac:dyDescent="0.25">
      <c r="A7" t="s">
        <v>9</v>
      </c>
      <c r="B7" t="s">
        <v>76</v>
      </c>
      <c r="C7" t="s">
        <v>84</v>
      </c>
      <c r="D7" t="s">
        <v>85</v>
      </c>
      <c r="E7">
        <v>676</v>
      </c>
      <c r="F7">
        <v>4</v>
      </c>
      <c r="G7" t="s">
        <v>403</v>
      </c>
      <c r="H7" t="s">
        <v>406</v>
      </c>
      <c r="I7">
        <v>485</v>
      </c>
    </row>
    <row r="8" spans="1:9" x14ac:dyDescent="0.25">
      <c r="A8" t="s">
        <v>10</v>
      </c>
      <c r="B8" t="s">
        <v>74</v>
      </c>
      <c r="C8" t="s">
        <v>82</v>
      </c>
      <c r="D8" t="s">
        <v>87</v>
      </c>
      <c r="E8">
        <v>6560</v>
      </c>
      <c r="F8">
        <v>10</v>
      </c>
      <c r="G8" t="s">
        <v>403</v>
      </c>
      <c r="H8" t="s">
        <v>406</v>
      </c>
      <c r="I8">
        <v>486</v>
      </c>
    </row>
    <row r="9" spans="1:9" x14ac:dyDescent="0.25">
      <c r="A9" t="s">
        <v>11</v>
      </c>
      <c r="B9" t="s">
        <v>76</v>
      </c>
      <c r="C9" t="s">
        <v>84</v>
      </c>
      <c r="D9" t="s">
        <v>87</v>
      </c>
      <c r="E9">
        <v>1905</v>
      </c>
      <c r="F9">
        <v>5</v>
      </c>
      <c r="G9" t="s">
        <v>404</v>
      </c>
      <c r="H9" t="s">
        <v>409</v>
      </c>
      <c r="I9">
        <v>404</v>
      </c>
    </row>
    <row r="10" spans="1:9" x14ac:dyDescent="0.25">
      <c r="A10" t="s">
        <v>12</v>
      </c>
      <c r="B10" t="s">
        <v>77</v>
      </c>
      <c r="C10" t="s">
        <v>83</v>
      </c>
      <c r="D10" t="s">
        <v>86</v>
      </c>
      <c r="E10">
        <v>6948</v>
      </c>
      <c r="F10">
        <v>18</v>
      </c>
      <c r="G10" t="s">
        <v>403</v>
      </c>
      <c r="H10" t="s">
        <v>407</v>
      </c>
      <c r="I10">
        <v>459</v>
      </c>
    </row>
    <row r="11" spans="1:9" x14ac:dyDescent="0.25">
      <c r="A11" t="s">
        <v>13</v>
      </c>
      <c r="B11" t="s">
        <v>77</v>
      </c>
      <c r="C11" t="s">
        <v>83</v>
      </c>
      <c r="D11" t="s">
        <v>85</v>
      </c>
      <c r="E11">
        <v>1944</v>
      </c>
      <c r="F11">
        <v>18</v>
      </c>
      <c r="G11" t="s">
        <v>404</v>
      </c>
      <c r="H11" t="s">
        <v>409</v>
      </c>
      <c r="I11">
        <v>415</v>
      </c>
    </row>
    <row r="12" spans="1:9" x14ac:dyDescent="0.25">
      <c r="A12" t="s">
        <v>14</v>
      </c>
      <c r="B12" t="s">
        <v>78</v>
      </c>
      <c r="C12" t="s">
        <v>84</v>
      </c>
      <c r="D12" t="s">
        <v>85</v>
      </c>
      <c r="E12">
        <v>7776</v>
      </c>
      <c r="F12">
        <v>8</v>
      </c>
      <c r="G12" t="s">
        <v>404</v>
      </c>
      <c r="H12" t="s">
        <v>407</v>
      </c>
      <c r="I12">
        <v>444</v>
      </c>
    </row>
    <row r="13" spans="1:9" x14ac:dyDescent="0.25">
      <c r="A13" t="s">
        <v>15</v>
      </c>
      <c r="B13" t="s">
        <v>74</v>
      </c>
      <c r="C13" t="s">
        <v>82</v>
      </c>
      <c r="D13" t="s">
        <v>86</v>
      </c>
      <c r="E13">
        <v>2790</v>
      </c>
      <c r="F13">
        <v>18</v>
      </c>
      <c r="G13" t="s">
        <v>404</v>
      </c>
      <c r="H13" t="s">
        <v>410</v>
      </c>
      <c r="I13">
        <v>401</v>
      </c>
    </row>
    <row r="14" spans="1:9" x14ac:dyDescent="0.25">
      <c r="A14" t="s">
        <v>10</v>
      </c>
      <c r="B14" t="s">
        <v>75</v>
      </c>
      <c r="C14" t="s">
        <v>83</v>
      </c>
      <c r="D14" t="s">
        <v>86</v>
      </c>
      <c r="E14">
        <v>7995</v>
      </c>
      <c r="F14">
        <v>13</v>
      </c>
      <c r="G14" t="s">
        <v>403</v>
      </c>
      <c r="H14" t="s">
        <v>406</v>
      </c>
      <c r="I14">
        <v>486</v>
      </c>
    </row>
    <row r="15" spans="1:9" x14ac:dyDescent="0.25">
      <c r="A15" t="s">
        <v>16</v>
      </c>
      <c r="B15" t="s">
        <v>75</v>
      </c>
      <c r="C15" t="s">
        <v>83</v>
      </c>
      <c r="D15" t="s">
        <v>85</v>
      </c>
      <c r="E15">
        <v>9984</v>
      </c>
      <c r="F15">
        <v>13</v>
      </c>
      <c r="G15" t="s">
        <v>405</v>
      </c>
      <c r="H15" t="s">
        <v>408</v>
      </c>
      <c r="I15">
        <v>502</v>
      </c>
    </row>
    <row r="16" spans="1:9" x14ac:dyDescent="0.25">
      <c r="A16" t="s">
        <v>17</v>
      </c>
      <c r="B16" t="s">
        <v>75</v>
      </c>
      <c r="C16" t="s">
        <v>83</v>
      </c>
      <c r="D16" t="s">
        <v>87</v>
      </c>
      <c r="E16">
        <v>7683</v>
      </c>
      <c r="F16">
        <v>13</v>
      </c>
      <c r="G16" t="s">
        <v>404</v>
      </c>
      <c r="H16" t="s">
        <v>407</v>
      </c>
      <c r="I16">
        <v>440</v>
      </c>
    </row>
    <row r="17" spans="1:9" x14ac:dyDescent="0.25">
      <c r="A17" t="s">
        <v>18</v>
      </c>
      <c r="B17" t="s">
        <v>76</v>
      </c>
      <c r="C17" t="s">
        <v>84</v>
      </c>
      <c r="D17" t="s">
        <v>88</v>
      </c>
      <c r="E17">
        <v>6885</v>
      </c>
      <c r="F17">
        <v>9</v>
      </c>
      <c r="G17" t="s">
        <v>403</v>
      </c>
      <c r="H17" t="s">
        <v>406</v>
      </c>
      <c r="I17">
        <v>480</v>
      </c>
    </row>
    <row r="18" spans="1:9" x14ac:dyDescent="0.25">
      <c r="A18" t="s">
        <v>19</v>
      </c>
      <c r="B18" t="s">
        <v>79</v>
      </c>
      <c r="C18" t="s">
        <v>81</v>
      </c>
      <c r="D18" t="s">
        <v>87</v>
      </c>
      <c r="E18">
        <v>229</v>
      </c>
      <c r="F18">
        <v>1</v>
      </c>
      <c r="G18" t="s">
        <v>404</v>
      </c>
      <c r="H18" t="s">
        <v>409</v>
      </c>
      <c r="I18">
        <v>412</v>
      </c>
    </row>
    <row r="19" spans="1:9" x14ac:dyDescent="0.25">
      <c r="A19" t="s">
        <v>14</v>
      </c>
      <c r="B19" t="s">
        <v>80</v>
      </c>
      <c r="C19" t="s">
        <v>82</v>
      </c>
      <c r="D19" t="s">
        <v>87</v>
      </c>
      <c r="E19">
        <v>6104</v>
      </c>
      <c r="F19">
        <v>7</v>
      </c>
      <c r="G19" t="s">
        <v>404</v>
      </c>
      <c r="H19" t="s">
        <v>407</v>
      </c>
      <c r="I19">
        <v>444</v>
      </c>
    </row>
    <row r="20" spans="1:9" x14ac:dyDescent="0.25">
      <c r="A20" t="s">
        <v>20</v>
      </c>
      <c r="B20" t="s">
        <v>78</v>
      </c>
      <c r="C20" t="s">
        <v>84</v>
      </c>
      <c r="D20" t="s">
        <v>85</v>
      </c>
      <c r="E20">
        <v>558</v>
      </c>
      <c r="F20">
        <v>1</v>
      </c>
      <c r="G20" t="s">
        <v>403</v>
      </c>
      <c r="H20" t="s">
        <v>407</v>
      </c>
      <c r="I20">
        <v>457</v>
      </c>
    </row>
    <row r="21" spans="1:9" x14ac:dyDescent="0.25">
      <c r="A21" t="s">
        <v>21</v>
      </c>
      <c r="B21" t="s">
        <v>76</v>
      </c>
      <c r="C21" t="s">
        <v>84</v>
      </c>
      <c r="D21" t="s">
        <v>85</v>
      </c>
      <c r="E21">
        <v>6413</v>
      </c>
      <c r="F21">
        <v>11</v>
      </c>
      <c r="G21" t="s">
        <v>404</v>
      </c>
      <c r="H21" t="s">
        <v>407</v>
      </c>
      <c r="I21">
        <v>438</v>
      </c>
    </row>
    <row r="22" spans="1:9" x14ac:dyDescent="0.25">
      <c r="A22" t="s">
        <v>22</v>
      </c>
      <c r="B22" t="s">
        <v>74</v>
      </c>
      <c r="C22" t="s">
        <v>82</v>
      </c>
      <c r="D22" t="s">
        <v>88</v>
      </c>
      <c r="E22">
        <v>1017</v>
      </c>
      <c r="F22">
        <v>9</v>
      </c>
      <c r="G22" t="s">
        <v>404</v>
      </c>
      <c r="H22" t="s">
        <v>407</v>
      </c>
      <c r="I22">
        <v>447</v>
      </c>
    </row>
    <row r="23" spans="1:9" x14ac:dyDescent="0.25">
      <c r="A23" t="s">
        <v>23</v>
      </c>
      <c r="B23" t="s">
        <v>80</v>
      </c>
      <c r="C23" t="s">
        <v>82</v>
      </c>
      <c r="D23" t="s">
        <v>86</v>
      </c>
      <c r="E23">
        <v>9310</v>
      </c>
      <c r="F23">
        <v>10</v>
      </c>
      <c r="G23" t="s">
        <v>403</v>
      </c>
      <c r="H23" t="s">
        <v>407</v>
      </c>
      <c r="I23">
        <v>458</v>
      </c>
    </row>
    <row r="24" spans="1:9" x14ac:dyDescent="0.25">
      <c r="A24" t="s">
        <v>24</v>
      </c>
      <c r="B24" t="s">
        <v>75</v>
      </c>
      <c r="C24" t="s">
        <v>83</v>
      </c>
      <c r="D24" t="s">
        <v>87</v>
      </c>
      <c r="E24">
        <v>2560</v>
      </c>
      <c r="F24">
        <v>4</v>
      </c>
      <c r="G24" t="s">
        <v>403</v>
      </c>
      <c r="H24" t="s">
        <v>406</v>
      </c>
      <c r="I24">
        <v>476</v>
      </c>
    </row>
    <row r="25" spans="1:9" x14ac:dyDescent="0.25">
      <c r="A25" t="s">
        <v>25</v>
      </c>
      <c r="B25" t="s">
        <v>76</v>
      </c>
      <c r="C25" t="s">
        <v>84</v>
      </c>
      <c r="D25" t="s">
        <v>86</v>
      </c>
      <c r="E25">
        <v>6855</v>
      </c>
      <c r="F25">
        <v>15</v>
      </c>
      <c r="G25" t="s">
        <v>403</v>
      </c>
      <c r="H25" t="s">
        <v>408</v>
      </c>
      <c r="I25">
        <v>498</v>
      </c>
    </row>
    <row r="26" spans="1:9" x14ac:dyDescent="0.25">
      <c r="A26" t="s">
        <v>26</v>
      </c>
      <c r="B26" t="s">
        <v>78</v>
      </c>
      <c r="C26" t="s">
        <v>84</v>
      </c>
      <c r="D26" t="s">
        <v>86</v>
      </c>
      <c r="E26">
        <v>7398</v>
      </c>
      <c r="F26">
        <v>9</v>
      </c>
      <c r="G26" t="s">
        <v>405</v>
      </c>
      <c r="H26" t="s">
        <v>408</v>
      </c>
      <c r="I26">
        <v>516</v>
      </c>
    </row>
    <row r="27" spans="1:9" x14ac:dyDescent="0.25">
      <c r="A27" t="s">
        <v>27</v>
      </c>
      <c r="B27" t="s">
        <v>74</v>
      </c>
      <c r="C27" t="s">
        <v>82</v>
      </c>
      <c r="D27" t="s">
        <v>85</v>
      </c>
      <c r="E27">
        <v>2094</v>
      </c>
      <c r="F27">
        <v>6</v>
      </c>
      <c r="G27" t="s">
        <v>405</v>
      </c>
      <c r="H27" t="s">
        <v>408</v>
      </c>
      <c r="I27">
        <v>519</v>
      </c>
    </row>
    <row r="28" spans="1:9" x14ac:dyDescent="0.25">
      <c r="A28" t="s">
        <v>28</v>
      </c>
      <c r="B28" t="s">
        <v>74</v>
      </c>
      <c r="C28" t="s">
        <v>82</v>
      </c>
      <c r="D28" t="s">
        <v>88</v>
      </c>
      <c r="E28">
        <v>3996</v>
      </c>
      <c r="F28">
        <v>4</v>
      </c>
      <c r="G28" t="s">
        <v>403</v>
      </c>
      <c r="H28" t="s">
        <v>406</v>
      </c>
      <c r="I28">
        <v>478</v>
      </c>
    </row>
    <row r="29" spans="1:9" x14ac:dyDescent="0.25">
      <c r="A29" t="s">
        <v>29</v>
      </c>
      <c r="B29" t="s">
        <v>78</v>
      </c>
      <c r="C29" t="s">
        <v>84</v>
      </c>
      <c r="D29" t="s">
        <v>87</v>
      </c>
      <c r="E29">
        <v>4884</v>
      </c>
      <c r="F29">
        <v>6</v>
      </c>
      <c r="G29" t="s">
        <v>403</v>
      </c>
      <c r="H29" t="s">
        <v>408</v>
      </c>
      <c r="I29">
        <v>500</v>
      </c>
    </row>
    <row r="30" spans="1:9" x14ac:dyDescent="0.25">
      <c r="A30" t="s">
        <v>10</v>
      </c>
      <c r="B30" t="s">
        <v>77</v>
      </c>
      <c r="C30" t="s">
        <v>83</v>
      </c>
      <c r="D30" t="s">
        <v>88</v>
      </c>
      <c r="E30">
        <v>1767</v>
      </c>
      <c r="F30">
        <v>3</v>
      </c>
      <c r="G30" t="s">
        <v>403</v>
      </c>
      <c r="H30" t="s">
        <v>406</v>
      </c>
      <c r="I30">
        <v>486</v>
      </c>
    </row>
    <row r="31" spans="1:9" x14ac:dyDescent="0.25">
      <c r="A31" t="s">
        <v>30</v>
      </c>
      <c r="B31" t="s">
        <v>78</v>
      </c>
      <c r="C31" t="s">
        <v>84</v>
      </c>
      <c r="D31" t="s">
        <v>85</v>
      </c>
      <c r="E31">
        <v>7840</v>
      </c>
      <c r="F31">
        <v>14</v>
      </c>
      <c r="G31" t="s">
        <v>404</v>
      </c>
      <c r="H31" t="s">
        <v>407</v>
      </c>
      <c r="I31">
        <v>435</v>
      </c>
    </row>
    <row r="32" spans="1:9" x14ac:dyDescent="0.25">
      <c r="A32" t="s">
        <v>31</v>
      </c>
      <c r="B32" t="s">
        <v>78</v>
      </c>
      <c r="C32" t="s">
        <v>84</v>
      </c>
      <c r="D32" t="s">
        <v>86</v>
      </c>
      <c r="E32">
        <v>4806</v>
      </c>
      <c r="F32">
        <v>6</v>
      </c>
      <c r="G32" t="s">
        <v>405</v>
      </c>
      <c r="H32" t="s">
        <v>408</v>
      </c>
      <c r="I32">
        <v>509</v>
      </c>
    </row>
    <row r="33" spans="1:9" x14ac:dyDescent="0.25">
      <c r="A33" t="s">
        <v>32</v>
      </c>
      <c r="B33" t="s">
        <v>78</v>
      </c>
      <c r="C33" t="s">
        <v>84</v>
      </c>
      <c r="D33" t="s">
        <v>88</v>
      </c>
      <c r="E33">
        <v>2598</v>
      </c>
      <c r="F33">
        <v>3</v>
      </c>
      <c r="G33" t="s">
        <v>403</v>
      </c>
      <c r="H33" t="s">
        <v>406</v>
      </c>
      <c r="I33">
        <v>463</v>
      </c>
    </row>
    <row r="34" spans="1:9" x14ac:dyDescent="0.25">
      <c r="A34" t="s">
        <v>33</v>
      </c>
      <c r="B34" t="s">
        <v>73</v>
      </c>
      <c r="C34" t="s">
        <v>81</v>
      </c>
      <c r="D34" t="s">
        <v>88</v>
      </c>
      <c r="E34">
        <v>12920</v>
      </c>
      <c r="F34">
        <v>17</v>
      </c>
      <c r="G34" t="s">
        <v>404</v>
      </c>
      <c r="H34" t="s">
        <v>409</v>
      </c>
      <c r="I34">
        <v>417</v>
      </c>
    </row>
    <row r="35" spans="1:9" x14ac:dyDescent="0.25">
      <c r="A35" t="s">
        <v>34</v>
      </c>
      <c r="B35" t="s">
        <v>77</v>
      </c>
      <c r="C35" t="s">
        <v>83</v>
      </c>
      <c r="D35" t="s">
        <v>85</v>
      </c>
      <c r="E35">
        <v>2134</v>
      </c>
      <c r="F35">
        <v>11</v>
      </c>
      <c r="G35" t="s">
        <v>403</v>
      </c>
      <c r="H35" t="s">
        <v>406</v>
      </c>
      <c r="I35">
        <v>487</v>
      </c>
    </row>
    <row r="36" spans="1:9" x14ac:dyDescent="0.25">
      <c r="A36" t="s">
        <v>35</v>
      </c>
      <c r="B36" t="s">
        <v>79</v>
      </c>
      <c r="C36" t="s">
        <v>81</v>
      </c>
      <c r="D36" t="s">
        <v>86</v>
      </c>
      <c r="E36">
        <v>311</v>
      </c>
      <c r="F36">
        <v>1</v>
      </c>
      <c r="G36" t="s">
        <v>404</v>
      </c>
      <c r="H36" t="s">
        <v>407</v>
      </c>
      <c r="I36">
        <v>432</v>
      </c>
    </row>
    <row r="37" spans="1:9" x14ac:dyDescent="0.25">
      <c r="A37" t="s">
        <v>36</v>
      </c>
      <c r="B37" t="s">
        <v>73</v>
      </c>
      <c r="C37" t="s">
        <v>81</v>
      </c>
      <c r="D37" t="s">
        <v>85</v>
      </c>
      <c r="E37">
        <v>2388</v>
      </c>
      <c r="F37">
        <v>3</v>
      </c>
      <c r="G37" t="s">
        <v>403</v>
      </c>
      <c r="H37" t="s">
        <v>406</v>
      </c>
      <c r="I37">
        <v>465</v>
      </c>
    </row>
    <row r="38" spans="1:9" x14ac:dyDescent="0.25">
      <c r="A38" t="s">
        <v>37</v>
      </c>
      <c r="B38" t="s">
        <v>76</v>
      </c>
      <c r="C38" t="s">
        <v>84</v>
      </c>
      <c r="D38" t="s">
        <v>85</v>
      </c>
      <c r="E38">
        <v>2853</v>
      </c>
      <c r="F38">
        <v>9</v>
      </c>
      <c r="G38" t="s">
        <v>404</v>
      </c>
      <c r="H38" t="s">
        <v>409</v>
      </c>
      <c r="I38">
        <v>431</v>
      </c>
    </row>
    <row r="39" spans="1:9" x14ac:dyDescent="0.25">
      <c r="A39" t="s">
        <v>16</v>
      </c>
      <c r="B39" t="s">
        <v>80</v>
      </c>
      <c r="C39" t="s">
        <v>82</v>
      </c>
      <c r="D39" t="s">
        <v>88</v>
      </c>
      <c r="E39">
        <v>4382</v>
      </c>
      <c r="F39">
        <v>7</v>
      </c>
      <c r="G39" t="s">
        <v>405</v>
      </c>
      <c r="H39" t="s">
        <v>408</v>
      </c>
      <c r="I39">
        <v>502</v>
      </c>
    </row>
    <row r="40" spans="1:9" x14ac:dyDescent="0.25">
      <c r="A40" t="s">
        <v>38</v>
      </c>
      <c r="B40" t="s">
        <v>73</v>
      </c>
      <c r="C40" t="s">
        <v>81</v>
      </c>
      <c r="D40" t="s">
        <v>85</v>
      </c>
      <c r="E40">
        <v>2690</v>
      </c>
      <c r="F40">
        <v>5</v>
      </c>
      <c r="G40" t="s">
        <v>404</v>
      </c>
      <c r="H40" t="s">
        <v>409</v>
      </c>
      <c r="I40">
        <v>430</v>
      </c>
    </row>
    <row r="41" spans="1:9" x14ac:dyDescent="0.25">
      <c r="A41" t="s">
        <v>6</v>
      </c>
      <c r="B41" t="s">
        <v>77</v>
      </c>
      <c r="C41" t="s">
        <v>83</v>
      </c>
      <c r="D41" t="s">
        <v>87</v>
      </c>
      <c r="E41">
        <v>399</v>
      </c>
      <c r="F41">
        <v>3</v>
      </c>
      <c r="G41" t="s">
        <v>403</v>
      </c>
      <c r="H41" t="s">
        <v>406</v>
      </c>
      <c r="I41">
        <v>482</v>
      </c>
    </row>
    <row r="42" spans="1:9" x14ac:dyDescent="0.25">
      <c r="A42" t="s">
        <v>31</v>
      </c>
      <c r="B42" t="s">
        <v>74</v>
      </c>
      <c r="C42" t="s">
        <v>82</v>
      </c>
      <c r="D42" t="s">
        <v>85</v>
      </c>
      <c r="E42">
        <v>4459</v>
      </c>
      <c r="F42">
        <v>7</v>
      </c>
      <c r="G42" t="s">
        <v>405</v>
      </c>
      <c r="H42" t="s">
        <v>408</v>
      </c>
      <c r="I42">
        <v>509</v>
      </c>
    </row>
    <row r="43" spans="1:9" x14ac:dyDescent="0.25">
      <c r="A43" t="s">
        <v>39</v>
      </c>
      <c r="B43" t="s">
        <v>74</v>
      </c>
      <c r="C43" t="s">
        <v>82</v>
      </c>
      <c r="D43" t="s">
        <v>85</v>
      </c>
      <c r="E43">
        <v>2274</v>
      </c>
      <c r="F43">
        <v>3</v>
      </c>
      <c r="G43" t="s">
        <v>403</v>
      </c>
      <c r="H43" t="s">
        <v>406</v>
      </c>
      <c r="I43">
        <v>475</v>
      </c>
    </row>
    <row r="44" spans="1:9" x14ac:dyDescent="0.25">
      <c r="A44" t="s">
        <v>40</v>
      </c>
      <c r="B44" t="s">
        <v>77</v>
      </c>
      <c r="C44" t="s">
        <v>83</v>
      </c>
      <c r="D44" t="s">
        <v>87</v>
      </c>
      <c r="E44">
        <v>11552</v>
      </c>
      <c r="F44">
        <v>19</v>
      </c>
      <c r="G44" t="s">
        <v>403</v>
      </c>
      <c r="H44" t="s">
        <v>407</v>
      </c>
      <c r="I44">
        <v>454</v>
      </c>
    </row>
    <row r="45" spans="1:9" x14ac:dyDescent="0.25">
      <c r="A45" t="s">
        <v>38</v>
      </c>
      <c r="B45" t="s">
        <v>73</v>
      </c>
      <c r="C45" t="s">
        <v>81</v>
      </c>
      <c r="D45" t="s">
        <v>87</v>
      </c>
      <c r="E45">
        <v>4540</v>
      </c>
      <c r="F45">
        <v>5</v>
      </c>
      <c r="G45" t="s">
        <v>404</v>
      </c>
      <c r="H45" t="s">
        <v>409</v>
      </c>
      <c r="I45">
        <v>430</v>
      </c>
    </row>
    <row r="46" spans="1:9" x14ac:dyDescent="0.25">
      <c r="A46" t="s">
        <v>41</v>
      </c>
      <c r="B46" t="s">
        <v>77</v>
      </c>
      <c r="C46" t="s">
        <v>83</v>
      </c>
      <c r="D46" t="s">
        <v>85</v>
      </c>
      <c r="E46">
        <v>4216</v>
      </c>
      <c r="F46">
        <v>8</v>
      </c>
      <c r="G46" t="s">
        <v>403</v>
      </c>
      <c r="H46" t="s">
        <v>406</v>
      </c>
      <c r="I46">
        <v>484</v>
      </c>
    </row>
    <row r="47" spans="1:9" x14ac:dyDescent="0.25">
      <c r="A47" t="s">
        <v>42</v>
      </c>
      <c r="B47" t="s">
        <v>75</v>
      </c>
      <c r="C47" t="s">
        <v>83</v>
      </c>
      <c r="D47" t="s">
        <v>85</v>
      </c>
      <c r="E47">
        <v>4140</v>
      </c>
      <c r="F47">
        <v>18</v>
      </c>
      <c r="G47" t="s">
        <v>403</v>
      </c>
      <c r="H47" t="s">
        <v>406</v>
      </c>
      <c r="I47">
        <v>474</v>
      </c>
    </row>
    <row r="48" spans="1:9" x14ac:dyDescent="0.25">
      <c r="A48" t="s">
        <v>43</v>
      </c>
      <c r="B48" t="s">
        <v>74</v>
      </c>
      <c r="C48" t="s">
        <v>82</v>
      </c>
      <c r="D48" t="s">
        <v>88</v>
      </c>
      <c r="E48">
        <v>8610</v>
      </c>
      <c r="F48">
        <v>10</v>
      </c>
      <c r="G48" t="s">
        <v>403</v>
      </c>
      <c r="H48" t="s">
        <v>407</v>
      </c>
      <c r="I48">
        <v>451</v>
      </c>
    </row>
    <row r="49" spans="1:9" x14ac:dyDescent="0.25">
      <c r="A49" t="s">
        <v>44</v>
      </c>
      <c r="B49" t="s">
        <v>74</v>
      </c>
      <c r="C49" t="s">
        <v>82</v>
      </c>
      <c r="D49" t="s">
        <v>88</v>
      </c>
      <c r="E49">
        <v>7200</v>
      </c>
      <c r="F49">
        <v>8</v>
      </c>
      <c r="G49" t="s">
        <v>403</v>
      </c>
      <c r="H49" t="s">
        <v>407</v>
      </c>
      <c r="I49">
        <v>460</v>
      </c>
    </row>
    <row r="50" spans="1:9" x14ac:dyDescent="0.25">
      <c r="A50" t="s">
        <v>45</v>
      </c>
      <c r="B50" t="s">
        <v>79</v>
      </c>
      <c r="C50" t="s">
        <v>81</v>
      </c>
      <c r="D50" t="s">
        <v>85</v>
      </c>
      <c r="E50">
        <v>10849</v>
      </c>
      <c r="F50">
        <v>19</v>
      </c>
      <c r="G50" t="s">
        <v>404</v>
      </c>
      <c r="H50" t="s">
        <v>407</v>
      </c>
      <c r="I50">
        <v>433</v>
      </c>
    </row>
    <row r="51" spans="1:9" x14ac:dyDescent="0.25">
      <c r="A51" t="s">
        <v>27</v>
      </c>
      <c r="B51" t="s">
        <v>78</v>
      </c>
      <c r="C51" t="s">
        <v>84</v>
      </c>
      <c r="D51" t="s">
        <v>85</v>
      </c>
      <c r="E51">
        <v>14256</v>
      </c>
      <c r="F51">
        <v>16</v>
      </c>
      <c r="G51" t="s">
        <v>405</v>
      </c>
      <c r="H51" t="s">
        <v>408</v>
      </c>
      <c r="I51">
        <v>519</v>
      </c>
    </row>
    <row r="52" spans="1:9" x14ac:dyDescent="0.25">
      <c r="A52" t="s">
        <v>28</v>
      </c>
      <c r="B52" t="s">
        <v>74</v>
      </c>
      <c r="C52" t="s">
        <v>82</v>
      </c>
      <c r="D52" t="s">
        <v>88</v>
      </c>
      <c r="E52">
        <v>1464</v>
      </c>
      <c r="F52">
        <v>2</v>
      </c>
      <c r="G52" t="s">
        <v>403</v>
      </c>
      <c r="H52" t="s">
        <v>406</v>
      </c>
      <c r="I52">
        <v>478</v>
      </c>
    </row>
    <row r="53" spans="1:9" x14ac:dyDescent="0.25">
      <c r="A53" t="s">
        <v>22</v>
      </c>
      <c r="B53" t="s">
        <v>78</v>
      </c>
      <c r="C53" t="s">
        <v>84</v>
      </c>
      <c r="D53" t="s">
        <v>88</v>
      </c>
      <c r="E53">
        <v>9622</v>
      </c>
      <c r="F53">
        <v>17</v>
      </c>
      <c r="G53" t="s">
        <v>404</v>
      </c>
      <c r="H53" t="s">
        <v>407</v>
      </c>
      <c r="I53">
        <v>447</v>
      </c>
    </row>
    <row r="54" spans="1:9" x14ac:dyDescent="0.25">
      <c r="A54" t="s">
        <v>46</v>
      </c>
      <c r="B54" t="s">
        <v>75</v>
      </c>
      <c r="C54" t="s">
        <v>83</v>
      </c>
      <c r="D54" t="s">
        <v>87</v>
      </c>
      <c r="E54">
        <v>13420</v>
      </c>
      <c r="F54">
        <v>20</v>
      </c>
      <c r="G54" t="s">
        <v>403</v>
      </c>
      <c r="H54" t="s">
        <v>406</v>
      </c>
      <c r="I54">
        <v>472</v>
      </c>
    </row>
    <row r="55" spans="1:9" x14ac:dyDescent="0.25">
      <c r="A55" t="s">
        <v>42</v>
      </c>
      <c r="B55" t="s">
        <v>75</v>
      </c>
      <c r="C55" t="s">
        <v>83</v>
      </c>
      <c r="D55" t="s">
        <v>87</v>
      </c>
      <c r="E55">
        <v>3004</v>
      </c>
      <c r="F55">
        <v>4</v>
      </c>
      <c r="G55" t="s">
        <v>403</v>
      </c>
      <c r="H55" t="s">
        <v>406</v>
      </c>
      <c r="I55">
        <v>474</v>
      </c>
    </row>
    <row r="56" spans="1:9" x14ac:dyDescent="0.25">
      <c r="A56" t="s">
        <v>47</v>
      </c>
      <c r="B56" t="s">
        <v>76</v>
      </c>
      <c r="C56" t="s">
        <v>84</v>
      </c>
      <c r="D56" t="s">
        <v>88</v>
      </c>
      <c r="E56">
        <v>11865</v>
      </c>
      <c r="F56">
        <v>15</v>
      </c>
      <c r="G56" t="s">
        <v>404</v>
      </c>
      <c r="H56" t="s">
        <v>409</v>
      </c>
      <c r="I56">
        <v>425</v>
      </c>
    </row>
    <row r="57" spans="1:9" x14ac:dyDescent="0.25">
      <c r="A57" t="s">
        <v>44</v>
      </c>
      <c r="B57" t="s">
        <v>80</v>
      </c>
      <c r="C57" t="s">
        <v>82</v>
      </c>
      <c r="D57" t="s">
        <v>87</v>
      </c>
      <c r="E57">
        <v>7395</v>
      </c>
      <c r="F57">
        <v>17</v>
      </c>
      <c r="G57" t="s">
        <v>403</v>
      </c>
      <c r="H57" t="s">
        <v>407</v>
      </c>
      <c r="I57">
        <v>460</v>
      </c>
    </row>
    <row r="58" spans="1:9" x14ac:dyDescent="0.25">
      <c r="A58" t="s">
        <v>39</v>
      </c>
      <c r="B58" t="s">
        <v>73</v>
      </c>
      <c r="C58" t="s">
        <v>81</v>
      </c>
      <c r="D58" t="s">
        <v>85</v>
      </c>
      <c r="E58">
        <v>12701</v>
      </c>
      <c r="F58">
        <v>13</v>
      </c>
      <c r="G58" t="s">
        <v>403</v>
      </c>
      <c r="H58" t="s">
        <v>406</v>
      </c>
      <c r="I58">
        <v>475</v>
      </c>
    </row>
    <row r="59" spans="1:9" x14ac:dyDescent="0.25">
      <c r="A59" t="s">
        <v>48</v>
      </c>
      <c r="B59" t="s">
        <v>75</v>
      </c>
      <c r="C59" t="s">
        <v>83</v>
      </c>
      <c r="D59" t="s">
        <v>85</v>
      </c>
      <c r="E59">
        <v>8697</v>
      </c>
      <c r="F59">
        <v>13</v>
      </c>
      <c r="G59" t="s">
        <v>404</v>
      </c>
      <c r="H59" t="s">
        <v>409</v>
      </c>
      <c r="I59">
        <v>413</v>
      </c>
    </row>
    <row r="60" spans="1:9" x14ac:dyDescent="0.25">
      <c r="A60" t="s">
        <v>10</v>
      </c>
      <c r="B60" t="s">
        <v>76</v>
      </c>
      <c r="C60" t="s">
        <v>84</v>
      </c>
      <c r="D60" t="s">
        <v>88</v>
      </c>
      <c r="E60">
        <v>2728</v>
      </c>
      <c r="F60">
        <v>11</v>
      </c>
      <c r="G60" t="s">
        <v>403</v>
      </c>
      <c r="H60" t="s">
        <v>406</v>
      </c>
      <c r="I60">
        <v>486</v>
      </c>
    </row>
    <row r="61" spans="1:9" x14ac:dyDescent="0.25">
      <c r="A61" t="s">
        <v>49</v>
      </c>
      <c r="B61" t="s">
        <v>78</v>
      </c>
      <c r="C61" t="s">
        <v>84</v>
      </c>
      <c r="D61" t="s">
        <v>86</v>
      </c>
      <c r="E61">
        <v>7395</v>
      </c>
      <c r="F61">
        <v>17</v>
      </c>
      <c r="G61" t="s">
        <v>405</v>
      </c>
      <c r="H61" t="s">
        <v>408</v>
      </c>
      <c r="I61">
        <v>521</v>
      </c>
    </row>
    <row r="62" spans="1:9" x14ac:dyDescent="0.25">
      <c r="A62" t="s">
        <v>30</v>
      </c>
      <c r="B62" t="s">
        <v>80</v>
      </c>
      <c r="C62" t="s">
        <v>82</v>
      </c>
      <c r="D62" t="s">
        <v>85</v>
      </c>
      <c r="E62">
        <v>632</v>
      </c>
      <c r="F62">
        <v>1</v>
      </c>
      <c r="G62" t="s">
        <v>404</v>
      </c>
      <c r="H62" t="s">
        <v>407</v>
      </c>
      <c r="I62">
        <v>435</v>
      </c>
    </row>
    <row r="63" spans="1:9" x14ac:dyDescent="0.25">
      <c r="A63" t="s">
        <v>22</v>
      </c>
      <c r="B63" t="s">
        <v>77</v>
      </c>
      <c r="C63" t="s">
        <v>83</v>
      </c>
      <c r="D63" t="s">
        <v>88</v>
      </c>
      <c r="E63">
        <v>1044</v>
      </c>
      <c r="F63">
        <v>3</v>
      </c>
      <c r="G63" t="s">
        <v>404</v>
      </c>
      <c r="H63" t="s">
        <v>407</v>
      </c>
      <c r="I63">
        <v>447</v>
      </c>
    </row>
    <row r="64" spans="1:9" x14ac:dyDescent="0.25">
      <c r="A64" t="s">
        <v>50</v>
      </c>
      <c r="B64" t="s">
        <v>75</v>
      </c>
      <c r="C64" t="s">
        <v>83</v>
      </c>
      <c r="D64" t="s">
        <v>85</v>
      </c>
      <c r="E64">
        <v>4779</v>
      </c>
      <c r="F64">
        <v>9</v>
      </c>
      <c r="G64" t="s">
        <v>403</v>
      </c>
      <c r="H64" t="s">
        <v>406</v>
      </c>
      <c r="I64">
        <v>466</v>
      </c>
    </row>
    <row r="65" spans="1:9" x14ac:dyDescent="0.25">
      <c r="A65" t="s">
        <v>51</v>
      </c>
      <c r="B65" t="s">
        <v>73</v>
      </c>
      <c r="C65" t="s">
        <v>81</v>
      </c>
      <c r="D65" t="s">
        <v>85</v>
      </c>
      <c r="E65">
        <v>636</v>
      </c>
      <c r="F65">
        <v>2</v>
      </c>
      <c r="G65" t="s">
        <v>405</v>
      </c>
      <c r="H65" t="s">
        <v>408</v>
      </c>
      <c r="I65">
        <v>510</v>
      </c>
    </row>
    <row r="66" spans="1:9" x14ac:dyDescent="0.25">
      <c r="A66" t="s">
        <v>52</v>
      </c>
      <c r="B66" t="s">
        <v>80</v>
      </c>
      <c r="C66" t="s">
        <v>82</v>
      </c>
      <c r="D66" t="s">
        <v>86</v>
      </c>
      <c r="E66">
        <v>7800</v>
      </c>
      <c r="F66">
        <v>10</v>
      </c>
      <c r="G66" t="s">
        <v>403</v>
      </c>
      <c r="H66" t="s">
        <v>406</v>
      </c>
      <c r="I66">
        <v>477</v>
      </c>
    </row>
    <row r="67" spans="1:9" x14ac:dyDescent="0.25">
      <c r="A67" t="s">
        <v>53</v>
      </c>
      <c r="B67" t="s">
        <v>73</v>
      </c>
      <c r="C67" t="s">
        <v>81</v>
      </c>
      <c r="D67" t="s">
        <v>88</v>
      </c>
      <c r="E67">
        <v>545</v>
      </c>
      <c r="F67">
        <v>5</v>
      </c>
      <c r="G67" t="s">
        <v>403</v>
      </c>
      <c r="H67" t="s">
        <v>408</v>
      </c>
      <c r="I67">
        <v>493</v>
      </c>
    </row>
    <row r="68" spans="1:9" x14ac:dyDescent="0.25">
      <c r="A68" t="s">
        <v>54</v>
      </c>
      <c r="B68" t="s">
        <v>75</v>
      </c>
      <c r="C68" t="s">
        <v>83</v>
      </c>
      <c r="D68" t="s">
        <v>85</v>
      </c>
      <c r="E68">
        <v>6040</v>
      </c>
      <c r="F68">
        <v>20</v>
      </c>
      <c r="G68" t="s">
        <v>403</v>
      </c>
      <c r="H68" t="s">
        <v>406</v>
      </c>
      <c r="I68">
        <v>473</v>
      </c>
    </row>
    <row r="69" spans="1:9" x14ac:dyDescent="0.25">
      <c r="A69" t="s">
        <v>55</v>
      </c>
      <c r="B69" t="s">
        <v>74</v>
      </c>
      <c r="C69" t="s">
        <v>82</v>
      </c>
      <c r="D69" t="s">
        <v>88</v>
      </c>
      <c r="E69">
        <v>8136</v>
      </c>
      <c r="F69">
        <v>9</v>
      </c>
      <c r="G69" t="s">
        <v>403</v>
      </c>
      <c r="H69" t="s">
        <v>407</v>
      </c>
      <c r="I69">
        <v>455</v>
      </c>
    </row>
    <row r="70" spans="1:9" x14ac:dyDescent="0.25">
      <c r="A70" t="s">
        <v>56</v>
      </c>
      <c r="B70" t="s">
        <v>80</v>
      </c>
      <c r="C70" t="s">
        <v>82</v>
      </c>
      <c r="D70" t="s">
        <v>88</v>
      </c>
      <c r="E70">
        <v>3928</v>
      </c>
      <c r="F70">
        <v>4</v>
      </c>
      <c r="G70" t="s">
        <v>405</v>
      </c>
      <c r="H70" t="s">
        <v>408</v>
      </c>
      <c r="I70">
        <v>520</v>
      </c>
    </row>
    <row r="71" spans="1:9" x14ac:dyDescent="0.25">
      <c r="A71" t="s">
        <v>57</v>
      </c>
      <c r="B71" t="s">
        <v>80</v>
      </c>
      <c r="C71" t="s">
        <v>82</v>
      </c>
      <c r="D71" t="s">
        <v>87</v>
      </c>
      <c r="E71">
        <v>2968</v>
      </c>
      <c r="F71">
        <v>14</v>
      </c>
      <c r="G71" t="s">
        <v>403</v>
      </c>
      <c r="H71" t="s">
        <v>408</v>
      </c>
      <c r="I71">
        <v>499</v>
      </c>
    </row>
    <row r="72" spans="1:9" x14ac:dyDescent="0.25">
      <c r="A72" t="s">
        <v>58</v>
      </c>
      <c r="B72" t="s">
        <v>74</v>
      </c>
      <c r="C72" t="s">
        <v>82</v>
      </c>
      <c r="D72" t="s">
        <v>87</v>
      </c>
      <c r="E72">
        <v>3955</v>
      </c>
      <c r="F72">
        <v>5</v>
      </c>
      <c r="G72" t="s">
        <v>403</v>
      </c>
      <c r="H72" t="s">
        <v>406</v>
      </c>
      <c r="I72">
        <v>490</v>
      </c>
    </row>
    <row r="73" spans="1:9" x14ac:dyDescent="0.25">
      <c r="A73" t="s">
        <v>52</v>
      </c>
      <c r="B73" t="s">
        <v>75</v>
      </c>
      <c r="C73" t="s">
        <v>83</v>
      </c>
      <c r="D73" t="s">
        <v>85</v>
      </c>
      <c r="E73">
        <v>4048</v>
      </c>
      <c r="F73">
        <v>8</v>
      </c>
      <c r="G73" t="s">
        <v>403</v>
      </c>
      <c r="H73" t="s">
        <v>406</v>
      </c>
      <c r="I73">
        <v>477</v>
      </c>
    </row>
    <row r="74" spans="1:9" x14ac:dyDescent="0.25">
      <c r="A74" t="s">
        <v>59</v>
      </c>
      <c r="B74" t="s">
        <v>78</v>
      </c>
      <c r="C74" t="s">
        <v>84</v>
      </c>
      <c r="D74" t="s">
        <v>87</v>
      </c>
      <c r="E74">
        <v>6464</v>
      </c>
      <c r="F74">
        <v>8</v>
      </c>
      <c r="G74" t="s">
        <v>403</v>
      </c>
      <c r="H74" t="s">
        <v>407</v>
      </c>
      <c r="I74">
        <v>452</v>
      </c>
    </row>
    <row r="75" spans="1:9" x14ac:dyDescent="0.25">
      <c r="A75" t="s">
        <v>60</v>
      </c>
      <c r="B75" t="s">
        <v>73</v>
      </c>
      <c r="C75" t="s">
        <v>81</v>
      </c>
      <c r="D75" t="s">
        <v>88</v>
      </c>
      <c r="E75">
        <v>3042</v>
      </c>
      <c r="F75">
        <v>13</v>
      </c>
      <c r="G75" t="s">
        <v>403</v>
      </c>
      <c r="H75" t="s">
        <v>406</v>
      </c>
      <c r="I75">
        <v>469</v>
      </c>
    </row>
    <row r="76" spans="1:9" x14ac:dyDescent="0.25">
      <c r="A76" t="s">
        <v>61</v>
      </c>
      <c r="B76" t="s">
        <v>80</v>
      </c>
      <c r="C76" t="s">
        <v>82</v>
      </c>
      <c r="D76" t="s">
        <v>88</v>
      </c>
      <c r="E76">
        <v>9480</v>
      </c>
      <c r="F76">
        <v>15</v>
      </c>
      <c r="G76" t="s">
        <v>404</v>
      </c>
      <c r="H76" t="s">
        <v>409</v>
      </c>
      <c r="I76">
        <v>418</v>
      </c>
    </row>
    <row r="77" spans="1:9" x14ac:dyDescent="0.25">
      <c r="A77" t="s">
        <v>62</v>
      </c>
      <c r="B77" t="s">
        <v>75</v>
      </c>
      <c r="C77" t="s">
        <v>83</v>
      </c>
      <c r="D77" t="s">
        <v>88</v>
      </c>
      <c r="E77">
        <v>16321</v>
      </c>
      <c r="F77">
        <v>19</v>
      </c>
      <c r="G77" t="s">
        <v>405</v>
      </c>
      <c r="H77" t="s">
        <v>408</v>
      </c>
      <c r="I77">
        <v>513</v>
      </c>
    </row>
    <row r="78" spans="1:9" x14ac:dyDescent="0.25">
      <c r="A78" t="s">
        <v>63</v>
      </c>
      <c r="B78" t="s">
        <v>74</v>
      </c>
      <c r="C78" t="s">
        <v>82</v>
      </c>
      <c r="D78" t="s">
        <v>87</v>
      </c>
      <c r="E78">
        <v>8436</v>
      </c>
      <c r="F78">
        <v>19</v>
      </c>
      <c r="G78" t="s">
        <v>404</v>
      </c>
      <c r="H78" t="s">
        <v>409</v>
      </c>
      <c r="I78">
        <v>423</v>
      </c>
    </row>
    <row r="79" spans="1:9" x14ac:dyDescent="0.25">
      <c r="A79" t="s">
        <v>35</v>
      </c>
      <c r="B79" t="s">
        <v>74</v>
      </c>
      <c r="C79" t="s">
        <v>82</v>
      </c>
      <c r="D79" t="s">
        <v>85</v>
      </c>
      <c r="E79">
        <v>2832</v>
      </c>
      <c r="F79">
        <v>8</v>
      </c>
      <c r="G79" t="s">
        <v>404</v>
      </c>
      <c r="H79" t="s">
        <v>407</v>
      </c>
      <c r="I79">
        <v>432</v>
      </c>
    </row>
    <row r="80" spans="1:9" x14ac:dyDescent="0.25">
      <c r="A80" t="s">
        <v>10</v>
      </c>
      <c r="B80" t="s">
        <v>79</v>
      </c>
      <c r="C80" t="s">
        <v>81</v>
      </c>
      <c r="D80" t="s">
        <v>86</v>
      </c>
      <c r="E80">
        <v>8604</v>
      </c>
      <c r="F80">
        <v>18</v>
      </c>
      <c r="G80" t="s">
        <v>403</v>
      </c>
      <c r="H80" t="s">
        <v>406</v>
      </c>
      <c r="I80">
        <v>486</v>
      </c>
    </row>
    <row r="81" spans="1:9" x14ac:dyDescent="0.25">
      <c r="A81" t="s">
        <v>64</v>
      </c>
      <c r="B81" t="s">
        <v>73</v>
      </c>
      <c r="C81" t="s">
        <v>81</v>
      </c>
      <c r="D81" t="s">
        <v>86</v>
      </c>
      <c r="E81">
        <v>2805</v>
      </c>
      <c r="F81">
        <v>5</v>
      </c>
      <c r="G81" t="s">
        <v>405</v>
      </c>
      <c r="H81" t="s">
        <v>408</v>
      </c>
      <c r="I81">
        <v>514</v>
      </c>
    </row>
    <row r="82" spans="1:9" x14ac:dyDescent="0.25">
      <c r="A82" t="s">
        <v>65</v>
      </c>
      <c r="B82" t="s">
        <v>79</v>
      </c>
      <c r="C82" t="s">
        <v>81</v>
      </c>
      <c r="D82" t="s">
        <v>87</v>
      </c>
      <c r="E82">
        <v>5544</v>
      </c>
      <c r="F82">
        <v>7</v>
      </c>
      <c r="G82" t="s">
        <v>403</v>
      </c>
      <c r="H82" t="s">
        <v>406</v>
      </c>
      <c r="I82">
        <v>489</v>
      </c>
    </row>
    <row r="83" spans="1:9" x14ac:dyDescent="0.25">
      <c r="A83" t="s">
        <v>66</v>
      </c>
      <c r="B83" t="s">
        <v>77</v>
      </c>
      <c r="C83" t="s">
        <v>83</v>
      </c>
      <c r="D83" t="s">
        <v>88</v>
      </c>
      <c r="E83">
        <v>1694</v>
      </c>
      <c r="F83">
        <v>11</v>
      </c>
      <c r="G83" t="s">
        <v>405</v>
      </c>
      <c r="H83" t="s">
        <v>408</v>
      </c>
      <c r="I83">
        <v>512</v>
      </c>
    </row>
    <row r="84" spans="1:9" x14ac:dyDescent="0.25">
      <c r="A84" t="s">
        <v>64</v>
      </c>
      <c r="B84" t="s">
        <v>75</v>
      </c>
      <c r="C84" t="s">
        <v>83</v>
      </c>
      <c r="D84" t="s">
        <v>86</v>
      </c>
      <c r="E84">
        <v>5760</v>
      </c>
      <c r="F84">
        <v>9</v>
      </c>
      <c r="G84" t="s">
        <v>405</v>
      </c>
      <c r="H84" t="s">
        <v>408</v>
      </c>
      <c r="I84">
        <v>514</v>
      </c>
    </row>
    <row r="85" spans="1:9" x14ac:dyDescent="0.25">
      <c r="A85" t="s">
        <v>67</v>
      </c>
      <c r="B85" t="s">
        <v>78</v>
      </c>
      <c r="C85" t="s">
        <v>84</v>
      </c>
      <c r="D85" t="s">
        <v>85</v>
      </c>
      <c r="E85">
        <v>8550</v>
      </c>
      <c r="F85">
        <v>10</v>
      </c>
      <c r="G85" t="s">
        <v>403</v>
      </c>
      <c r="H85" t="s">
        <v>406</v>
      </c>
      <c r="I85">
        <v>467</v>
      </c>
    </row>
    <row r="86" spans="1:9" x14ac:dyDescent="0.25">
      <c r="A86" t="s">
        <v>68</v>
      </c>
      <c r="B86" t="s">
        <v>79</v>
      </c>
      <c r="C86" t="s">
        <v>81</v>
      </c>
      <c r="D86" t="s">
        <v>86</v>
      </c>
      <c r="E86">
        <v>1220</v>
      </c>
      <c r="F86">
        <v>5</v>
      </c>
      <c r="G86" t="s">
        <v>405</v>
      </c>
      <c r="H86" t="s">
        <v>408</v>
      </c>
      <c r="I86">
        <v>511</v>
      </c>
    </row>
    <row r="87" spans="1:9" x14ac:dyDescent="0.25">
      <c r="A87" t="s">
        <v>69</v>
      </c>
      <c r="B87" t="s">
        <v>77</v>
      </c>
      <c r="C87" t="s">
        <v>83</v>
      </c>
      <c r="D87" t="s">
        <v>88</v>
      </c>
      <c r="E87">
        <v>2490</v>
      </c>
      <c r="F87">
        <v>15</v>
      </c>
      <c r="G87" t="s">
        <v>404</v>
      </c>
      <c r="H87" t="s">
        <v>409</v>
      </c>
      <c r="I87">
        <v>402</v>
      </c>
    </row>
    <row r="88" spans="1:9" x14ac:dyDescent="0.25">
      <c r="A88" t="s">
        <v>70</v>
      </c>
      <c r="B88" t="s">
        <v>73</v>
      </c>
      <c r="C88" t="s">
        <v>81</v>
      </c>
      <c r="D88" t="s">
        <v>88</v>
      </c>
      <c r="E88">
        <v>3225</v>
      </c>
      <c r="F88">
        <v>15</v>
      </c>
      <c r="G88" t="s">
        <v>404</v>
      </c>
      <c r="H88" t="s">
        <v>407</v>
      </c>
      <c r="I88">
        <v>448</v>
      </c>
    </row>
    <row r="89" spans="1:9" x14ac:dyDescent="0.25">
      <c r="A89" t="s">
        <v>40</v>
      </c>
      <c r="B89" t="s">
        <v>79</v>
      </c>
      <c r="C89" t="s">
        <v>81</v>
      </c>
      <c r="D89" t="s">
        <v>88</v>
      </c>
      <c r="E89">
        <v>7930</v>
      </c>
      <c r="F89">
        <v>13</v>
      </c>
      <c r="G89" t="s">
        <v>403</v>
      </c>
      <c r="H89" t="s">
        <v>407</v>
      </c>
      <c r="I89">
        <v>454</v>
      </c>
    </row>
    <row r="90" spans="1:9" x14ac:dyDescent="0.25">
      <c r="A90" t="s">
        <v>63</v>
      </c>
      <c r="B90" t="s">
        <v>78</v>
      </c>
      <c r="C90" t="s">
        <v>84</v>
      </c>
      <c r="D90" t="s">
        <v>85</v>
      </c>
      <c r="E90">
        <v>12920</v>
      </c>
      <c r="F90">
        <v>19</v>
      </c>
      <c r="G90" t="s">
        <v>404</v>
      </c>
      <c r="H90" t="s">
        <v>409</v>
      </c>
      <c r="I90">
        <v>423</v>
      </c>
    </row>
    <row r="91" spans="1:9" x14ac:dyDescent="0.25">
      <c r="A91" t="s">
        <v>40</v>
      </c>
      <c r="B91" t="s">
        <v>77</v>
      </c>
      <c r="C91" t="s">
        <v>83</v>
      </c>
      <c r="D91" t="s">
        <v>85</v>
      </c>
      <c r="E91">
        <v>4685</v>
      </c>
      <c r="F91">
        <v>5</v>
      </c>
      <c r="G91" t="s">
        <v>403</v>
      </c>
      <c r="H91" t="s">
        <v>407</v>
      </c>
      <c r="I91">
        <v>454</v>
      </c>
    </row>
    <row r="92" spans="1:9" x14ac:dyDescent="0.25">
      <c r="A92" t="s">
        <v>9</v>
      </c>
      <c r="B92" t="s">
        <v>74</v>
      </c>
      <c r="C92" t="s">
        <v>82</v>
      </c>
      <c r="D92" t="s">
        <v>88</v>
      </c>
      <c r="E92">
        <v>808</v>
      </c>
      <c r="F92">
        <v>8</v>
      </c>
      <c r="G92" t="s">
        <v>403</v>
      </c>
      <c r="H92" t="s">
        <v>406</v>
      </c>
      <c r="I92">
        <v>485</v>
      </c>
    </row>
    <row r="93" spans="1:9" x14ac:dyDescent="0.25">
      <c r="A93" t="s">
        <v>38</v>
      </c>
      <c r="B93" t="s">
        <v>76</v>
      </c>
      <c r="C93" t="s">
        <v>84</v>
      </c>
      <c r="D93" t="s">
        <v>85</v>
      </c>
      <c r="E93">
        <v>1592</v>
      </c>
      <c r="F93">
        <v>4</v>
      </c>
      <c r="G93" t="s">
        <v>404</v>
      </c>
      <c r="H93" t="s">
        <v>409</v>
      </c>
      <c r="I93">
        <v>430</v>
      </c>
    </row>
    <row r="94" spans="1:9" x14ac:dyDescent="0.25">
      <c r="A94" t="s">
        <v>15</v>
      </c>
      <c r="B94" t="s">
        <v>75</v>
      </c>
      <c r="C94" t="s">
        <v>83</v>
      </c>
      <c r="D94" t="s">
        <v>86</v>
      </c>
      <c r="E94">
        <v>14860</v>
      </c>
      <c r="F94">
        <v>20</v>
      </c>
      <c r="G94" t="s">
        <v>404</v>
      </c>
      <c r="H94" t="s">
        <v>410</v>
      </c>
      <c r="I94">
        <v>401</v>
      </c>
    </row>
    <row r="95" spans="1:9" x14ac:dyDescent="0.25">
      <c r="A95" t="s">
        <v>49</v>
      </c>
      <c r="B95" t="s">
        <v>78</v>
      </c>
      <c r="C95" t="s">
        <v>84</v>
      </c>
      <c r="D95" t="s">
        <v>86</v>
      </c>
      <c r="E95">
        <v>8040</v>
      </c>
      <c r="F95">
        <v>10</v>
      </c>
      <c r="G95" t="s">
        <v>405</v>
      </c>
      <c r="H95" t="s">
        <v>408</v>
      </c>
      <c r="I95">
        <v>521</v>
      </c>
    </row>
    <row r="96" spans="1:9" x14ac:dyDescent="0.25">
      <c r="A96" t="s">
        <v>33</v>
      </c>
      <c r="B96" t="s">
        <v>78</v>
      </c>
      <c r="C96" t="s">
        <v>84</v>
      </c>
      <c r="D96" t="s">
        <v>87</v>
      </c>
      <c r="E96">
        <v>3880</v>
      </c>
      <c r="F96">
        <v>20</v>
      </c>
      <c r="G96" t="s">
        <v>404</v>
      </c>
      <c r="H96" t="s">
        <v>409</v>
      </c>
      <c r="I96">
        <v>417</v>
      </c>
    </row>
    <row r="97" spans="1:9" x14ac:dyDescent="0.25">
      <c r="A97" t="s">
        <v>71</v>
      </c>
      <c r="B97" t="s">
        <v>75</v>
      </c>
      <c r="C97" t="s">
        <v>83</v>
      </c>
      <c r="D97" t="s">
        <v>87</v>
      </c>
      <c r="E97">
        <v>2522</v>
      </c>
      <c r="F97">
        <v>13</v>
      </c>
      <c r="G97" t="s">
        <v>404</v>
      </c>
      <c r="H97" t="s">
        <v>409</v>
      </c>
      <c r="I97">
        <v>414</v>
      </c>
    </row>
    <row r="98" spans="1:9" x14ac:dyDescent="0.25">
      <c r="A98" t="s">
        <v>28</v>
      </c>
      <c r="B98" t="s">
        <v>76</v>
      </c>
      <c r="C98" t="s">
        <v>84</v>
      </c>
      <c r="D98" t="s">
        <v>85</v>
      </c>
      <c r="E98">
        <v>852</v>
      </c>
      <c r="F98">
        <v>2</v>
      </c>
      <c r="G98" t="s">
        <v>403</v>
      </c>
      <c r="H98" t="s">
        <v>406</v>
      </c>
      <c r="I98">
        <v>478</v>
      </c>
    </row>
    <row r="99" spans="1:9" x14ac:dyDescent="0.25">
      <c r="A99" t="s">
        <v>59</v>
      </c>
      <c r="B99" t="s">
        <v>73</v>
      </c>
      <c r="C99" t="s">
        <v>81</v>
      </c>
      <c r="D99" t="s">
        <v>85</v>
      </c>
      <c r="E99">
        <v>1185</v>
      </c>
      <c r="F99">
        <v>5</v>
      </c>
      <c r="G99" t="s">
        <v>403</v>
      </c>
      <c r="H99" t="s">
        <v>407</v>
      </c>
      <c r="I99">
        <v>452</v>
      </c>
    </row>
    <row r="100" spans="1:9" x14ac:dyDescent="0.25">
      <c r="A100" t="s">
        <v>21</v>
      </c>
      <c r="B100" t="s">
        <v>73</v>
      </c>
      <c r="C100" t="s">
        <v>81</v>
      </c>
      <c r="D100" t="s">
        <v>85</v>
      </c>
      <c r="E100">
        <v>1836</v>
      </c>
      <c r="F100">
        <v>12</v>
      </c>
      <c r="G100" t="s">
        <v>404</v>
      </c>
      <c r="H100" t="s">
        <v>407</v>
      </c>
      <c r="I100">
        <v>438</v>
      </c>
    </row>
    <row r="101" spans="1:9" x14ac:dyDescent="0.25">
      <c r="A101" t="s">
        <v>29</v>
      </c>
      <c r="B101" t="s">
        <v>80</v>
      </c>
      <c r="C101" t="s">
        <v>82</v>
      </c>
      <c r="D101" t="s">
        <v>87</v>
      </c>
      <c r="E101">
        <v>3835</v>
      </c>
      <c r="F101">
        <v>5</v>
      </c>
      <c r="G101" t="s">
        <v>403</v>
      </c>
      <c r="H101" t="s">
        <v>408</v>
      </c>
      <c r="I101">
        <v>500</v>
      </c>
    </row>
    <row r="102" spans="1:9" x14ac:dyDescent="0.25">
      <c r="A102" t="s">
        <v>72</v>
      </c>
      <c r="B102" t="s">
        <v>75</v>
      </c>
      <c r="C102" t="s">
        <v>83</v>
      </c>
      <c r="D102" t="s">
        <v>85</v>
      </c>
      <c r="E102">
        <v>2460</v>
      </c>
      <c r="F102">
        <v>12</v>
      </c>
      <c r="G102" t="s">
        <v>403</v>
      </c>
      <c r="H102" t="s">
        <v>406</v>
      </c>
      <c r="I102">
        <v>468</v>
      </c>
    </row>
    <row r="103" spans="1:9" x14ac:dyDescent="0.25">
      <c r="A103" t="s">
        <v>10</v>
      </c>
      <c r="B103" t="s">
        <v>78</v>
      </c>
      <c r="C103" t="s">
        <v>84</v>
      </c>
      <c r="D103" t="s">
        <v>88</v>
      </c>
      <c r="E103">
        <v>3941</v>
      </c>
      <c r="F103">
        <v>7</v>
      </c>
      <c r="G103" t="s">
        <v>403</v>
      </c>
      <c r="H103" t="s">
        <v>406</v>
      </c>
      <c r="I103">
        <v>486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41E9D-0014-4024-A090-10F3C103207D}">
  <sheetPr codeName="Sheet16"/>
  <dimension ref="A1:I14"/>
  <sheetViews>
    <sheetView workbookViewId="0"/>
  </sheetViews>
  <sheetFormatPr defaultRowHeight="15" x14ac:dyDescent="0.25"/>
  <cols>
    <col min="1" max="1" width="14.7109375" bestFit="1" customWidth="1"/>
    <col min="2" max="2" width="17.5703125" bestFit="1" customWidth="1"/>
    <col min="3" max="3" width="18.5703125" bestFit="1" customWidth="1"/>
    <col min="4" max="4" width="16.85546875" bestFit="1" customWidth="1"/>
    <col min="5" max="5" width="23" bestFit="1" customWidth="1"/>
    <col min="6" max="6" width="22.85546875" bestFit="1" customWidth="1"/>
    <col min="7" max="7" width="13.42578125" bestFit="1" customWidth="1"/>
    <col min="8" max="8" width="18.5703125" bestFit="1" customWidth="1"/>
    <col min="9" max="9" width="13.7109375" bestFit="1" customWidth="1"/>
  </cols>
  <sheetData>
    <row r="1" spans="1:9" x14ac:dyDescent="0.25">
      <c r="A1" s="90" t="s">
        <v>423</v>
      </c>
    </row>
    <row r="3" spans="1:9" x14ac:dyDescent="0.25">
      <c r="A3" t="s">
        <v>413</v>
      </c>
      <c r="B3" t="s">
        <v>414</v>
      </c>
      <c r="C3" t="s">
        <v>415</v>
      </c>
      <c r="D3" t="s">
        <v>416</v>
      </c>
      <c r="E3" t="s">
        <v>417</v>
      </c>
      <c r="F3" t="s">
        <v>418</v>
      </c>
      <c r="G3" t="s">
        <v>419</v>
      </c>
      <c r="H3" t="s">
        <v>420</v>
      </c>
      <c r="I3" t="s">
        <v>421</v>
      </c>
    </row>
    <row r="4" spans="1:9" x14ac:dyDescent="0.25">
      <c r="A4" t="s">
        <v>9</v>
      </c>
      <c r="B4" t="s">
        <v>76</v>
      </c>
      <c r="C4" t="s">
        <v>84</v>
      </c>
      <c r="D4" t="s">
        <v>85</v>
      </c>
      <c r="E4">
        <v>676</v>
      </c>
      <c r="F4">
        <v>4</v>
      </c>
      <c r="G4" t="s">
        <v>403</v>
      </c>
      <c r="H4" t="s">
        <v>406</v>
      </c>
      <c r="I4">
        <v>485</v>
      </c>
    </row>
    <row r="5" spans="1:9" x14ac:dyDescent="0.25">
      <c r="A5" t="s">
        <v>14</v>
      </c>
      <c r="B5" t="s">
        <v>78</v>
      </c>
      <c r="C5" t="s">
        <v>84</v>
      </c>
      <c r="D5" t="s">
        <v>85</v>
      </c>
      <c r="E5">
        <v>7776</v>
      </c>
      <c r="F5">
        <v>8</v>
      </c>
      <c r="G5" t="s">
        <v>404</v>
      </c>
      <c r="H5" t="s">
        <v>407</v>
      </c>
      <c r="I5">
        <v>444</v>
      </c>
    </row>
    <row r="6" spans="1:9" x14ac:dyDescent="0.25">
      <c r="A6" t="s">
        <v>20</v>
      </c>
      <c r="B6" t="s">
        <v>78</v>
      </c>
      <c r="C6" t="s">
        <v>84</v>
      </c>
      <c r="D6" t="s">
        <v>85</v>
      </c>
      <c r="E6">
        <v>558</v>
      </c>
      <c r="F6">
        <v>1</v>
      </c>
      <c r="G6" t="s">
        <v>403</v>
      </c>
      <c r="H6" t="s">
        <v>407</v>
      </c>
      <c r="I6">
        <v>457</v>
      </c>
    </row>
    <row r="7" spans="1:9" x14ac:dyDescent="0.25">
      <c r="A7" t="s">
        <v>21</v>
      </c>
      <c r="B7" t="s">
        <v>76</v>
      </c>
      <c r="C7" t="s">
        <v>84</v>
      </c>
      <c r="D7" t="s">
        <v>85</v>
      </c>
      <c r="E7">
        <v>6413</v>
      </c>
      <c r="F7">
        <v>11</v>
      </c>
      <c r="G7" t="s">
        <v>404</v>
      </c>
      <c r="H7" t="s">
        <v>407</v>
      </c>
      <c r="I7">
        <v>438</v>
      </c>
    </row>
    <row r="8" spans="1:9" x14ac:dyDescent="0.25">
      <c r="A8" t="s">
        <v>30</v>
      </c>
      <c r="B8" t="s">
        <v>78</v>
      </c>
      <c r="C8" t="s">
        <v>84</v>
      </c>
      <c r="D8" t="s">
        <v>85</v>
      </c>
      <c r="E8">
        <v>7840</v>
      </c>
      <c r="F8">
        <v>14</v>
      </c>
      <c r="G8" t="s">
        <v>404</v>
      </c>
      <c r="H8" t="s">
        <v>407</v>
      </c>
      <c r="I8">
        <v>435</v>
      </c>
    </row>
    <row r="9" spans="1:9" x14ac:dyDescent="0.25">
      <c r="A9" t="s">
        <v>37</v>
      </c>
      <c r="B9" t="s">
        <v>76</v>
      </c>
      <c r="C9" t="s">
        <v>84</v>
      </c>
      <c r="D9" t="s">
        <v>85</v>
      </c>
      <c r="E9">
        <v>2853</v>
      </c>
      <c r="F9">
        <v>9</v>
      </c>
      <c r="G9" t="s">
        <v>404</v>
      </c>
      <c r="H9" t="s">
        <v>409</v>
      </c>
      <c r="I9">
        <v>431</v>
      </c>
    </row>
    <row r="10" spans="1:9" x14ac:dyDescent="0.25">
      <c r="A10" t="s">
        <v>27</v>
      </c>
      <c r="B10" t="s">
        <v>78</v>
      </c>
      <c r="C10" t="s">
        <v>84</v>
      </c>
      <c r="D10" t="s">
        <v>85</v>
      </c>
      <c r="E10">
        <v>14256</v>
      </c>
      <c r="F10">
        <v>16</v>
      </c>
      <c r="G10" t="s">
        <v>405</v>
      </c>
      <c r="H10" t="s">
        <v>408</v>
      </c>
      <c r="I10">
        <v>519</v>
      </c>
    </row>
    <row r="11" spans="1:9" x14ac:dyDescent="0.25">
      <c r="A11" t="s">
        <v>67</v>
      </c>
      <c r="B11" t="s">
        <v>78</v>
      </c>
      <c r="C11" t="s">
        <v>84</v>
      </c>
      <c r="D11" t="s">
        <v>85</v>
      </c>
      <c r="E11">
        <v>8550</v>
      </c>
      <c r="F11">
        <v>10</v>
      </c>
      <c r="G11" t="s">
        <v>403</v>
      </c>
      <c r="H11" t="s">
        <v>406</v>
      </c>
      <c r="I11">
        <v>467</v>
      </c>
    </row>
    <row r="12" spans="1:9" x14ac:dyDescent="0.25">
      <c r="A12" t="s">
        <v>63</v>
      </c>
      <c r="B12" t="s">
        <v>78</v>
      </c>
      <c r="C12" t="s">
        <v>84</v>
      </c>
      <c r="D12" t="s">
        <v>85</v>
      </c>
      <c r="E12">
        <v>12920</v>
      </c>
      <c r="F12">
        <v>19</v>
      </c>
      <c r="G12" t="s">
        <v>404</v>
      </c>
      <c r="H12" t="s">
        <v>409</v>
      </c>
      <c r="I12">
        <v>423</v>
      </c>
    </row>
    <row r="13" spans="1:9" x14ac:dyDescent="0.25">
      <c r="A13" t="s">
        <v>38</v>
      </c>
      <c r="B13" t="s">
        <v>76</v>
      </c>
      <c r="C13" t="s">
        <v>84</v>
      </c>
      <c r="D13" t="s">
        <v>85</v>
      </c>
      <c r="E13">
        <v>1592</v>
      </c>
      <c r="F13">
        <v>4</v>
      </c>
      <c r="G13" t="s">
        <v>404</v>
      </c>
      <c r="H13" t="s">
        <v>409</v>
      </c>
      <c r="I13">
        <v>430</v>
      </c>
    </row>
    <row r="14" spans="1:9" x14ac:dyDescent="0.25">
      <c r="A14" t="s">
        <v>28</v>
      </c>
      <c r="B14" t="s">
        <v>76</v>
      </c>
      <c r="C14" t="s">
        <v>84</v>
      </c>
      <c r="D14" t="s">
        <v>85</v>
      </c>
      <c r="E14">
        <v>852</v>
      </c>
      <c r="F14">
        <v>2</v>
      </c>
      <c r="G14" t="s">
        <v>403</v>
      </c>
      <c r="H14" t="s">
        <v>406</v>
      </c>
      <c r="I14">
        <v>478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EF4AB-CD79-4F5C-8F32-ECCFF494A93E}">
  <sheetPr codeName="Sheet17"/>
  <dimension ref="A1:BU89"/>
  <sheetViews>
    <sheetView showRowColHeaders="0" topLeftCell="AW1" zoomScale="85" zoomScaleNormal="85" workbookViewId="0">
      <selection activeCell="BP40" sqref="BP40"/>
    </sheetView>
  </sheetViews>
  <sheetFormatPr defaultRowHeight="15" x14ac:dyDescent="0.25"/>
  <cols>
    <col min="1" max="1" width="13.28515625" bestFit="1" customWidth="1"/>
    <col min="2" max="2" width="20" bestFit="1" customWidth="1"/>
    <col min="3" max="3" width="8.42578125" bestFit="1" customWidth="1"/>
    <col min="4" max="4" width="13.28515625" bestFit="1" customWidth="1"/>
    <col min="5" max="5" width="19.85546875" bestFit="1" customWidth="1"/>
    <col min="6" max="7" width="11.28515625" bestFit="1" customWidth="1"/>
    <col min="8" max="8" width="20" bestFit="1" customWidth="1"/>
    <col min="16" max="16" width="19.85546875" bestFit="1" customWidth="1"/>
    <col min="17" max="17" width="16.28515625" bestFit="1" customWidth="1"/>
    <col min="18" max="18" width="8.42578125" bestFit="1" customWidth="1"/>
    <col min="19" max="19" width="10.5703125" bestFit="1" customWidth="1"/>
    <col min="20" max="20" width="9.42578125" bestFit="1" customWidth="1"/>
    <col min="21" max="21" width="11.28515625" bestFit="1" customWidth="1"/>
    <col min="46" max="47" width="21" bestFit="1" customWidth="1"/>
    <col min="65" max="65" width="19.85546875" bestFit="1" customWidth="1"/>
    <col min="66" max="66" width="10.7109375" bestFit="1" customWidth="1"/>
    <col min="67" max="67" width="8.42578125" bestFit="1" customWidth="1"/>
    <col min="68" max="68" width="10.5703125" bestFit="1" customWidth="1"/>
    <col min="69" max="69" width="9.42578125" bestFit="1" customWidth="1"/>
    <col min="70" max="70" width="11.28515625" bestFit="1" customWidth="1"/>
    <col min="75" max="75" width="19.85546875" bestFit="1" customWidth="1"/>
    <col min="76" max="76" width="10.7109375" bestFit="1" customWidth="1"/>
    <col min="77" max="77" width="8.42578125" bestFit="1" customWidth="1"/>
    <col min="78" max="78" width="10.5703125" bestFit="1" customWidth="1"/>
    <col min="79" max="79" width="9.42578125" bestFit="1" customWidth="1"/>
    <col min="80" max="80" width="11.28515625" bestFit="1" customWidth="1"/>
  </cols>
  <sheetData>
    <row r="1" spans="1:73" x14ac:dyDescent="0.25">
      <c r="AX1" s="23"/>
      <c r="AY1" s="23"/>
      <c r="AZ1" s="23"/>
      <c r="BA1" s="23"/>
      <c r="BB1" s="23"/>
      <c r="BC1" s="23"/>
      <c r="BD1" s="23"/>
      <c r="BE1" s="23"/>
      <c r="BF1" s="23"/>
      <c r="BG1" s="23"/>
      <c r="BH1" s="23"/>
      <c r="BI1" s="23"/>
      <c r="BJ1" s="23"/>
      <c r="BK1" s="23"/>
      <c r="BL1" s="23"/>
      <c r="BM1" s="23"/>
      <c r="BN1" s="23"/>
      <c r="BO1" s="23"/>
      <c r="BP1" s="23"/>
      <c r="BQ1" s="23"/>
      <c r="BR1" s="23"/>
    </row>
    <row r="2" spans="1:73" x14ac:dyDescent="0.25">
      <c r="AX2" s="23"/>
      <c r="AY2" s="23"/>
      <c r="AZ2" s="23"/>
      <c r="BA2" s="23"/>
      <c r="BB2" s="23"/>
      <c r="BC2" s="23"/>
      <c r="BD2" s="23"/>
      <c r="BE2" s="23"/>
      <c r="BF2" s="116">
        <f>GETPIVOTDATA("[Measures].[sum of sales]",$D$31)</f>
        <v>528120</v>
      </c>
      <c r="BG2" s="116"/>
      <c r="BH2" s="116"/>
      <c r="BI2" s="23"/>
      <c r="BJ2" s="116">
        <f>GETPIVOTDATA("[Measures].[average sales]",$D$31)</f>
        <v>5281.2</v>
      </c>
      <c r="BK2" s="116"/>
      <c r="BL2" s="116"/>
      <c r="BM2" s="116">
        <f>GETPIVOTDATA("[Measures].[Total Quantity Sold]",$AT$13)</f>
        <v>997</v>
      </c>
      <c r="BN2" s="116"/>
      <c r="BO2" s="23"/>
      <c r="BP2" s="116">
        <f>GETPIVOTDATA("[Measures].[Average Quantity Sold]",$AT$17)</f>
        <v>9.9700000000000006</v>
      </c>
      <c r="BQ2" s="116"/>
      <c r="BR2" s="116"/>
    </row>
    <row r="3" spans="1:73" x14ac:dyDescent="0.25">
      <c r="A3" s="88" t="s">
        <v>367</v>
      </c>
      <c r="B3" t="s">
        <v>369</v>
      </c>
      <c r="AX3" s="23"/>
      <c r="AY3" s="23"/>
      <c r="AZ3" s="23"/>
      <c r="BA3" s="23"/>
      <c r="BB3" s="23"/>
      <c r="BC3" s="23"/>
      <c r="BD3" s="23"/>
      <c r="BE3" s="23"/>
      <c r="BF3" s="116"/>
      <c r="BG3" s="116"/>
      <c r="BH3" s="116"/>
      <c r="BI3" s="23"/>
      <c r="BJ3" s="116"/>
      <c r="BK3" s="116"/>
      <c r="BL3" s="116"/>
      <c r="BM3" s="116"/>
      <c r="BN3" s="116"/>
      <c r="BO3" s="23"/>
      <c r="BP3" s="116"/>
      <c r="BQ3" s="116"/>
      <c r="BR3" s="116"/>
    </row>
    <row r="4" spans="1:73" x14ac:dyDescent="0.25">
      <c r="A4" s="89" t="s">
        <v>84</v>
      </c>
      <c r="B4">
        <v>153552</v>
      </c>
      <c r="AX4" s="23"/>
      <c r="AY4" s="23"/>
      <c r="AZ4" s="23"/>
      <c r="BA4" s="23"/>
      <c r="BB4" s="23"/>
      <c r="BC4" s="23"/>
      <c r="BD4" s="23"/>
      <c r="BE4" s="23"/>
      <c r="BF4" s="116"/>
      <c r="BG4" s="116"/>
      <c r="BH4" s="116"/>
      <c r="BI4" s="23"/>
      <c r="BJ4" s="116"/>
      <c r="BK4" s="116"/>
      <c r="BL4" s="116"/>
      <c r="BM4" s="116"/>
      <c r="BN4" s="116"/>
      <c r="BO4" s="23"/>
      <c r="BP4" s="116"/>
      <c r="BQ4" s="116"/>
      <c r="BR4" s="116"/>
      <c r="BT4" s="29"/>
      <c r="BU4" s="29"/>
    </row>
    <row r="5" spans="1:73" x14ac:dyDescent="0.25">
      <c r="A5" s="89" t="s">
        <v>83</v>
      </c>
      <c r="B5">
        <v>158978</v>
      </c>
      <c r="AX5" s="23"/>
      <c r="AY5" s="23"/>
      <c r="AZ5" s="23"/>
      <c r="BA5" s="23"/>
      <c r="BB5" s="23"/>
      <c r="BC5" s="23"/>
      <c r="BD5" s="23"/>
      <c r="BE5" s="23"/>
      <c r="BF5" s="116"/>
      <c r="BG5" s="116"/>
      <c r="BH5" s="116"/>
      <c r="BI5" s="23"/>
      <c r="BJ5" s="116"/>
      <c r="BK5" s="116"/>
      <c r="BL5" s="116"/>
      <c r="BM5" s="116"/>
      <c r="BN5" s="116"/>
      <c r="BO5" s="23"/>
      <c r="BP5" s="116"/>
      <c r="BQ5" s="116"/>
      <c r="BR5" s="116"/>
      <c r="BT5" s="29"/>
      <c r="BU5" s="29"/>
    </row>
    <row r="6" spans="1:73" x14ac:dyDescent="0.25">
      <c r="A6" s="89" t="s">
        <v>82</v>
      </c>
      <c r="B6">
        <v>128340</v>
      </c>
      <c r="AX6" s="23"/>
      <c r="AY6" s="23"/>
      <c r="AZ6" s="23"/>
      <c r="BA6" s="23"/>
      <c r="BB6" s="23"/>
      <c r="BC6" s="23"/>
      <c r="BD6" s="23"/>
      <c r="BE6" s="23"/>
      <c r="BF6" s="23"/>
      <c r="BG6" s="23"/>
      <c r="BH6" s="23"/>
      <c r="BI6" s="23"/>
      <c r="BJ6" s="23"/>
      <c r="BK6" s="23"/>
      <c r="BL6" s="23"/>
      <c r="BM6" s="23"/>
      <c r="BN6" s="23"/>
      <c r="BO6" s="23"/>
      <c r="BP6" s="23"/>
      <c r="BQ6" s="23"/>
      <c r="BR6" s="23"/>
      <c r="BT6" s="29"/>
      <c r="BU6" s="29"/>
    </row>
    <row r="7" spans="1:73" x14ac:dyDescent="0.25">
      <c r="A7" s="89" t="s">
        <v>81</v>
      </c>
      <c r="B7">
        <v>87250</v>
      </c>
      <c r="AM7" s="97"/>
      <c r="AN7" s="98"/>
      <c r="AO7" s="99"/>
      <c r="AX7" s="23"/>
      <c r="AY7" s="23"/>
      <c r="AZ7" s="23"/>
      <c r="BA7" s="23"/>
      <c r="BB7" s="23"/>
      <c r="BC7" s="23"/>
      <c r="BD7" s="23"/>
      <c r="BE7" s="23"/>
      <c r="BF7" s="23"/>
      <c r="BG7" s="23"/>
      <c r="BH7" s="23"/>
      <c r="BI7" s="23"/>
      <c r="BJ7" s="23"/>
      <c r="BK7" s="23"/>
      <c r="BL7" s="23"/>
      <c r="BM7" s="23"/>
      <c r="BN7" s="23"/>
      <c r="BO7" s="23"/>
      <c r="BP7" s="23"/>
      <c r="BQ7" s="23"/>
      <c r="BR7" s="23"/>
      <c r="BT7" s="29"/>
      <c r="BU7" s="29"/>
    </row>
    <row r="8" spans="1:73" x14ac:dyDescent="0.25">
      <c r="A8" s="89" t="s">
        <v>368</v>
      </c>
      <c r="B8">
        <v>528120</v>
      </c>
      <c r="AM8" s="100"/>
      <c r="AN8" s="101"/>
      <c r="AO8" s="102"/>
      <c r="AV8" t="s">
        <v>282</v>
      </c>
      <c r="AX8" s="23"/>
      <c r="AY8" s="23"/>
      <c r="AZ8" s="23"/>
      <c r="BA8" s="23"/>
      <c r="BB8" s="23"/>
      <c r="BC8" s="23"/>
      <c r="BD8" s="23"/>
      <c r="BE8" s="23"/>
      <c r="BF8" s="23"/>
      <c r="BG8" s="23"/>
      <c r="BH8" s="23"/>
      <c r="BI8" s="23"/>
      <c r="BJ8" s="23"/>
      <c r="BK8" s="23"/>
      <c r="BL8" s="23"/>
      <c r="BM8" s="23"/>
      <c r="BN8" s="23"/>
      <c r="BO8" s="23"/>
      <c r="BP8" s="23"/>
      <c r="BQ8" s="23"/>
      <c r="BR8" s="23"/>
      <c r="BT8" s="29"/>
      <c r="BU8" s="29"/>
    </row>
    <row r="9" spans="1:73" x14ac:dyDescent="0.25">
      <c r="Y9" s="95"/>
      <c r="Z9" s="95"/>
      <c r="AA9" s="95"/>
      <c r="AB9" s="95"/>
      <c r="AC9" s="95"/>
      <c r="AD9" s="95"/>
      <c r="AE9" s="95"/>
      <c r="AF9" s="95"/>
      <c r="AG9" s="95"/>
      <c r="AH9" s="95"/>
      <c r="AI9" s="95"/>
      <c r="AJ9" s="95"/>
      <c r="AK9" s="95"/>
      <c r="AL9" s="95"/>
      <c r="AM9" s="100"/>
      <c r="AN9" s="101"/>
      <c r="AO9" s="102"/>
      <c r="AP9" s="95"/>
      <c r="AX9" s="23"/>
      <c r="AY9" s="23"/>
      <c r="AZ9" s="23"/>
      <c r="BA9" s="23"/>
      <c r="BB9" s="23"/>
      <c r="BC9" s="23"/>
      <c r="BD9" s="23"/>
      <c r="BE9" s="23"/>
      <c r="BF9" s="23"/>
      <c r="BG9" s="23"/>
      <c r="BH9" s="23"/>
      <c r="BI9" s="23"/>
      <c r="BJ9" s="23"/>
      <c r="BK9" s="23"/>
      <c r="BL9" s="23"/>
      <c r="BM9" s="23"/>
      <c r="BN9" s="23"/>
      <c r="BO9" s="23"/>
      <c r="BP9" s="23"/>
      <c r="BQ9" s="23"/>
      <c r="BR9" s="23"/>
      <c r="BT9" s="29"/>
      <c r="BU9" s="29"/>
    </row>
    <row r="10" spans="1:73" x14ac:dyDescent="0.25">
      <c r="Y10" s="95"/>
      <c r="Z10" s="95"/>
      <c r="AA10" s="95"/>
      <c r="AB10" s="95"/>
      <c r="AC10" s="95"/>
      <c r="AD10" s="95"/>
      <c r="AE10" s="95"/>
      <c r="AF10" s="95"/>
      <c r="AG10" s="95"/>
      <c r="AH10" s="95"/>
      <c r="AI10" s="95"/>
      <c r="AJ10" s="95"/>
      <c r="AK10" s="95"/>
      <c r="AL10" s="95"/>
      <c r="AM10" s="100"/>
      <c r="AN10" s="101"/>
      <c r="AO10" s="102"/>
      <c r="AP10" s="95"/>
      <c r="AX10" s="23"/>
      <c r="AY10" s="23"/>
      <c r="AZ10" s="23"/>
      <c r="BA10" s="23"/>
      <c r="BB10" s="23"/>
      <c r="BC10" s="23"/>
      <c r="BD10" s="23"/>
      <c r="BE10" s="23"/>
      <c r="BF10" s="23"/>
      <c r="BG10" s="23"/>
      <c r="BH10" s="23"/>
      <c r="BI10" s="23"/>
      <c r="BJ10" s="23"/>
      <c r="BK10" s="23"/>
      <c r="BL10" s="23"/>
      <c r="BM10" s="23"/>
      <c r="BN10" s="23"/>
      <c r="BO10" s="23"/>
      <c r="BP10" s="23"/>
      <c r="BQ10" s="23"/>
      <c r="BR10" s="23"/>
      <c r="BT10" s="29"/>
      <c r="BU10" s="29"/>
    </row>
    <row r="11" spans="1:73" x14ac:dyDescent="0.25">
      <c r="Y11" s="95"/>
      <c r="Z11" s="95"/>
      <c r="AA11" s="95"/>
      <c r="AB11" s="95"/>
      <c r="AC11" s="95"/>
      <c r="AD11" s="95"/>
      <c r="AE11" s="95"/>
      <c r="AF11" s="95"/>
      <c r="AG11" s="95"/>
      <c r="AH11" s="95"/>
      <c r="AI11" s="95"/>
      <c r="AJ11" s="95"/>
      <c r="AK11" s="95"/>
      <c r="AL11" s="95"/>
      <c r="AM11" s="100"/>
      <c r="AN11" s="101"/>
      <c r="AO11" s="102"/>
      <c r="AP11" s="95"/>
      <c r="AX11" s="23"/>
      <c r="AY11" s="23"/>
      <c r="AZ11" s="23"/>
      <c r="BA11" s="23"/>
      <c r="BB11" s="23"/>
      <c r="BC11" s="23"/>
      <c r="BD11" s="23"/>
      <c r="BE11" s="23"/>
      <c r="BF11" s="23"/>
      <c r="BG11" s="23"/>
      <c r="BH11" s="23"/>
      <c r="BI11" s="23"/>
      <c r="BJ11" s="23"/>
      <c r="BK11" s="23"/>
      <c r="BL11" s="23"/>
      <c r="BM11" s="23"/>
      <c r="BN11" s="23"/>
      <c r="BO11" s="23"/>
      <c r="BP11" s="23"/>
      <c r="BQ11" s="23"/>
      <c r="BR11" s="23"/>
      <c r="BT11" s="29"/>
      <c r="BU11" s="29"/>
    </row>
    <row r="12" spans="1:73" x14ac:dyDescent="0.25">
      <c r="A12" s="88" t="s">
        <v>369</v>
      </c>
      <c r="B12" s="88" t="s">
        <v>371</v>
      </c>
      <c r="Y12" s="95"/>
      <c r="Z12" s="95"/>
      <c r="AA12" s="95"/>
      <c r="AB12" s="95"/>
      <c r="AC12" s="95"/>
      <c r="AD12" s="95"/>
      <c r="AE12" s="95"/>
      <c r="AF12" s="95"/>
      <c r="AG12" s="95"/>
      <c r="AH12" s="95"/>
      <c r="AI12" s="95"/>
      <c r="AJ12" s="95"/>
      <c r="AK12" s="95"/>
      <c r="AL12" s="95"/>
      <c r="AM12" s="100"/>
      <c r="AN12" s="101"/>
      <c r="AO12" s="102"/>
      <c r="AP12" s="95"/>
      <c r="AX12" s="23"/>
      <c r="AY12" s="23"/>
      <c r="AZ12" s="23"/>
      <c r="BA12" s="23"/>
      <c r="BB12" s="23"/>
      <c r="BC12" s="23"/>
      <c r="BD12" s="23"/>
      <c r="BE12" s="23"/>
      <c r="BF12" s="23"/>
      <c r="BG12" s="23"/>
      <c r="BH12" s="23"/>
      <c r="BI12" s="23"/>
      <c r="BJ12" s="23"/>
      <c r="BK12" s="23"/>
      <c r="BL12" s="23"/>
      <c r="BM12" s="23"/>
      <c r="BN12" s="23"/>
      <c r="BO12" s="23"/>
      <c r="BP12" s="23"/>
      <c r="BQ12" s="23"/>
      <c r="BR12" s="23"/>
      <c r="BT12" s="29"/>
      <c r="BU12" s="29"/>
    </row>
    <row r="13" spans="1:73" x14ac:dyDescent="0.25">
      <c r="A13" s="88" t="s">
        <v>367</v>
      </c>
      <c r="B13" t="s">
        <v>84</v>
      </c>
      <c r="C13" t="s">
        <v>83</v>
      </c>
      <c r="D13" t="s">
        <v>82</v>
      </c>
      <c r="E13" t="s">
        <v>81</v>
      </c>
      <c r="F13" t="s">
        <v>368</v>
      </c>
      <c r="Y13" s="95"/>
      <c r="Z13" s="95"/>
      <c r="AA13" s="95"/>
      <c r="AB13" s="95"/>
      <c r="AC13" s="95"/>
      <c r="AD13" s="95"/>
      <c r="AE13" s="95"/>
      <c r="AF13" s="95"/>
      <c r="AG13" s="95"/>
      <c r="AH13" s="95"/>
      <c r="AI13" s="95"/>
      <c r="AJ13" s="95"/>
      <c r="AK13" s="95"/>
      <c r="AL13" s="95"/>
      <c r="AM13" s="100"/>
      <c r="AN13" s="101"/>
      <c r="AO13" s="102"/>
      <c r="AP13" s="95"/>
      <c r="AT13" t="s">
        <v>424</v>
      </c>
      <c r="AX13" s="23"/>
      <c r="AY13" s="23"/>
      <c r="AZ13" s="23"/>
      <c r="BA13" s="23"/>
      <c r="BB13" s="23"/>
      <c r="BC13" s="23"/>
      <c r="BD13" s="23"/>
      <c r="BE13" s="23"/>
      <c r="BF13" s="23"/>
      <c r="BG13" s="23"/>
      <c r="BH13" s="23"/>
      <c r="BI13" s="23"/>
      <c r="BJ13" s="23"/>
      <c r="BK13" s="23"/>
      <c r="BL13" s="23"/>
      <c r="BM13" s="23"/>
      <c r="BN13" s="23"/>
      <c r="BO13" s="23"/>
      <c r="BP13" s="23"/>
      <c r="BQ13" s="23"/>
      <c r="BR13" s="23"/>
      <c r="BT13" s="29"/>
      <c r="BU13" s="29"/>
    </row>
    <row r="14" spans="1:73" x14ac:dyDescent="0.25">
      <c r="A14" s="89" t="s">
        <v>85</v>
      </c>
      <c r="B14">
        <v>64286</v>
      </c>
      <c r="C14">
        <v>58959</v>
      </c>
      <c r="D14">
        <v>12291</v>
      </c>
      <c r="E14">
        <v>36335</v>
      </c>
      <c r="F14">
        <v>171871</v>
      </c>
      <c r="Y14" s="95"/>
      <c r="Z14" s="95"/>
      <c r="AA14" s="95"/>
      <c r="AB14" s="95"/>
      <c r="AC14" s="95"/>
      <c r="AD14" s="95"/>
      <c r="AE14" s="95"/>
      <c r="AF14" s="95"/>
      <c r="AG14" s="95"/>
      <c r="AH14" s="95"/>
      <c r="AI14" s="95"/>
      <c r="AJ14" s="95"/>
      <c r="AK14" s="95"/>
      <c r="AL14" s="95"/>
      <c r="AM14" s="100"/>
      <c r="AN14" s="101"/>
      <c r="AO14" s="102"/>
      <c r="AP14" s="95"/>
      <c r="AT14" s="85">
        <v>997</v>
      </c>
      <c r="AX14" s="23"/>
      <c r="AY14" s="23"/>
      <c r="AZ14" s="23"/>
      <c r="BA14" s="23"/>
      <c r="BB14" s="23"/>
      <c r="BC14" s="23"/>
      <c r="BD14" s="23"/>
      <c r="BE14" s="23"/>
      <c r="BF14" s="23"/>
      <c r="BG14" s="23"/>
      <c r="BH14" s="23"/>
      <c r="BI14" s="23"/>
      <c r="BJ14" s="23"/>
      <c r="BK14" s="23"/>
      <c r="BL14" s="23"/>
      <c r="BM14" s="23"/>
      <c r="BN14" s="23"/>
      <c r="BO14" s="23"/>
      <c r="BP14" s="23"/>
      <c r="BQ14" s="23"/>
      <c r="BR14" s="23"/>
      <c r="BT14" s="29"/>
      <c r="BU14" s="29"/>
    </row>
    <row r="15" spans="1:73" x14ac:dyDescent="0.25">
      <c r="A15" s="89" t="s">
        <v>88</v>
      </c>
      <c r="B15">
        <v>37639</v>
      </c>
      <c r="C15">
        <v>23316</v>
      </c>
      <c r="D15">
        <v>49021</v>
      </c>
      <c r="E15">
        <v>27662</v>
      </c>
      <c r="F15">
        <v>137638</v>
      </c>
      <c r="Y15" s="95"/>
      <c r="Z15" s="95"/>
      <c r="AA15" s="95"/>
      <c r="AB15" s="95"/>
      <c r="AC15" s="95"/>
      <c r="AD15" s="95"/>
      <c r="AE15" s="95"/>
      <c r="AF15" s="95"/>
      <c r="AG15" s="95"/>
      <c r="AH15" s="95"/>
      <c r="AI15" s="95"/>
      <c r="AJ15" s="95"/>
      <c r="AK15" s="95"/>
      <c r="AL15" s="95"/>
      <c r="AM15" s="100"/>
      <c r="AN15" s="101"/>
      <c r="AO15" s="102"/>
      <c r="AP15" s="95"/>
      <c r="AX15" s="23"/>
      <c r="AY15" s="23"/>
      <c r="AZ15" s="23"/>
      <c r="BA15" s="23"/>
      <c r="BB15" s="23"/>
      <c r="BC15" s="23"/>
      <c r="BD15" s="23"/>
      <c r="BE15" s="23"/>
      <c r="BF15" s="23"/>
      <c r="BG15" s="23"/>
      <c r="BH15" s="23"/>
      <c r="BI15" s="23"/>
      <c r="BJ15" s="23"/>
      <c r="BK15" s="23"/>
      <c r="BL15" s="23"/>
      <c r="BM15" s="23"/>
      <c r="BN15" s="23"/>
      <c r="BO15" s="23"/>
      <c r="BP15" s="23"/>
      <c r="BQ15" s="23"/>
      <c r="BR15" s="23"/>
      <c r="BT15" s="29"/>
      <c r="BU15" s="29"/>
    </row>
    <row r="16" spans="1:73" x14ac:dyDescent="0.25">
      <c r="A16" s="89" t="s">
        <v>86</v>
      </c>
      <c r="B16">
        <v>34494</v>
      </c>
      <c r="C16">
        <v>35563</v>
      </c>
      <c r="D16">
        <v>27775</v>
      </c>
      <c r="E16">
        <v>12940</v>
      </c>
      <c r="F16">
        <v>110772</v>
      </c>
      <c r="Y16" s="95"/>
      <c r="Z16" s="95"/>
      <c r="AA16" s="95"/>
      <c r="AB16" s="95"/>
      <c r="AC16" s="95"/>
      <c r="AD16" s="95"/>
      <c r="AE16" s="95"/>
      <c r="AF16" s="95"/>
      <c r="AG16" s="95"/>
      <c r="AH16" s="95"/>
      <c r="AI16" s="95"/>
      <c r="AJ16" s="95"/>
      <c r="AK16" s="95"/>
      <c r="AL16" s="95"/>
      <c r="AM16" s="100"/>
      <c r="AN16" s="101"/>
      <c r="AO16" s="102"/>
      <c r="AP16" s="95"/>
      <c r="AX16" s="23"/>
      <c r="AY16" s="23"/>
      <c r="AZ16" s="23"/>
      <c r="BA16" s="23"/>
      <c r="BB16" s="23"/>
      <c r="BC16" s="23"/>
      <c r="BD16" s="23"/>
      <c r="BE16" s="23"/>
      <c r="BF16" s="23"/>
      <c r="BG16" s="23"/>
      <c r="BH16" s="23"/>
      <c r="BI16" s="23"/>
      <c r="BJ16" s="23"/>
      <c r="BK16" s="23"/>
      <c r="BL16" s="23"/>
      <c r="BM16" s="23"/>
      <c r="BN16" s="23"/>
      <c r="BO16" s="23"/>
      <c r="BP16" s="23"/>
      <c r="BQ16" s="23"/>
      <c r="BR16" s="23"/>
      <c r="BT16" s="29"/>
      <c r="BU16" s="29"/>
    </row>
    <row r="17" spans="1:73" x14ac:dyDescent="0.25">
      <c r="A17" s="89" t="s">
        <v>87</v>
      </c>
      <c r="B17">
        <v>17133</v>
      </c>
      <c r="C17">
        <v>41140</v>
      </c>
      <c r="D17">
        <v>39253</v>
      </c>
      <c r="E17">
        <v>10313</v>
      </c>
      <c r="F17">
        <v>107839</v>
      </c>
      <c r="Y17" s="95"/>
      <c r="Z17" s="95"/>
      <c r="AA17" s="95"/>
      <c r="AB17" s="95"/>
      <c r="AC17" s="95"/>
      <c r="AD17" s="95"/>
      <c r="AE17" s="95"/>
      <c r="AF17" s="95"/>
      <c r="AG17" s="95"/>
      <c r="AH17" s="95"/>
      <c r="AI17" s="95"/>
      <c r="AJ17" s="95"/>
      <c r="AK17" s="95"/>
      <c r="AL17" s="95"/>
      <c r="AM17" s="100"/>
      <c r="AN17" s="101"/>
      <c r="AO17" s="102"/>
      <c r="AP17" s="95"/>
      <c r="AT17" t="s">
        <v>425</v>
      </c>
      <c r="AX17" s="23"/>
      <c r="AY17" s="23"/>
      <c r="AZ17" s="23"/>
      <c r="BA17" s="23"/>
      <c r="BB17" s="23"/>
      <c r="BC17" s="23"/>
      <c r="BD17" s="23"/>
      <c r="BE17" s="23"/>
      <c r="BF17" s="23"/>
      <c r="BG17" s="23"/>
      <c r="BH17" s="23"/>
      <c r="BI17" s="23"/>
      <c r="BJ17" s="23"/>
      <c r="BK17" s="23"/>
      <c r="BL17" s="23"/>
      <c r="BM17" s="23"/>
      <c r="BN17" s="23"/>
      <c r="BO17" s="23"/>
      <c r="BP17" s="23"/>
      <c r="BQ17" s="23"/>
      <c r="BR17" s="23"/>
      <c r="BT17" s="29"/>
      <c r="BU17" s="29"/>
    </row>
    <row r="18" spans="1:73" x14ac:dyDescent="0.25">
      <c r="A18" s="89" t="s">
        <v>368</v>
      </c>
      <c r="B18">
        <v>153552</v>
      </c>
      <c r="C18">
        <v>158978</v>
      </c>
      <c r="D18">
        <v>128340</v>
      </c>
      <c r="E18">
        <v>87250</v>
      </c>
      <c r="F18">
        <v>528120</v>
      </c>
      <c r="Y18" s="95"/>
      <c r="Z18" s="95"/>
      <c r="AA18" s="95"/>
      <c r="AB18" s="95"/>
      <c r="AC18" s="95"/>
      <c r="AD18" s="95"/>
      <c r="AE18" s="95"/>
      <c r="AF18" s="95"/>
      <c r="AG18" s="95"/>
      <c r="AH18" s="95"/>
      <c r="AI18" s="95"/>
      <c r="AJ18" s="95"/>
      <c r="AK18" s="95"/>
      <c r="AL18" s="95"/>
      <c r="AM18" s="100"/>
      <c r="AN18" s="101"/>
      <c r="AO18" s="102"/>
      <c r="AP18" s="95"/>
      <c r="AT18" s="85">
        <v>9.9700000000000006</v>
      </c>
      <c r="AX18" s="23"/>
      <c r="AY18" s="23"/>
      <c r="AZ18" s="23"/>
      <c r="BA18" s="23"/>
      <c r="BB18" s="23"/>
      <c r="BC18" s="23"/>
      <c r="BD18" s="23"/>
      <c r="BE18" s="23"/>
      <c r="BF18" s="23"/>
      <c r="BG18" s="23"/>
      <c r="BH18" s="23"/>
      <c r="BI18" s="23"/>
      <c r="BJ18" s="23"/>
      <c r="BK18" s="23"/>
      <c r="BL18" s="23"/>
      <c r="BM18" s="23"/>
      <c r="BN18" s="23"/>
      <c r="BO18" s="23"/>
      <c r="BP18" s="23"/>
      <c r="BQ18" s="23"/>
      <c r="BR18" s="23"/>
      <c r="BT18" s="29"/>
      <c r="BU18" s="29"/>
    </row>
    <row r="19" spans="1:73" x14ac:dyDescent="0.25">
      <c r="Y19" s="95"/>
      <c r="Z19" s="95"/>
      <c r="AA19" s="95"/>
      <c r="AB19" s="95"/>
      <c r="AC19" s="95"/>
      <c r="AD19" s="95"/>
      <c r="AE19" s="95"/>
      <c r="AF19" s="95"/>
      <c r="AG19" s="95"/>
      <c r="AH19" s="95"/>
      <c r="AI19" s="95"/>
      <c r="AJ19" s="95"/>
      <c r="AK19" s="95"/>
      <c r="AL19" s="95"/>
      <c r="AM19" s="100"/>
      <c r="AN19" s="101"/>
      <c r="AO19" s="102"/>
      <c r="AP19" s="95"/>
      <c r="AX19" s="23"/>
      <c r="AY19" s="23"/>
      <c r="AZ19" s="23"/>
      <c r="BA19" s="23"/>
      <c r="BB19" s="23"/>
      <c r="BC19" s="23"/>
      <c r="BD19" s="23"/>
      <c r="BE19" s="23"/>
      <c r="BF19" s="23"/>
      <c r="BG19" s="23"/>
      <c r="BH19" s="23"/>
      <c r="BI19" s="23"/>
      <c r="BJ19" s="23"/>
      <c r="BK19" s="23"/>
      <c r="BL19" s="23"/>
      <c r="BM19" s="23"/>
      <c r="BN19" s="23"/>
      <c r="BO19" s="23"/>
      <c r="BP19" s="23"/>
      <c r="BQ19" s="23"/>
      <c r="BR19" s="23"/>
      <c r="BT19" s="29"/>
      <c r="BU19" s="29"/>
    </row>
    <row r="20" spans="1:73" x14ac:dyDescent="0.25">
      <c r="Y20" s="95"/>
      <c r="Z20" s="95"/>
      <c r="AA20" s="95"/>
      <c r="AB20" s="95"/>
      <c r="AC20" s="95"/>
      <c r="AD20" s="95"/>
      <c r="AE20" s="95"/>
      <c r="AF20" s="95"/>
      <c r="AG20" s="95"/>
      <c r="AH20" s="95"/>
      <c r="AI20" s="95"/>
      <c r="AJ20" s="95"/>
      <c r="AK20" s="95"/>
      <c r="AL20" s="95"/>
      <c r="AM20" s="100"/>
      <c r="AN20" s="101"/>
      <c r="AO20" s="102"/>
      <c r="AP20" s="95"/>
      <c r="AX20" s="23"/>
      <c r="AY20" s="23"/>
      <c r="AZ20" s="23"/>
      <c r="BA20" s="23"/>
      <c r="BB20" s="23"/>
      <c r="BC20" s="23"/>
      <c r="BD20" s="23"/>
      <c r="BE20" s="23"/>
      <c r="BF20" s="23"/>
      <c r="BG20" s="23"/>
      <c r="BH20" s="23"/>
      <c r="BI20" s="23"/>
      <c r="BJ20" s="23"/>
      <c r="BK20" s="23"/>
      <c r="BL20" s="23"/>
      <c r="BM20" s="23"/>
      <c r="BN20" s="23"/>
      <c r="BO20" s="23"/>
      <c r="BP20" s="23"/>
      <c r="BQ20" s="23"/>
      <c r="BR20" s="23"/>
      <c r="BT20" s="29"/>
      <c r="BU20" s="29"/>
    </row>
    <row r="21" spans="1:73" x14ac:dyDescent="0.25">
      <c r="A21" s="88" t="s">
        <v>367</v>
      </c>
      <c r="B21" t="s">
        <v>369</v>
      </c>
      <c r="Y21" s="95"/>
      <c r="Z21" s="95"/>
      <c r="AA21" s="95"/>
      <c r="AB21" s="95"/>
      <c r="AC21" s="95"/>
      <c r="AD21" s="95"/>
      <c r="AE21" s="95"/>
      <c r="AF21" s="95"/>
      <c r="AG21" s="95"/>
      <c r="AH21" s="95"/>
      <c r="AI21" s="95"/>
      <c r="AJ21" s="95"/>
      <c r="AK21" s="95"/>
      <c r="AL21" s="95"/>
      <c r="AM21" s="100"/>
      <c r="AN21" s="101"/>
      <c r="AO21" s="102"/>
      <c r="AP21" s="95"/>
      <c r="AX21" s="23"/>
      <c r="AY21" s="23"/>
      <c r="AZ21" s="23"/>
      <c r="BA21" s="23"/>
      <c r="BB21" s="23"/>
      <c r="BC21" s="23"/>
      <c r="BD21" s="23"/>
      <c r="BE21" s="23"/>
      <c r="BF21" s="23"/>
      <c r="BG21" s="23"/>
      <c r="BH21" s="23"/>
      <c r="BI21" s="23"/>
      <c r="BJ21" s="23"/>
      <c r="BK21" s="23"/>
      <c r="BL21" s="23"/>
      <c r="BM21" s="23"/>
      <c r="BN21" s="23"/>
      <c r="BO21" s="23"/>
      <c r="BP21" s="23"/>
      <c r="BQ21" s="23"/>
      <c r="BR21" s="23"/>
      <c r="BT21" s="29"/>
      <c r="BU21" s="29"/>
    </row>
    <row r="22" spans="1:73" x14ac:dyDescent="0.25">
      <c r="A22" s="89" t="s">
        <v>49</v>
      </c>
      <c r="B22">
        <v>15435</v>
      </c>
      <c r="D22" s="88" t="s">
        <v>367</v>
      </c>
      <c r="E22" t="s">
        <v>370</v>
      </c>
      <c r="Y22" s="95"/>
      <c r="Z22" s="95"/>
      <c r="AA22" s="95"/>
      <c r="AB22" s="95"/>
      <c r="AC22" s="95"/>
      <c r="AD22" s="95"/>
      <c r="AE22" s="95"/>
      <c r="AF22" s="95"/>
      <c r="AG22" s="95"/>
      <c r="AH22" s="95"/>
      <c r="AI22" s="95"/>
      <c r="AJ22" s="95"/>
      <c r="AK22" s="95"/>
      <c r="AL22" s="95"/>
      <c r="AM22" s="100"/>
      <c r="AN22" s="101"/>
      <c r="AO22" s="102"/>
      <c r="AP22" s="95"/>
      <c r="AX22" s="23"/>
      <c r="AY22" s="23"/>
      <c r="AZ22" s="23"/>
      <c r="BA22" s="23"/>
      <c r="BB22" s="23"/>
      <c r="BC22" s="23"/>
      <c r="BD22" s="23"/>
      <c r="BE22" s="23"/>
      <c r="BF22" s="23"/>
      <c r="BG22" s="23"/>
      <c r="BH22" s="23"/>
      <c r="BI22" s="23"/>
      <c r="BJ22" s="23"/>
      <c r="BK22" s="23"/>
      <c r="BL22" s="23"/>
      <c r="BM22" s="23"/>
      <c r="BN22" s="23"/>
      <c r="BO22" s="23"/>
      <c r="BP22" s="23"/>
      <c r="BQ22" s="23"/>
      <c r="BR22" s="23"/>
      <c r="BT22" s="29"/>
      <c r="BU22" s="29"/>
    </row>
    <row r="23" spans="1:73" x14ac:dyDescent="0.25">
      <c r="A23" s="89" t="s">
        <v>56</v>
      </c>
      <c r="B23">
        <v>3928</v>
      </c>
      <c r="D23" s="89" t="s">
        <v>85</v>
      </c>
      <c r="E23">
        <v>341</v>
      </c>
      <c r="Y23" s="95"/>
      <c r="Z23" s="95"/>
      <c r="AA23" s="95"/>
      <c r="AB23" s="95"/>
      <c r="AC23" s="95"/>
      <c r="AD23" s="95"/>
      <c r="AE23" s="95"/>
      <c r="AF23" s="95"/>
      <c r="AG23" s="95"/>
      <c r="AH23" s="95"/>
      <c r="AI23" s="95"/>
      <c r="AJ23" s="95"/>
      <c r="AK23" s="95"/>
      <c r="AL23" s="95"/>
      <c r="AM23" s="100"/>
      <c r="AN23" s="101"/>
      <c r="AO23" s="102"/>
      <c r="AP23" s="95"/>
      <c r="AX23" s="23"/>
      <c r="AY23" s="23"/>
      <c r="AZ23" s="23"/>
      <c r="BA23" s="23"/>
      <c r="BB23" s="23"/>
      <c r="BC23" s="23"/>
      <c r="BD23" s="23"/>
      <c r="BE23" s="23"/>
      <c r="BF23" s="23"/>
      <c r="BG23" s="23"/>
      <c r="BH23" s="23"/>
      <c r="BI23" s="23"/>
      <c r="BJ23" s="23"/>
      <c r="BK23" s="23"/>
      <c r="BL23" s="23"/>
      <c r="BM23" s="88" t="s">
        <v>370</v>
      </c>
      <c r="BT23" s="29"/>
      <c r="BU23" s="29"/>
    </row>
    <row r="24" spans="1:73" x14ac:dyDescent="0.25">
      <c r="A24" s="89" t="s">
        <v>27</v>
      </c>
      <c r="B24">
        <v>16350</v>
      </c>
      <c r="D24" s="89" t="s">
        <v>88</v>
      </c>
      <c r="E24">
        <v>252</v>
      </c>
      <c r="Y24" s="95"/>
      <c r="Z24" s="95"/>
      <c r="AA24" s="95"/>
      <c r="AB24" s="95"/>
      <c r="AC24" s="95"/>
      <c r="AD24" s="95"/>
      <c r="AE24" s="95"/>
      <c r="AF24" s="95"/>
      <c r="AG24" s="95"/>
      <c r="AH24" s="95"/>
      <c r="AI24" s="95"/>
      <c r="AJ24" s="95"/>
      <c r="AK24" s="95"/>
      <c r="AL24" s="95"/>
      <c r="AM24" s="103"/>
      <c r="AN24" s="104"/>
      <c r="AO24" s="105"/>
      <c r="AP24" s="95"/>
      <c r="AX24" s="23"/>
      <c r="AY24" s="23"/>
      <c r="AZ24" s="23"/>
      <c r="BA24" s="23"/>
      <c r="BB24" s="23"/>
      <c r="BC24" s="23"/>
      <c r="BD24" s="23"/>
      <c r="BE24" s="23"/>
      <c r="BF24" s="23"/>
      <c r="BG24" s="23"/>
      <c r="BH24" s="23"/>
      <c r="BI24" s="23"/>
      <c r="BJ24" s="23"/>
      <c r="BK24" s="23"/>
      <c r="BL24" s="23"/>
      <c r="BN24" t="s">
        <v>84</v>
      </c>
      <c r="BO24" t="s">
        <v>83</v>
      </c>
      <c r="BP24" t="s">
        <v>82</v>
      </c>
      <c r="BQ24" t="s">
        <v>81</v>
      </c>
      <c r="BR24" s="23" t="s">
        <v>368</v>
      </c>
      <c r="BT24" s="29"/>
      <c r="BU24" s="29"/>
    </row>
    <row r="25" spans="1:73" x14ac:dyDescent="0.25">
      <c r="A25" s="89" t="s">
        <v>26</v>
      </c>
      <c r="B25">
        <v>7398</v>
      </c>
      <c r="D25" s="89" t="s">
        <v>86</v>
      </c>
      <c r="E25">
        <v>199</v>
      </c>
      <c r="Y25" s="95"/>
      <c r="Z25" s="95"/>
      <c r="AA25" s="95"/>
      <c r="AB25" s="95"/>
      <c r="AC25" s="95"/>
      <c r="AD25" s="95"/>
      <c r="AE25" s="95"/>
      <c r="AF25" s="95"/>
      <c r="AG25" s="95"/>
      <c r="AH25" s="95"/>
      <c r="AI25" s="95"/>
      <c r="AJ25" s="95"/>
      <c r="AK25" s="95"/>
      <c r="AL25" s="95"/>
      <c r="AM25" s="95"/>
      <c r="AN25" s="95"/>
      <c r="AO25" s="95"/>
      <c r="AP25" s="95"/>
      <c r="AX25" s="23"/>
      <c r="AY25" s="23"/>
      <c r="AZ25" s="23"/>
      <c r="BA25" s="23"/>
      <c r="BB25" s="23"/>
      <c r="BC25" s="23"/>
      <c r="BD25" s="23"/>
      <c r="BE25" s="23"/>
      <c r="BF25" s="23"/>
      <c r="BG25" s="23"/>
      <c r="BH25" s="23"/>
      <c r="BI25" s="23"/>
      <c r="BJ25" s="23"/>
      <c r="BK25" s="23"/>
      <c r="BL25" s="23"/>
      <c r="BM25" s="89" t="s">
        <v>85</v>
      </c>
      <c r="BN25" s="107">
        <v>0.28739002932551322</v>
      </c>
      <c r="BO25" s="107">
        <v>0.41348973607038125</v>
      </c>
      <c r="BP25" s="107">
        <v>7.331378299120235E-2</v>
      </c>
      <c r="BQ25" s="107">
        <v>0.22580645161290322</v>
      </c>
      <c r="BR25" s="107">
        <v>1</v>
      </c>
      <c r="BT25" s="29"/>
      <c r="BU25" s="29"/>
    </row>
    <row r="26" spans="1:73" x14ac:dyDescent="0.25">
      <c r="A26" s="89" t="s">
        <v>64</v>
      </c>
      <c r="B26">
        <v>8565</v>
      </c>
      <c r="D26" s="89" t="s">
        <v>87</v>
      </c>
      <c r="E26">
        <v>205</v>
      </c>
      <c r="Y26" s="95"/>
      <c r="Z26" s="95"/>
      <c r="AA26" s="95"/>
      <c r="AB26" s="95"/>
      <c r="AC26" s="95"/>
      <c r="AD26" s="95"/>
      <c r="AE26" s="95"/>
      <c r="AF26" s="95"/>
      <c r="AG26" s="95"/>
      <c r="AH26" s="95"/>
      <c r="AI26" s="95"/>
      <c r="AJ26" s="95"/>
      <c r="AK26" s="95"/>
      <c r="AL26" s="95"/>
      <c r="AM26" s="95"/>
      <c r="AN26" s="95"/>
      <c r="AO26" s="95"/>
      <c r="AP26" s="95"/>
      <c r="AX26" s="23"/>
      <c r="AY26" s="23"/>
      <c r="AZ26" s="23"/>
      <c r="BA26" s="23"/>
      <c r="BB26" s="23"/>
      <c r="BC26" s="23"/>
      <c r="BD26" s="23"/>
      <c r="BE26" s="23"/>
      <c r="BF26" s="23"/>
      <c r="BG26" s="23"/>
      <c r="BH26" s="23"/>
      <c r="BI26" s="23"/>
      <c r="BJ26" s="23"/>
      <c r="BK26" s="23"/>
      <c r="BL26" s="23"/>
      <c r="BM26" s="89" t="s">
        <v>88</v>
      </c>
      <c r="BN26" s="107">
        <v>0.24603174603174602</v>
      </c>
      <c r="BO26" s="107">
        <v>0.20238095238095238</v>
      </c>
      <c r="BP26" s="107">
        <v>0.30158730158730157</v>
      </c>
      <c r="BQ26" s="107">
        <v>0.25</v>
      </c>
      <c r="BR26" s="107">
        <v>1</v>
      </c>
      <c r="BT26" s="29"/>
      <c r="BU26" s="29"/>
    </row>
    <row r="27" spans="1:73" x14ac:dyDescent="0.25">
      <c r="A27" s="89" t="s">
        <v>62</v>
      </c>
      <c r="B27">
        <v>16321</v>
      </c>
      <c r="D27" s="89" t="s">
        <v>368</v>
      </c>
      <c r="E27">
        <v>997</v>
      </c>
      <c r="Y27" s="95"/>
      <c r="Z27" s="95"/>
      <c r="AA27" s="95"/>
      <c r="AB27" s="95"/>
      <c r="AC27" s="95"/>
      <c r="AD27" s="95"/>
      <c r="AE27" s="95"/>
      <c r="AF27" s="95"/>
      <c r="AG27" s="95"/>
      <c r="AH27" s="95"/>
      <c r="AI27" s="95"/>
      <c r="AJ27" s="95"/>
      <c r="AK27" s="95"/>
      <c r="AL27" s="95"/>
      <c r="AM27" s="95"/>
      <c r="AN27" s="95"/>
      <c r="AO27" s="95"/>
      <c r="AP27" s="95"/>
      <c r="AX27" s="23"/>
      <c r="AY27" s="23"/>
      <c r="AZ27" s="23"/>
      <c r="BA27" s="23"/>
      <c r="BB27" s="23"/>
      <c r="BC27" s="23"/>
      <c r="BD27" s="23"/>
      <c r="BE27" s="23"/>
      <c r="BF27" s="23"/>
      <c r="BG27" s="23"/>
      <c r="BH27" s="23"/>
      <c r="BI27" s="23"/>
      <c r="BJ27" s="23"/>
      <c r="BK27" s="23"/>
      <c r="BL27" s="23"/>
      <c r="BM27" s="89" t="s">
        <v>86</v>
      </c>
      <c r="BN27" s="107">
        <v>0.28643216080402012</v>
      </c>
      <c r="BO27" s="107">
        <v>0.30150753768844218</v>
      </c>
      <c r="BP27" s="107">
        <v>0.26633165829145727</v>
      </c>
      <c r="BQ27" s="107">
        <v>0.14572864321608039</v>
      </c>
      <c r="BR27" s="107">
        <v>1</v>
      </c>
      <c r="BT27" s="29"/>
      <c r="BU27" s="29"/>
    </row>
    <row r="28" spans="1:73" x14ac:dyDescent="0.25">
      <c r="A28" s="89" t="s">
        <v>66</v>
      </c>
      <c r="B28">
        <v>1694</v>
      </c>
      <c r="Y28" s="95"/>
      <c r="Z28" s="95"/>
      <c r="AA28" s="95"/>
      <c r="AB28" s="95"/>
      <c r="AC28" s="95"/>
      <c r="AD28" s="95"/>
      <c r="AE28" s="95"/>
      <c r="AF28" s="95"/>
      <c r="AG28" s="95"/>
      <c r="AH28" s="95"/>
      <c r="AI28" s="95"/>
      <c r="AJ28" s="95"/>
      <c r="AK28" s="95"/>
      <c r="AL28" s="95"/>
      <c r="AM28" s="95"/>
      <c r="AN28" s="95"/>
      <c r="AO28" s="95"/>
      <c r="AP28" s="95"/>
      <c r="AX28" s="23"/>
      <c r="AY28" s="23"/>
      <c r="AZ28" s="23"/>
      <c r="BA28" s="23"/>
      <c r="BB28" s="23"/>
      <c r="BC28" s="23"/>
      <c r="BD28" s="23"/>
      <c r="BE28" s="23"/>
      <c r="BF28" s="23"/>
      <c r="BG28" s="23"/>
      <c r="BH28" s="23"/>
      <c r="BI28" s="23"/>
      <c r="BJ28" s="23"/>
      <c r="BK28" s="23"/>
      <c r="BL28" s="23"/>
      <c r="BM28" s="89" t="s">
        <v>87</v>
      </c>
      <c r="BN28" s="107">
        <v>0.19024390243902439</v>
      </c>
      <c r="BO28" s="107">
        <v>0.37073170731707317</v>
      </c>
      <c r="BP28" s="107">
        <v>0.37560975609756098</v>
      </c>
      <c r="BQ28" s="107">
        <v>6.3414634146341464E-2</v>
      </c>
      <c r="BR28" s="107">
        <v>1</v>
      </c>
      <c r="BT28" s="29"/>
      <c r="BU28" s="29"/>
    </row>
    <row r="29" spans="1:73" x14ac:dyDescent="0.25">
      <c r="A29" s="89" t="s">
        <v>68</v>
      </c>
      <c r="B29">
        <v>1220</v>
      </c>
      <c r="Y29" s="95"/>
      <c r="Z29" s="95"/>
      <c r="AA29" s="95"/>
      <c r="AB29" s="95"/>
      <c r="AC29" s="95"/>
      <c r="AD29" s="95"/>
      <c r="AE29" s="95"/>
      <c r="AF29" s="95"/>
      <c r="AG29" s="95"/>
      <c r="AH29" s="95"/>
      <c r="AI29" s="95"/>
      <c r="AJ29" s="95"/>
      <c r="AK29" s="95"/>
      <c r="AL29" s="95"/>
      <c r="AM29" s="95"/>
      <c r="AN29" s="95"/>
      <c r="AO29" s="95"/>
      <c r="AP29" s="95"/>
      <c r="AX29" s="23"/>
      <c r="AY29" s="23"/>
      <c r="AZ29" s="23"/>
      <c r="BA29" s="23"/>
      <c r="BB29" s="23"/>
      <c r="BC29" s="23"/>
      <c r="BD29" s="23"/>
      <c r="BE29" s="23"/>
      <c r="BF29" s="23"/>
      <c r="BG29" s="23"/>
      <c r="BH29" s="23"/>
      <c r="BI29" s="23"/>
      <c r="BJ29" s="23"/>
      <c r="BK29" s="23"/>
      <c r="BL29" s="23"/>
      <c r="BM29" s="23"/>
      <c r="BN29" s="23"/>
      <c r="BO29" s="23"/>
      <c r="BP29" s="23"/>
      <c r="BQ29" s="23"/>
      <c r="BR29" s="23"/>
      <c r="BT29" s="29"/>
      <c r="BU29" s="29"/>
    </row>
    <row r="30" spans="1:73" x14ac:dyDescent="0.25">
      <c r="A30" s="89" t="s">
        <v>51</v>
      </c>
      <c r="B30">
        <v>636</v>
      </c>
      <c r="Y30" s="95"/>
      <c r="Z30" s="95"/>
      <c r="AA30" s="95"/>
      <c r="AB30" s="95"/>
      <c r="AC30" s="95"/>
      <c r="AD30" s="95"/>
      <c r="AE30" s="95"/>
      <c r="AF30" s="95"/>
      <c r="AG30" s="95"/>
      <c r="AH30" s="95"/>
      <c r="AI30" s="95"/>
      <c r="AJ30" s="95"/>
      <c r="AK30" s="95"/>
      <c r="AL30" s="95"/>
      <c r="AM30" s="95"/>
      <c r="AN30" s="95"/>
      <c r="AO30" s="95"/>
      <c r="AP30" s="95"/>
      <c r="AX30" s="23"/>
      <c r="AY30" s="23"/>
      <c r="AZ30" s="23"/>
      <c r="BA30" s="23"/>
      <c r="BB30" s="23"/>
      <c r="BC30" s="23"/>
      <c r="BD30" s="23"/>
      <c r="BE30" s="23"/>
      <c r="BF30" s="23"/>
      <c r="BG30" s="23"/>
      <c r="BH30" s="23"/>
      <c r="BI30" s="23"/>
      <c r="BJ30" s="23"/>
      <c r="BK30" s="23"/>
      <c r="BL30" s="23"/>
      <c r="BM30" s="23"/>
      <c r="BN30" s="23"/>
      <c r="BO30" s="23"/>
      <c r="BP30" s="23"/>
      <c r="BQ30" s="23"/>
      <c r="BR30" s="23"/>
      <c r="BT30" s="29"/>
      <c r="BU30" s="29"/>
    </row>
    <row r="31" spans="1:73" x14ac:dyDescent="0.25">
      <c r="A31" s="89" t="s">
        <v>31</v>
      </c>
      <c r="B31">
        <v>9265</v>
      </c>
      <c r="D31" t="s">
        <v>411</v>
      </c>
      <c r="E31" t="s">
        <v>412</v>
      </c>
      <c r="Y31" s="95"/>
      <c r="Z31" s="95"/>
      <c r="AA31" s="95"/>
      <c r="AB31" s="95"/>
      <c r="AC31" s="95"/>
      <c r="AD31" s="95"/>
      <c r="AE31" s="95"/>
      <c r="AF31" s="95"/>
      <c r="AG31" s="95"/>
      <c r="AH31" s="95"/>
      <c r="AI31" s="95"/>
      <c r="AJ31" s="95"/>
      <c r="AK31" s="95"/>
      <c r="AL31" s="95"/>
      <c r="AM31" s="95"/>
      <c r="AN31" s="95"/>
      <c r="AO31" s="95"/>
      <c r="AP31" s="95"/>
      <c r="AX31" s="23"/>
      <c r="AY31" s="23"/>
      <c r="AZ31" s="23"/>
      <c r="BA31" s="23"/>
      <c r="BB31" s="23"/>
      <c r="BC31" s="23"/>
      <c r="BD31" s="23"/>
      <c r="BE31" s="23"/>
      <c r="BF31" s="23"/>
      <c r="BG31" s="23"/>
      <c r="BH31" s="23"/>
      <c r="BI31" s="23"/>
      <c r="BJ31" s="23"/>
      <c r="BK31" s="23"/>
      <c r="BL31" s="23"/>
      <c r="BM31" s="23"/>
      <c r="BN31" s="23"/>
      <c r="BO31" s="23"/>
      <c r="BP31" s="23"/>
      <c r="BQ31" s="23"/>
      <c r="BR31" s="23"/>
      <c r="BT31" s="29"/>
      <c r="BU31" s="29"/>
    </row>
    <row r="32" spans="1:73" x14ac:dyDescent="0.25">
      <c r="A32" s="89" t="s">
        <v>8</v>
      </c>
      <c r="B32">
        <v>5832</v>
      </c>
      <c r="D32">
        <v>5281.2</v>
      </c>
      <c r="E32" s="85">
        <v>528120</v>
      </c>
      <c r="Y32" s="95"/>
      <c r="Z32" s="95"/>
      <c r="AA32" s="95"/>
      <c r="AB32" s="95"/>
      <c r="AC32" s="95"/>
      <c r="AD32" s="95"/>
      <c r="AE32" s="95"/>
      <c r="AF32" s="95"/>
      <c r="AG32" s="95"/>
      <c r="AH32" s="95"/>
      <c r="AI32" s="95"/>
      <c r="AJ32" s="95"/>
      <c r="AK32" s="95"/>
      <c r="AL32" s="95"/>
      <c r="AM32" s="95"/>
      <c r="AN32" s="95"/>
      <c r="AO32" s="95"/>
      <c r="AP32" s="95"/>
      <c r="AX32" s="23"/>
      <c r="AY32" s="23"/>
      <c r="AZ32" s="23"/>
      <c r="BA32" s="23"/>
      <c r="BB32" s="23"/>
      <c r="BC32" s="23"/>
      <c r="BD32" s="23"/>
      <c r="BE32" s="23"/>
      <c r="BF32" s="23"/>
      <c r="BG32" s="23"/>
      <c r="BH32" s="23"/>
      <c r="BI32" s="23"/>
      <c r="BJ32" s="23"/>
      <c r="BK32" s="23"/>
      <c r="BL32" s="23"/>
      <c r="BM32" s="23"/>
      <c r="BN32" s="23"/>
      <c r="BO32" s="23"/>
      <c r="BP32" s="23"/>
      <c r="BQ32" s="23"/>
      <c r="BR32" s="23"/>
      <c r="BT32" s="29"/>
      <c r="BU32" s="29"/>
    </row>
    <row r="33" spans="1:73" x14ac:dyDescent="0.25">
      <c r="A33" s="89" t="s">
        <v>16</v>
      </c>
      <c r="B33">
        <v>14366</v>
      </c>
      <c r="Y33" s="95"/>
      <c r="Z33" s="95"/>
      <c r="AA33" s="95"/>
      <c r="AB33" s="95"/>
      <c r="AC33" s="95"/>
      <c r="AD33" s="95"/>
      <c r="AE33" s="95"/>
      <c r="AF33" s="95"/>
      <c r="AG33" s="95"/>
      <c r="AH33" s="95"/>
      <c r="AI33" s="95"/>
      <c r="AJ33" s="95"/>
      <c r="AK33" s="95"/>
      <c r="AL33" s="95"/>
      <c r="AM33" s="95"/>
      <c r="AN33" s="95"/>
      <c r="AO33" s="95"/>
      <c r="AP33" s="95"/>
      <c r="AX33" s="23"/>
      <c r="AY33" s="23"/>
      <c r="AZ33" s="23"/>
      <c r="BA33" s="23"/>
      <c r="BB33" s="23"/>
      <c r="BC33" s="23"/>
      <c r="BD33" s="23"/>
      <c r="BE33" s="23"/>
      <c r="BF33" s="23"/>
      <c r="BG33" s="23"/>
      <c r="BH33" s="23"/>
      <c r="BI33" s="23"/>
      <c r="BJ33" s="23"/>
      <c r="BK33" s="23"/>
      <c r="BL33" s="23"/>
      <c r="BM33" s="23"/>
      <c r="BN33" s="23"/>
      <c r="BO33" s="23"/>
      <c r="BP33" s="23"/>
      <c r="BQ33" s="23"/>
      <c r="BR33" s="23"/>
      <c r="BT33" s="29"/>
      <c r="BU33" s="29"/>
    </row>
    <row r="34" spans="1:73" x14ac:dyDescent="0.25">
      <c r="A34" s="89" t="s">
        <v>29</v>
      </c>
      <c r="B34">
        <v>8719</v>
      </c>
      <c r="Y34" s="95"/>
      <c r="Z34" s="95"/>
      <c r="AA34" s="95"/>
      <c r="AB34" s="95"/>
      <c r="AC34" s="95"/>
      <c r="AD34" s="95"/>
      <c r="AE34" s="95"/>
      <c r="AF34" s="95"/>
      <c r="AG34" s="95"/>
      <c r="AH34" s="95"/>
      <c r="AI34" s="95"/>
      <c r="AJ34" s="95"/>
      <c r="AK34" s="95"/>
      <c r="AL34" s="95"/>
      <c r="AM34" s="95"/>
      <c r="AN34" s="95"/>
      <c r="AO34" s="95"/>
      <c r="AP34" s="95"/>
      <c r="AX34" s="23"/>
      <c r="AY34" s="23"/>
      <c r="AZ34" s="23"/>
      <c r="BA34" s="23"/>
      <c r="BB34" s="23"/>
      <c r="BC34" s="23"/>
      <c r="BD34" s="23"/>
      <c r="BE34" s="23"/>
      <c r="BF34" s="23"/>
      <c r="BG34" s="23"/>
      <c r="BH34" s="23"/>
      <c r="BI34" s="23"/>
      <c r="BJ34" s="23"/>
      <c r="BK34" s="23"/>
      <c r="BL34" s="23"/>
      <c r="BM34" s="23"/>
      <c r="BN34" s="23"/>
      <c r="BO34" s="23"/>
      <c r="BP34" s="23"/>
      <c r="BQ34" s="23"/>
      <c r="BR34" s="23"/>
      <c r="BT34" s="29"/>
      <c r="BU34" s="29"/>
    </row>
    <row r="35" spans="1:73" x14ac:dyDescent="0.25">
      <c r="A35" s="89" t="s">
        <v>57</v>
      </c>
      <c r="B35">
        <v>2968</v>
      </c>
      <c r="Y35" s="95"/>
      <c r="Z35" s="95"/>
      <c r="AA35" s="95"/>
      <c r="AB35" s="95"/>
      <c r="AC35" s="95"/>
      <c r="AD35" s="95"/>
      <c r="AE35" s="95"/>
      <c r="AF35" s="95"/>
      <c r="AG35" s="95"/>
      <c r="AH35" s="95"/>
      <c r="AI35" s="95"/>
      <c r="AJ35" s="95"/>
      <c r="AK35" s="95"/>
      <c r="AL35" s="95"/>
      <c r="AM35" s="95"/>
      <c r="AN35" s="95"/>
      <c r="AO35" s="95"/>
      <c r="AP35" s="95"/>
      <c r="AX35" s="23"/>
      <c r="AY35" s="23"/>
      <c r="AZ35" s="23"/>
      <c r="BA35" s="23"/>
      <c r="BB35" s="23"/>
      <c r="BC35" s="23"/>
      <c r="BD35" s="23"/>
      <c r="BE35" s="23"/>
      <c r="BF35" s="23"/>
      <c r="BG35" s="23"/>
      <c r="BH35" s="23"/>
      <c r="BI35" s="23"/>
      <c r="BJ35" s="23"/>
      <c r="BK35" s="23"/>
      <c r="BL35" s="23"/>
      <c r="BM35" s="23"/>
      <c r="BN35" s="23"/>
      <c r="BO35" s="23"/>
      <c r="BP35" s="23"/>
      <c r="BQ35" s="23"/>
      <c r="BR35" s="23"/>
      <c r="BT35" s="29"/>
      <c r="BU35" s="29"/>
    </row>
    <row r="36" spans="1:73" x14ac:dyDescent="0.25">
      <c r="A36" s="89" t="s">
        <v>25</v>
      </c>
      <c r="B36">
        <v>6855</v>
      </c>
      <c r="Y36" s="95"/>
      <c r="Z36" s="95"/>
      <c r="AA36" s="95"/>
      <c r="AB36" s="95"/>
      <c r="AC36" s="95"/>
      <c r="AD36" s="95"/>
      <c r="AE36" s="95"/>
      <c r="AF36" s="95"/>
      <c r="AG36" s="95"/>
      <c r="AH36" s="95"/>
      <c r="AI36" s="95"/>
      <c r="AJ36" s="95"/>
      <c r="AK36" s="95"/>
      <c r="AL36" s="95"/>
      <c r="AM36" s="95"/>
      <c r="AN36" s="95"/>
      <c r="AO36" s="95"/>
      <c r="AP36" s="95"/>
      <c r="AX36" s="23"/>
      <c r="AY36" s="23"/>
      <c r="AZ36" s="23"/>
      <c r="BA36" s="23"/>
      <c r="BB36" s="23"/>
      <c r="BC36" s="23"/>
      <c r="BD36" s="23"/>
      <c r="BE36" s="23"/>
      <c r="BF36" s="23"/>
      <c r="BG36" s="23"/>
      <c r="BH36" s="23"/>
      <c r="BI36" s="23"/>
      <c r="BJ36" s="23"/>
      <c r="BK36" s="23"/>
      <c r="BL36" s="23"/>
      <c r="BM36" s="23"/>
      <c r="BN36" s="23"/>
      <c r="BO36" s="23"/>
      <c r="BP36" s="23"/>
      <c r="BQ36" s="23"/>
      <c r="BR36" s="23"/>
      <c r="BT36" s="29"/>
      <c r="BU36" s="29"/>
    </row>
    <row r="37" spans="1:73" x14ac:dyDescent="0.25">
      <c r="A37" s="89" t="s">
        <v>53</v>
      </c>
      <c r="B37">
        <v>545</v>
      </c>
      <c r="Y37" s="95"/>
      <c r="Z37" s="95"/>
      <c r="AA37" s="95"/>
      <c r="AB37" s="95"/>
      <c r="AC37" s="95"/>
      <c r="AD37" s="95"/>
      <c r="AE37" s="95"/>
      <c r="AF37" s="95"/>
      <c r="AG37" s="95"/>
      <c r="AH37" s="95"/>
      <c r="AI37" s="95"/>
      <c r="AJ37" s="95"/>
      <c r="AK37" s="95"/>
      <c r="AL37" s="95"/>
      <c r="AM37" s="95"/>
      <c r="AN37" s="95"/>
      <c r="AO37" s="95"/>
      <c r="AP37" s="95"/>
      <c r="AX37" s="23"/>
      <c r="AY37" s="23"/>
      <c r="AZ37" s="23"/>
      <c r="BA37" s="23"/>
      <c r="BB37" s="23"/>
      <c r="BC37" s="23"/>
      <c r="BD37" s="23"/>
      <c r="BE37" s="23"/>
      <c r="BF37" s="23"/>
      <c r="BG37" s="23"/>
      <c r="BH37" s="23"/>
      <c r="BI37" s="23"/>
      <c r="BJ37" s="23"/>
      <c r="BK37" s="23"/>
      <c r="BL37" s="23"/>
      <c r="BM37" s="23"/>
      <c r="BN37" s="23"/>
      <c r="BO37" s="23"/>
      <c r="BP37" s="23"/>
      <c r="BQ37" s="23"/>
      <c r="BR37" s="23"/>
      <c r="BT37" s="29"/>
      <c r="BU37" s="29"/>
    </row>
    <row r="38" spans="1:73" x14ac:dyDescent="0.25">
      <c r="A38" s="89" t="s">
        <v>58</v>
      </c>
      <c r="B38">
        <v>3955</v>
      </c>
      <c r="Y38" s="95"/>
      <c r="Z38" s="95"/>
      <c r="AA38" s="95"/>
      <c r="AB38" s="95"/>
      <c r="AC38" s="95"/>
      <c r="AD38" s="95"/>
      <c r="AE38" s="95"/>
      <c r="AF38" s="95"/>
      <c r="AG38" s="95"/>
      <c r="AH38" s="95"/>
      <c r="AI38" s="95"/>
      <c r="AJ38" s="95"/>
      <c r="AK38" s="95"/>
      <c r="AL38" s="95"/>
      <c r="AM38" s="95"/>
      <c r="AN38" s="95"/>
      <c r="AO38" s="95"/>
      <c r="AP38" s="95"/>
      <c r="AX38" s="23"/>
      <c r="AY38" s="23"/>
      <c r="AZ38" s="23"/>
      <c r="BA38" s="23"/>
      <c r="BB38" s="23"/>
      <c r="BC38" s="23"/>
      <c r="BD38" s="23"/>
      <c r="BE38" s="23"/>
      <c r="BF38" s="23"/>
      <c r="BG38" s="23"/>
      <c r="BH38" s="23"/>
      <c r="BI38" s="23"/>
      <c r="BJ38" s="23"/>
      <c r="BK38" s="23"/>
      <c r="BL38" s="23"/>
      <c r="BM38" s="23"/>
      <c r="BN38" s="23"/>
      <c r="BO38" s="23"/>
      <c r="BP38" s="23"/>
      <c r="BQ38" s="23"/>
      <c r="BR38" s="23"/>
      <c r="BT38" s="29"/>
      <c r="BU38" s="29"/>
    </row>
    <row r="39" spans="1:73" x14ac:dyDescent="0.25">
      <c r="A39" s="89" t="s">
        <v>65</v>
      </c>
      <c r="B39">
        <v>5544</v>
      </c>
      <c r="Y39" s="95"/>
      <c r="Z39" s="95"/>
      <c r="AA39" s="95"/>
      <c r="AB39" s="95"/>
      <c r="AC39" s="95"/>
      <c r="AD39" s="95"/>
      <c r="AE39" s="95"/>
      <c r="AF39" s="95"/>
      <c r="AG39" s="95"/>
      <c r="AH39" s="95"/>
      <c r="AI39" s="95"/>
      <c r="AJ39" s="95"/>
      <c r="AK39" s="95"/>
      <c r="AL39" s="95"/>
      <c r="AM39" s="95"/>
      <c r="AN39" s="95"/>
      <c r="AO39" s="95"/>
      <c r="AP39" s="95"/>
    </row>
    <row r="40" spans="1:73" x14ac:dyDescent="0.25">
      <c r="A40" s="89" t="s">
        <v>34</v>
      </c>
      <c r="B40">
        <v>2134</v>
      </c>
    </row>
    <row r="41" spans="1:73" x14ac:dyDescent="0.25">
      <c r="A41" s="89" t="s">
        <v>10</v>
      </c>
      <c r="B41">
        <v>31595</v>
      </c>
    </row>
    <row r="42" spans="1:73" x14ac:dyDescent="0.25">
      <c r="A42" s="89" t="s">
        <v>9</v>
      </c>
      <c r="B42">
        <v>1484</v>
      </c>
    </row>
    <row r="43" spans="1:73" x14ac:dyDescent="0.25">
      <c r="A43" s="89" t="s">
        <v>41</v>
      </c>
      <c r="B43">
        <v>4216</v>
      </c>
    </row>
    <row r="44" spans="1:73" x14ac:dyDescent="0.25">
      <c r="A44" s="89" t="s">
        <v>6</v>
      </c>
      <c r="B44">
        <v>4449</v>
      </c>
    </row>
    <row r="45" spans="1:73" x14ac:dyDescent="0.25">
      <c r="A45" s="89" t="s">
        <v>18</v>
      </c>
      <c r="B45">
        <v>6885</v>
      </c>
    </row>
    <row r="46" spans="1:73" x14ac:dyDescent="0.25">
      <c r="A46" s="89" t="s">
        <v>28</v>
      </c>
      <c r="B46">
        <v>6312</v>
      </c>
    </row>
    <row r="47" spans="1:73" x14ac:dyDescent="0.25">
      <c r="A47" s="89" t="s">
        <v>52</v>
      </c>
      <c r="B47">
        <v>11848</v>
      </c>
    </row>
    <row r="48" spans="1:73" x14ac:dyDescent="0.25">
      <c r="A48" s="89" t="s">
        <v>24</v>
      </c>
      <c r="B48">
        <v>2560</v>
      </c>
    </row>
    <row r="49" spans="1:8" x14ac:dyDescent="0.25">
      <c r="A49" s="89" t="s">
        <v>39</v>
      </c>
      <c r="B49">
        <v>14975</v>
      </c>
    </row>
    <row r="50" spans="1:8" x14ac:dyDescent="0.25">
      <c r="A50" s="89" t="s">
        <v>42</v>
      </c>
      <c r="B50">
        <v>7144</v>
      </c>
    </row>
    <row r="51" spans="1:8" x14ac:dyDescent="0.25">
      <c r="A51" s="89" t="s">
        <v>54</v>
      </c>
      <c r="B51">
        <v>6040</v>
      </c>
      <c r="E51" t="e" cm="1">
        <f t="array" ref="E51">month</f>
        <v>#NAME?</v>
      </c>
    </row>
    <row r="52" spans="1:8" x14ac:dyDescent="0.25">
      <c r="A52" s="89" t="s">
        <v>46</v>
      </c>
      <c r="B52">
        <v>13420</v>
      </c>
    </row>
    <row r="53" spans="1:8" x14ac:dyDescent="0.25">
      <c r="A53" s="89" t="s">
        <v>60</v>
      </c>
      <c r="B53">
        <v>3042</v>
      </c>
    </row>
    <row r="54" spans="1:8" x14ac:dyDescent="0.25">
      <c r="A54" s="89" t="s">
        <v>72</v>
      </c>
      <c r="B54">
        <v>2460</v>
      </c>
      <c r="H54" t="s">
        <v>369</v>
      </c>
    </row>
    <row r="55" spans="1:8" x14ac:dyDescent="0.25">
      <c r="A55" s="89" t="s">
        <v>67</v>
      </c>
      <c r="B55">
        <v>8550</v>
      </c>
      <c r="G55" s="89" t="s">
        <v>404</v>
      </c>
      <c r="H55">
        <v>181672</v>
      </c>
    </row>
    <row r="56" spans="1:8" x14ac:dyDescent="0.25">
      <c r="A56" s="89" t="s">
        <v>50</v>
      </c>
      <c r="B56">
        <v>4779</v>
      </c>
      <c r="G56" s="89" t="s">
        <v>403</v>
      </c>
      <c r="H56">
        <v>233751</v>
      </c>
    </row>
    <row r="57" spans="1:8" x14ac:dyDescent="0.25">
      <c r="A57" s="89" t="s">
        <v>36</v>
      </c>
      <c r="B57">
        <v>2388</v>
      </c>
      <c r="G57" s="89" t="s">
        <v>405</v>
      </c>
      <c r="H57">
        <v>112697</v>
      </c>
    </row>
    <row r="58" spans="1:8" x14ac:dyDescent="0.25">
      <c r="A58" s="89" t="s">
        <v>32</v>
      </c>
      <c r="B58">
        <v>2598</v>
      </c>
      <c r="G58" s="89" t="s">
        <v>368</v>
      </c>
      <c r="H58">
        <v>528120</v>
      </c>
    </row>
    <row r="59" spans="1:8" x14ac:dyDescent="0.25">
      <c r="A59" s="89" t="s">
        <v>44</v>
      </c>
      <c r="B59">
        <v>14595</v>
      </c>
    </row>
    <row r="60" spans="1:8" x14ac:dyDescent="0.25">
      <c r="A60" s="89" t="s">
        <v>12</v>
      </c>
      <c r="B60">
        <v>6948</v>
      </c>
    </row>
    <row r="61" spans="1:8" x14ac:dyDescent="0.25">
      <c r="A61" s="89" t="s">
        <v>23</v>
      </c>
      <c r="B61">
        <v>9310</v>
      </c>
    </row>
    <row r="62" spans="1:8" x14ac:dyDescent="0.25">
      <c r="A62" s="89" t="s">
        <v>20</v>
      </c>
      <c r="B62">
        <v>558</v>
      </c>
    </row>
    <row r="63" spans="1:8" x14ac:dyDescent="0.25">
      <c r="A63" s="89" t="s">
        <v>55</v>
      </c>
      <c r="B63">
        <v>8136</v>
      </c>
    </row>
    <row r="64" spans="1:8" x14ac:dyDescent="0.25">
      <c r="A64" s="89" t="s">
        <v>40</v>
      </c>
      <c r="B64">
        <v>24167</v>
      </c>
    </row>
    <row r="65" spans="1:2" x14ac:dyDescent="0.25">
      <c r="A65" s="89" t="s">
        <v>59</v>
      </c>
      <c r="B65">
        <v>7649</v>
      </c>
    </row>
    <row r="66" spans="1:2" x14ac:dyDescent="0.25">
      <c r="A66" s="89" t="s">
        <v>43</v>
      </c>
      <c r="B66">
        <v>8610</v>
      </c>
    </row>
    <row r="67" spans="1:2" x14ac:dyDescent="0.25">
      <c r="A67" s="89" t="s">
        <v>70</v>
      </c>
      <c r="B67">
        <v>3225</v>
      </c>
    </row>
    <row r="68" spans="1:2" x14ac:dyDescent="0.25">
      <c r="A68" s="89" t="s">
        <v>22</v>
      </c>
      <c r="B68">
        <v>11683</v>
      </c>
    </row>
    <row r="69" spans="1:2" x14ac:dyDescent="0.25">
      <c r="A69" s="89" t="s">
        <v>7</v>
      </c>
      <c r="B69">
        <v>7875</v>
      </c>
    </row>
    <row r="70" spans="1:2" x14ac:dyDescent="0.25">
      <c r="A70" s="89" t="s">
        <v>14</v>
      </c>
      <c r="B70">
        <v>13880</v>
      </c>
    </row>
    <row r="71" spans="1:2" x14ac:dyDescent="0.25">
      <c r="A71" s="89" t="s">
        <v>17</v>
      </c>
      <c r="B71">
        <v>7683</v>
      </c>
    </row>
    <row r="72" spans="1:2" x14ac:dyDescent="0.25">
      <c r="A72" s="89" t="s">
        <v>21</v>
      </c>
      <c r="B72">
        <v>8249</v>
      </c>
    </row>
    <row r="73" spans="1:2" x14ac:dyDescent="0.25">
      <c r="A73" s="89" t="s">
        <v>30</v>
      </c>
      <c r="B73">
        <v>8472</v>
      </c>
    </row>
    <row r="74" spans="1:2" x14ac:dyDescent="0.25">
      <c r="A74" s="89" t="s">
        <v>45</v>
      </c>
      <c r="B74">
        <v>10849</v>
      </c>
    </row>
    <row r="75" spans="1:2" x14ac:dyDescent="0.25">
      <c r="A75" s="89" t="s">
        <v>35</v>
      </c>
      <c r="B75">
        <v>3143</v>
      </c>
    </row>
    <row r="76" spans="1:2" x14ac:dyDescent="0.25">
      <c r="A76" s="89" t="s">
        <v>37</v>
      </c>
      <c r="B76">
        <v>2853</v>
      </c>
    </row>
    <row r="77" spans="1:2" x14ac:dyDescent="0.25">
      <c r="A77" s="89" t="s">
        <v>38</v>
      </c>
      <c r="B77">
        <v>8822</v>
      </c>
    </row>
    <row r="78" spans="1:2" x14ac:dyDescent="0.25">
      <c r="A78" s="89" t="s">
        <v>47</v>
      </c>
      <c r="B78">
        <v>11865</v>
      </c>
    </row>
    <row r="79" spans="1:2" x14ac:dyDescent="0.25">
      <c r="A79" s="89" t="s">
        <v>63</v>
      </c>
      <c r="B79">
        <v>21356</v>
      </c>
    </row>
    <row r="80" spans="1:2" x14ac:dyDescent="0.25">
      <c r="A80" s="89" t="s">
        <v>61</v>
      </c>
      <c r="B80">
        <v>9480</v>
      </c>
    </row>
    <row r="81" spans="1:2" x14ac:dyDescent="0.25">
      <c r="A81" s="89" t="s">
        <v>33</v>
      </c>
      <c r="B81">
        <v>16800</v>
      </c>
    </row>
    <row r="82" spans="1:2" x14ac:dyDescent="0.25">
      <c r="A82" s="89" t="s">
        <v>13</v>
      </c>
      <c r="B82">
        <v>1944</v>
      </c>
    </row>
    <row r="83" spans="1:2" x14ac:dyDescent="0.25">
      <c r="A83" s="89" t="s">
        <v>71</v>
      </c>
      <c r="B83">
        <v>2522</v>
      </c>
    </row>
    <row r="84" spans="1:2" x14ac:dyDescent="0.25">
      <c r="A84" s="89" t="s">
        <v>48</v>
      </c>
      <c r="B84">
        <v>8697</v>
      </c>
    </row>
    <row r="85" spans="1:2" x14ac:dyDescent="0.25">
      <c r="A85" s="89" t="s">
        <v>19</v>
      </c>
      <c r="B85">
        <v>229</v>
      </c>
    </row>
    <row r="86" spans="1:2" x14ac:dyDescent="0.25">
      <c r="A86" s="89" t="s">
        <v>11</v>
      </c>
      <c r="B86">
        <v>1905</v>
      </c>
    </row>
    <row r="87" spans="1:2" x14ac:dyDescent="0.25">
      <c r="A87" s="89" t="s">
        <v>69</v>
      </c>
      <c r="B87">
        <v>2490</v>
      </c>
    </row>
    <row r="88" spans="1:2" x14ac:dyDescent="0.25">
      <c r="A88" s="89" t="s">
        <v>15</v>
      </c>
      <c r="B88">
        <v>17650</v>
      </c>
    </row>
    <row r="89" spans="1:2" x14ac:dyDescent="0.25">
      <c r="A89" s="89" t="s">
        <v>368</v>
      </c>
      <c r="B89">
        <v>528120</v>
      </c>
    </row>
  </sheetData>
  <mergeCells count="4">
    <mergeCell ref="BF2:BH5"/>
    <mergeCell ref="BJ2:BL5"/>
    <mergeCell ref="BM2:BN5"/>
    <mergeCell ref="BP2:BR5"/>
  </mergeCells>
  <conditionalFormatting pivot="1" sqref="BN25:BQ28">
    <cfRule type="colorScale" priority="1">
      <colorScale>
        <cfvo type="min"/>
        <cfvo type="percentile" val="50"/>
        <cfvo type="max"/>
        <color rgb="FFF8696B"/>
        <color rgb="FFFFEB84"/>
        <color rgb="FF63BE7B"/>
      </colorScale>
    </cfRule>
  </conditionalFormatting>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5E63B-F746-43AC-B218-96037784EBE5}">
  <sheetPr codeName="Sheet18"/>
  <dimension ref="A1:B5"/>
  <sheetViews>
    <sheetView workbookViewId="0">
      <selection activeCell="S12" sqref="S12"/>
    </sheetView>
  </sheetViews>
  <sheetFormatPr defaultRowHeight="15" x14ac:dyDescent="0.25"/>
  <cols>
    <col min="1" max="1" width="13.140625" bestFit="1" customWidth="1"/>
    <col min="2" max="2" width="20" bestFit="1" customWidth="1"/>
  </cols>
  <sheetData>
    <row r="1" spans="1:2" x14ac:dyDescent="0.25">
      <c r="A1" s="88" t="s">
        <v>367</v>
      </c>
      <c r="B1" t="s">
        <v>369</v>
      </c>
    </row>
    <row r="2" spans="1:2" x14ac:dyDescent="0.25">
      <c r="A2" s="89" t="s">
        <v>404</v>
      </c>
      <c r="B2">
        <v>181672</v>
      </c>
    </row>
    <row r="3" spans="1:2" x14ac:dyDescent="0.25">
      <c r="A3" s="89" t="s">
        <v>403</v>
      </c>
      <c r="B3">
        <v>233751</v>
      </c>
    </row>
    <row r="4" spans="1:2" x14ac:dyDescent="0.25">
      <c r="A4" s="89" t="s">
        <v>405</v>
      </c>
      <c r="B4">
        <v>112697</v>
      </c>
    </row>
    <row r="5" spans="1:2" x14ac:dyDescent="0.25">
      <c r="A5" s="89" t="s">
        <v>368</v>
      </c>
      <c r="B5">
        <v>528120</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ADC9-0443-4AC3-BDFA-B1AEEE1BA6B4}">
  <sheetPr codeName="Sheet19"/>
  <dimension ref="A3:C20"/>
  <sheetViews>
    <sheetView workbookViewId="0">
      <selection activeCell="A3" sqref="A3"/>
    </sheetView>
  </sheetViews>
  <sheetFormatPr defaultRowHeight="15" x14ac:dyDescent="0.25"/>
  <cols>
    <col min="1" max="1" width="13.140625" bestFit="1" customWidth="1"/>
  </cols>
  <sheetData>
    <row r="3" spans="1:3" x14ac:dyDescent="0.25">
      <c r="A3" s="97"/>
      <c r="B3" s="98"/>
      <c r="C3" s="99"/>
    </row>
    <row r="4" spans="1:3" x14ac:dyDescent="0.25">
      <c r="A4" s="100"/>
      <c r="B4" s="101"/>
      <c r="C4" s="102"/>
    </row>
    <row r="5" spans="1:3" x14ac:dyDescent="0.25">
      <c r="A5" s="100"/>
      <c r="B5" s="101"/>
      <c r="C5" s="102"/>
    </row>
    <row r="6" spans="1:3" x14ac:dyDescent="0.25">
      <c r="A6" s="100"/>
      <c r="B6" s="101"/>
      <c r="C6" s="102"/>
    </row>
    <row r="7" spans="1:3" x14ac:dyDescent="0.25">
      <c r="A7" s="100"/>
      <c r="B7" s="101"/>
      <c r="C7" s="102"/>
    </row>
    <row r="8" spans="1:3" x14ac:dyDescent="0.25">
      <c r="A8" s="100"/>
      <c r="B8" s="101"/>
      <c r="C8" s="102"/>
    </row>
    <row r="9" spans="1:3" x14ac:dyDescent="0.25">
      <c r="A9" s="100"/>
      <c r="B9" s="101"/>
      <c r="C9" s="102"/>
    </row>
    <row r="10" spans="1:3" x14ac:dyDescent="0.25">
      <c r="A10" s="100"/>
      <c r="B10" s="101"/>
      <c r="C10" s="102"/>
    </row>
    <row r="11" spans="1:3" x14ac:dyDescent="0.25">
      <c r="A11" s="100"/>
      <c r="B11" s="101"/>
      <c r="C11" s="102"/>
    </row>
    <row r="12" spans="1:3" x14ac:dyDescent="0.25">
      <c r="A12" s="100"/>
      <c r="B12" s="101"/>
      <c r="C12" s="102"/>
    </row>
    <row r="13" spans="1:3" x14ac:dyDescent="0.25">
      <c r="A13" s="100"/>
      <c r="B13" s="101"/>
      <c r="C13" s="102"/>
    </row>
    <row r="14" spans="1:3" x14ac:dyDescent="0.25">
      <c r="A14" s="100"/>
      <c r="B14" s="101"/>
      <c r="C14" s="102"/>
    </row>
    <row r="15" spans="1:3" x14ac:dyDescent="0.25">
      <c r="A15" s="100"/>
      <c r="B15" s="101"/>
      <c r="C15" s="102"/>
    </row>
    <row r="16" spans="1:3" x14ac:dyDescent="0.25">
      <c r="A16" s="100"/>
      <c r="B16" s="101"/>
      <c r="C16" s="102"/>
    </row>
    <row r="17" spans="1:3" x14ac:dyDescent="0.25">
      <c r="A17" s="100"/>
      <c r="B17" s="101"/>
      <c r="C17" s="102"/>
    </row>
    <row r="18" spans="1:3" x14ac:dyDescent="0.25">
      <c r="A18" s="100"/>
      <c r="B18" s="101"/>
      <c r="C18" s="102"/>
    </row>
    <row r="19" spans="1:3" x14ac:dyDescent="0.25">
      <c r="A19" s="100"/>
      <c r="B19" s="101"/>
      <c r="C19" s="102"/>
    </row>
    <row r="20" spans="1:3" x14ac:dyDescent="0.25">
      <c r="A20" s="103"/>
      <c r="B20" s="104"/>
      <c r="C20" s="10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Q102"/>
  <sheetViews>
    <sheetView workbookViewId="0">
      <selection activeCell="E3" sqref="E3:E21"/>
    </sheetView>
  </sheetViews>
  <sheetFormatPr defaultRowHeight="15" x14ac:dyDescent="0.25"/>
  <cols>
    <col min="1" max="1" width="16" style="106" customWidth="1"/>
    <col min="2" max="2" width="12.42578125" bestFit="1" customWidth="1"/>
    <col min="3" max="3" width="13.42578125" bestFit="1" customWidth="1"/>
    <col min="4" max="4" width="11.7109375" bestFit="1" customWidth="1"/>
    <col min="5" max="5" width="17.85546875" bestFit="1" customWidth="1"/>
    <col min="6" max="6" width="17.7109375" bestFit="1" customWidth="1"/>
    <col min="7" max="8" width="17.7109375" customWidth="1"/>
    <col min="10" max="10" width="22.85546875" customWidth="1"/>
    <col min="11" max="11" width="22.140625" customWidth="1"/>
    <col min="14" max="14" width="18.85546875" customWidth="1"/>
    <col min="16" max="16" width="16.85546875" customWidth="1"/>
    <col min="17" max="17" width="38.42578125" customWidth="1"/>
  </cols>
  <sheetData>
    <row r="1" spans="1:16" x14ac:dyDescent="0.25">
      <c r="A1" s="106" t="s">
        <v>0</v>
      </c>
      <c r="B1" s="1" t="s">
        <v>1</v>
      </c>
      <c r="C1" s="1" t="s">
        <v>2</v>
      </c>
      <c r="D1" s="1" t="s">
        <v>3</v>
      </c>
      <c r="E1" s="1" t="s">
        <v>4</v>
      </c>
      <c r="F1" s="1" t="s">
        <v>5</v>
      </c>
      <c r="G1" s="1" t="s">
        <v>402</v>
      </c>
      <c r="H1" s="1" t="s">
        <v>401</v>
      </c>
      <c r="I1" s="1" t="s">
        <v>400</v>
      </c>
      <c r="J1" s="1"/>
      <c r="K1" s="4"/>
      <c r="L1" s="4"/>
      <c r="M1" s="4"/>
    </row>
    <row r="2" spans="1:16" x14ac:dyDescent="0.25">
      <c r="E2">
        <v>227</v>
      </c>
      <c r="G2" s="122" t="str">
        <f ca="1">IF(Table1[[#This Row],[age]]&gt;500,"Above 500",IF(Table1[[#This Row],[age]]&gt;450,"450-500",IF(Table1[[#This Row],[age]]&gt;400,"400-450","other")))</f>
        <v>Above 500</v>
      </c>
      <c r="H2" s="122" t="str">
        <f>TEXT(Table1[[#This Row],[Date]],"mmmm")</f>
        <v>January</v>
      </c>
      <c r="I2" s="122">
        <f ca="1">_xlfn.DAYS(TODAY(),Table1[[#This Row],[Date]])</f>
        <v>46181</v>
      </c>
    </row>
    <row r="3" spans="1:16" x14ac:dyDescent="0.25">
      <c r="A3" s="106" t="s">
        <v>19</v>
      </c>
      <c r="B3" t="s">
        <v>79</v>
      </c>
      <c r="C3" t="s">
        <v>81</v>
      </c>
      <c r="D3" t="s">
        <v>87</v>
      </c>
      <c r="E3">
        <v>229</v>
      </c>
      <c r="F3">
        <v>1</v>
      </c>
      <c r="G3" t="str">
        <f ca="1">IF(Table1[[#This Row],[age]]&gt;500,"Above 500",IF(Table1[[#This Row],[age]]&gt;450,"450-500",IF(Table1[[#This Row],[age]]&gt;400,"400-450","other")))</f>
        <v>400-450</v>
      </c>
      <c r="H3" t="str">
        <f>TEXT(Table1[[#This Row],[Date]],"mmmm")</f>
        <v>April</v>
      </c>
      <c r="I3">
        <f ca="1">_xlfn.DAYS(TODAY(),Table1[[#This Row],[Date]])</f>
        <v>414</v>
      </c>
    </row>
    <row r="4" spans="1:16" x14ac:dyDescent="0.25">
      <c r="A4" s="106" t="s">
        <v>35</v>
      </c>
      <c r="B4" t="s">
        <v>79</v>
      </c>
      <c r="C4" t="s">
        <v>81</v>
      </c>
      <c r="D4" t="s">
        <v>86</v>
      </c>
      <c r="E4">
        <v>311</v>
      </c>
      <c r="F4">
        <v>1</v>
      </c>
      <c r="G4" t="str">
        <f ca="1">IF(Table1[[#This Row],[age]]&gt;500,"Above 500",IF(Table1[[#This Row],[age]]&gt;450,"450-500",IF(Table1[[#This Row],[age]]&gt;400,"400-450","other")))</f>
        <v>400-450</v>
      </c>
      <c r="H4" t="str">
        <f>TEXT(Table1[[#This Row],[Date]],"mmmm")</f>
        <v>March</v>
      </c>
      <c r="I4">
        <f ca="1">_xlfn.DAYS(TODAY(),Table1[[#This Row],[Date]])</f>
        <v>434</v>
      </c>
    </row>
    <row r="5" spans="1:16" x14ac:dyDescent="0.25">
      <c r="A5" s="106" t="s">
        <v>6</v>
      </c>
      <c r="B5" t="s">
        <v>77</v>
      </c>
      <c r="C5" t="s">
        <v>83</v>
      </c>
      <c r="D5" t="s">
        <v>87</v>
      </c>
      <c r="E5">
        <v>399</v>
      </c>
      <c r="F5">
        <v>3</v>
      </c>
      <c r="G5" t="str">
        <f ca="1">IF(Table1[[#This Row],[age]]&gt;500,"Above 500",IF(Table1[[#This Row],[age]]&gt;450,"450-500",IF(Table1[[#This Row],[age]]&gt;400,"400-450","other")))</f>
        <v>450-500</v>
      </c>
      <c r="H5" t="str">
        <f>TEXT(Table1[[#This Row],[Date]],"mmmm")</f>
        <v>February</v>
      </c>
      <c r="I5">
        <f ca="1">_xlfn.DAYS(TODAY(),Table1[[#This Row],[Date]])</f>
        <v>484</v>
      </c>
    </row>
    <row r="6" spans="1:16" x14ac:dyDescent="0.25">
      <c r="A6" s="106" t="s">
        <v>53</v>
      </c>
      <c r="B6" t="s">
        <v>73</v>
      </c>
      <c r="C6" t="s">
        <v>81</v>
      </c>
      <c r="D6" t="s">
        <v>88</v>
      </c>
      <c r="E6">
        <v>545</v>
      </c>
      <c r="F6">
        <v>5</v>
      </c>
      <c r="G6" t="str">
        <f ca="1">IF(Table1[[#This Row],[age]]&gt;500,"Above 500",IF(Table1[[#This Row],[age]]&gt;450,"450-500",IF(Table1[[#This Row],[age]]&gt;400,"400-450","other")))</f>
        <v>450-500</v>
      </c>
      <c r="H6" t="str">
        <f>TEXT(Table1[[#This Row],[Date]],"mmmm")</f>
        <v>January</v>
      </c>
      <c r="I6">
        <f ca="1">_xlfn.DAYS(TODAY(),Table1[[#This Row],[Date]])</f>
        <v>495</v>
      </c>
    </row>
    <row r="7" spans="1:16" x14ac:dyDescent="0.25">
      <c r="A7" s="106" t="s">
        <v>20</v>
      </c>
      <c r="B7" t="s">
        <v>78</v>
      </c>
      <c r="C7" t="s">
        <v>84</v>
      </c>
      <c r="D7" t="s">
        <v>85</v>
      </c>
      <c r="E7">
        <v>558</v>
      </c>
      <c r="F7">
        <v>1</v>
      </c>
      <c r="G7" t="str">
        <f ca="1">IF(Table1[[#This Row],[age]]&gt;500,"Above 500",IF(Table1[[#This Row],[age]]&gt;450,"450-500",IF(Table1[[#This Row],[age]]&gt;400,"400-450","other")))</f>
        <v>450-500</v>
      </c>
      <c r="H7" t="str">
        <f>TEXT(Table1[[#This Row],[Date]],"mmmm")</f>
        <v>March</v>
      </c>
      <c r="I7">
        <f ca="1">_xlfn.DAYS(TODAY(),Table1[[#This Row],[Date]])</f>
        <v>459</v>
      </c>
    </row>
    <row r="8" spans="1:16" x14ac:dyDescent="0.25">
      <c r="A8" s="106" t="s">
        <v>30</v>
      </c>
      <c r="B8" t="s">
        <v>80</v>
      </c>
      <c r="C8" t="s">
        <v>82</v>
      </c>
      <c r="D8" t="s">
        <v>85</v>
      </c>
      <c r="E8">
        <v>632</v>
      </c>
      <c r="F8">
        <v>1</v>
      </c>
      <c r="G8" t="str">
        <f ca="1">IF(Table1[[#This Row],[age]]&gt;500,"Above 500",IF(Table1[[#This Row],[age]]&gt;450,"450-500",IF(Table1[[#This Row],[age]]&gt;400,"400-450","other")))</f>
        <v>400-450</v>
      </c>
      <c r="H8" t="str">
        <f>TEXT(Table1[[#This Row],[Date]],"mmmm")</f>
        <v>March</v>
      </c>
      <c r="I8">
        <f ca="1">_xlfn.DAYS(TODAY(),Table1[[#This Row],[Date]])</f>
        <v>437</v>
      </c>
    </row>
    <row r="9" spans="1:16" x14ac:dyDescent="0.25">
      <c r="A9" s="106" t="s">
        <v>51</v>
      </c>
      <c r="B9" t="s">
        <v>73</v>
      </c>
      <c r="C9" t="s">
        <v>81</v>
      </c>
      <c r="D9" t="s">
        <v>85</v>
      </c>
      <c r="E9">
        <v>636</v>
      </c>
      <c r="F9">
        <v>2</v>
      </c>
      <c r="G9" t="str">
        <f ca="1">IF(Table1[[#This Row],[age]]&gt;500,"Above 500",IF(Table1[[#This Row],[age]]&gt;450,"450-500",IF(Table1[[#This Row],[age]]&gt;400,"400-450","other")))</f>
        <v>Above 500</v>
      </c>
      <c r="H9" t="str">
        <f>TEXT(Table1[[#This Row],[Date]],"mmmm")</f>
        <v>January</v>
      </c>
      <c r="I9">
        <f ca="1">_xlfn.DAYS(TODAY(),Table1[[#This Row],[Date]])</f>
        <v>512</v>
      </c>
      <c r="K9" s="3" t="s">
        <v>163</v>
      </c>
      <c r="N9" s="3" t="s">
        <v>176</v>
      </c>
      <c r="P9" s="3" t="s">
        <v>227</v>
      </c>
    </row>
    <row r="10" spans="1:16" x14ac:dyDescent="0.25">
      <c r="A10" s="106" t="s">
        <v>9</v>
      </c>
      <c r="B10" t="s">
        <v>76</v>
      </c>
      <c r="C10" t="s">
        <v>84</v>
      </c>
      <c r="D10" t="s">
        <v>85</v>
      </c>
      <c r="E10">
        <v>676</v>
      </c>
      <c r="F10">
        <v>4</v>
      </c>
      <c r="G10" t="str">
        <f ca="1">IF(Table1[[#This Row],[age]]&gt;500,"Above 500",IF(Table1[[#This Row],[age]]&gt;450,"450-500",IF(Table1[[#This Row],[age]]&gt;400,"400-450","other")))</f>
        <v>450-500</v>
      </c>
      <c r="H10" t="str">
        <f>TEXT(Table1[[#This Row],[Date]],"mmmm")</f>
        <v>February</v>
      </c>
      <c r="I10">
        <f ca="1">_xlfn.DAYS(TODAY(),Table1[[#This Row],[Date]])</f>
        <v>487</v>
      </c>
      <c r="J10">
        <v>1</v>
      </c>
      <c r="K10" t="s">
        <v>95</v>
      </c>
      <c r="M10">
        <v>1</v>
      </c>
      <c r="N10" t="s">
        <v>177</v>
      </c>
      <c r="O10">
        <v>1</v>
      </c>
      <c r="P10" t="s">
        <v>206</v>
      </c>
    </row>
    <row r="11" spans="1:16" x14ac:dyDescent="0.25">
      <c r="A11" s="106" t="s">
        <v>9</v>
      </c>
      <c r="B11" t="s">
        <v>74</v>
      </c>
      <c r="C11" t="s">
        <v>82</v>
      </c>
      <c r="D11" t="s">
        <v>88</v>
      </c>
      <c r="E11">
        <v>808</v>
      </c>
      <c r="F11">
        <v>8</v>
      </c>
      <c r="G11" t="str">
        <f ca="1">IF(Table1[[#This Row],[age]]&gt;500,"Above 500",IF(Table1[[#This Row],[age]]&gt;450,"450-500",IF(Table1[[#This Row],[age]]&gt;400,"400-450","other")))</f>
        <v>450-500</v>
      </c>
      <c r="H11" t="str">
        <f>TEXT(Table1[[#This Row],[Date]],"mmmm")</f>
        <v>February</v>
      </c>
      <c r="I11">
        <f ca="1">_xlfn.DAYS(TODAY(),Table1[[#This Row],[Date]])</f>
        <v>487</v>
      </c>
      <c r="J11">
        <v>2</v>
      </c>
      <c r="K11" t="s">
        <v>96</v>
      </c>
      <c r="M11">
        <v>2</v>
      </c>
      <c r="N11" t="s">
        <v>178</v>
      </c>
      <c r="O11">
        <v>2</v>
      </c>
      <c r="P11" t="s">
        <v>228</v>
      </c>
    </row>
    <row r="12" spans="1:16" x14ac:dyDescent="0.25">
      <c r="A12" s="106" t="s">
        <v>28</v>
      </c>
      <c r="B12" t="s">
        <v>76</v>
      </c>
      <c r="C12" t="s">
        <v>84</v>
      </c>
      <c r="D12" t="s">
        <v>85</v>
      </c>
      <c r="E12">
        <v>852</v>
      </c>
      <c r="F12">
        <v>2</v>
      </c>
      <c r="G12" t="str">
        <f ca="1">IF(Table1[[#This Row],[age]]&gt;500,"Above 500",IF(Table1[[#This Row],[age]]&gt;450,"450-500",IF(Table1[[#This Row],[age]]&gt;400,"400-450","other")))</f>
        <v>450-500</v>
      </c>
      <c r="H12" t="str">
        <f>TEXT(Table1[[#This Row],[Date]],"mmmm")</f>
        <v>February</v>
      </c>
      <c r="I12">
        <f ca="1">_xlfn.DAYS(TODAY(),Table1[[#This Row],[Date]])</f>
        <v>480</v>
      </c>
      <c r="J12">
        <v>3</v>
      </c>
      <c r="K12" t="s">
        <v>94</v>
      </c>
      <c r="M12">
        <v>3</v>
      </c>
      <c r="N12" t="s">
        <v>179</v>
      </c>
      <c r="O12">
        <v>3</v>
      </c>
      <c r="P12" t="s">
        <v>192</v>
      </c>
    </row>
    <row r="13" spans="1:16" x14ac:dyDescent="0.25">
      <c r="A13" s="106" t="s">
        <v>22</v>
      </c>
      <c r="B13" t="s">
        <v>74</v>
      </c>
      <c r="C13" t="s">
        <v>82</v>
      </c>
      <c r="D13" t="s">
        <v>88</v>
      </c>
      <c r="E13">
        <v>1017</v>
      </c>
      <c r="F13">
        <v>9</v>
      </c>
      <c r="G13" t="str">
        <f ca="1">IF(Table1[[#This Row],[age]]&gt;500,"Above 500",IF(Table1[[#This Row],[age]]&gt;450,"450-500",IF(Table1[[#This Row],[age]]&gt;400,"400-450","other")))</f>
        <v>400-450</v>
      </c>
      <c r="H13" t="str">
        <f>TEXT(Table1[[#This Row],[Date]],"mmmm")</f>
        <v>March</v>
      </c>
      <c r="I13">
        <f ca="1">_xlfn.DAYS(TODAY(),Table1[[#This Row],[Date]])</f>
        <v>449</v>
      </c>
      <c r="J13">
        <v>4</v>
      </c>
      <c r="K13" t="s">
        <v>164</v>
      </c>
      <c r="M13">
        <v>4</v>
      </c>
      <c r="N13" t="s">
        <v>180</v>
      </c>
      <c r="O13">
        <v>4</v>
      </c>
      <c r="P13" t="s">
        <v>229</v>
      </c>
    </row>
    <row r="14" spans="1:16" x14ac:dyDescent="0.25">
      <c r="A14" s="106" t="s">
        <v>22</v>
      </c>
      <c r="B14" t="s">
        <v>77</v>
      </c>
      <c r="C14" t="s">
        <v>83</v>
      </c>
      <c r="D14" t="s">
        <v>88</v>
      </c>
      <c r="E14">
        <v>1044</v>
      </c>
      <c r="F14">
        <v>3</v>
      </c>
      <c r="G14" t="str">
        <f ca="1">IF(Table1[[#This Row],[age]]&gt;500,"Above 500",IF(Table1[[#This Row],[age]]&gt;450,"450-500",IF(Table1[[#This Row],[age]]&gt;400,"400-450","other")))</f>
        <v>400-450</v>
      </c>
      <c r="H14" t="str">
        <f>TEXT(Table1[[#This Row],[Date]],"mmmm")</f>
        <v>March</v>
      </c>
      <c r="I14">
        <f ca="1">_xlfn.DAYS(TODAY(),Table1[[#This Row],[Date]])</f>
        <v>449</v>
      </c>
      <c r="J14">
        <v>5</v>
      </c>
      <c r="K14" t="s">
        <v>165</v>
      </c>
      <c r="M14">
        <v>5</v>
      </c>
      <c r="N14" t="s">
        <v>181</v>
      </c>
      <c r="O14">
        <v>5</v>
      </c>
      <c r="P14" t="s">
        <v>230</v>
      </c>
    </row>
    <row r="15" spans="1:16" x14ac:dyDescent="0.25">
      <c r="A15" s="106" t="s">
        <v>59</v>
      </c>
      <c r="B15" t="s">
        <v>73</v>
      </c>
      <c r="C15" t="s">
        <v>81</v>
      </c>
      <c r="D15" t="s">
        <v>85</v>
      </c>
      <c r="E15">
        <v>1185</v>
      </c>
      <c r="F15">
        <v>5</v>
      </c>
      <c r="G15" t="str">
        <f ca="1">IF(Table1[[#This Row],[age]]&gt;500,"Above 500",IF(Table1[[#This Row],[age]]&gt;450,"450-500",IF(Table1[[#This Row],[age]]&gt;400,"400-450","other")))</f>
        <v>450-500</v>
      </c>
      <c r="H15" t="str">
        <f>TEXT(Table1[[#This Row],[Date]],"mmmm")</f>
        <v>March</v>
      </c>
      <c r="I15">
        <f ca="1">_xlfn.DAYS(TODAY(),Table1[[#This Row],[Date]])</f>
        <v>454</v>
      </c>
      <c r="J15">
        <v>6</v>
      </c>
      <c r="K15" t="s">
        <v>166</v>
      </c>
      <c r="M15">
        <v>6</v>
      </c>
      <c r="N15" t="s">
        <v>182</v>
      </c>
      <c r="O15">
        <v>6</v>
      </c>
      <c r="P15" t="s">
        <v>231</v>
      </c>
    </row>
    <row r="16" spans="1:16" x14ac:dyDescent="0.25">
      <c r="A16" s="106" t="s">
        <v>68</v>
      </c>
      <c r="B16" t="s">
        <v>79</v>
      </c>
      <c r="C16" t="s">
        <v>81</v>
      </c>
      <c r="D16" t="s">
        <v>86</v>
      </c>
      <c r="E16">
        <v>1220</v>
      </c>
      <c r="F16">
        <v>5</v>
      </c>
      <c r="G16" t="str">
        <f ca="1">IF(Table1[[#This Row],[age]]&gt;500,"Above 500",IF(Table1[[#This Row],[age]]&gt;450,"450-500",IF(Table1[[#This Row],[age]]&gt;400,"400-450","other")))</f>
        <v>Above 500</v>
      </c>
      <c r="H16" t="str">
        <f>TEXT(Table1[[#This Row],[Date]],"mmmm")</f>
        <v>January</v>
      </c>
      <c r="I16">
        <f ca="1">_xlfn.DAYS(TODAY(),Table1[[#This Row],[Date]])</f>
        <v>513</v>
      </c>
      <c r="J16">
        <v>7</v>
      </c>
      <c r="K16" t="s">
        <v>89</v>
      </c>
      <c r="O16">
        <v>7</v>
      </c>
      <c r="P16" t="s">
        <v>232</v>
      </c>
    </row>
    <row r="17" spans="1:17" x14ac:dyDescent="0.25">
      <c r="A17" s="106" t="s">
        <v>28</v>
      </c>
      <c r="B17" t="s">
        <v>74</v>
      </c>
      <c r="C17" t="s">
        <v>82</v>
      </c>
      <c r="D17" t="s">
        <v>88</v>
      </c>
      <c r="E17">
        <v>1464</v>
      </c>
      <c r="F17">
        <v>2</v>
      </c>
      <c r="G17" t="str">
        <f ca="1">IF(Table1[[#This Row],[age]]&gt;500,"Above 500",IF(Table1[[#This Row],[age]]&gt;450,"450-500",IF(Table1[[#This Row],[age]]&gt;400,"400-450","other")))</f>
        <v>450-500</v>
      </c>
      <c r="H17" t="str">
        <f>TEXT(Table1[[#This Row],[Date]],"mmmm")</f>
        <v>February</v>
      </c>
      <c r="I17">
        <f ca="1">_xlfn.DAYS(TODAY(),Table1[[#This Row],[Date]])</f>
        <v>480</v>
      </c>
      <c r="J17">
        <v>8</v>
      </c>
      <c r="K17" t="s">
        <v>167</v>
      </c>
      <c r="O17">
        <v>8</v>
      </c>
      <c r="P17" t="s">
        <v>233</v>
      </c>
    </row>
    <row r="18" spans="1:17" x14ac:dyDescent="0.25">
      <c r="A18" s="106" t="s">
        <v>38</v>
      </c>
      <c r="B18" t="s">
        <v>76</v>
      </c>
      <c r="C18" t="s">
        <v>84</v>
      </c>
      <c r="D18" t="s">
        <v>85</v>
      </c>
      <c r="E18">
        <v>1592</v>
      </c>
      <c r="F18">
        <v>4</v>
      </c>
      <c r="G18" t="str">
        <f ca="1">IF(Table1[[#This Row],[age]]&gt;500,"Above 500",IF(Table1[[#This Row],[age]]&gt;450,"450-500",IF(Table1[[#This Row],[age]]&gt;400,"400-450","other")))</f>
        <v>400-450</v>
      </c>
      <c r="H18" t="str">
        <f>TEXT(Table1[[#This Row],[Date]],"mmmm")</f>
        <v>April</v>
      </c>
      <c r="I18">
        <f ca="1">_xlfn.DAYS(TODAY(),Table1[[#This Row],[Date]])</f>
        <v>432</v>
      </c>
      <c r="J18">
        <v>9</v>
      </c>
      <c r="K18" t="s">
        <v>90</v>
      </c>
      <c r="O18">
        <v>9</v>
      </c>
      <c r="P18" t="s">
        <v>234</v>
      </c>
    </row>
    <row r="19" spans="1:17" x14ac:dyDescent="0.25">
      <c r="A19" s="106" t="s">
        <v>66</v>
      </c>
      <c r="B19" t="s">
        <v>77</v>
      </c>
      <c r="C19" t="s">
        <v>83</v>
      </c>
      <c r="D19" t="s">
        <v>88</v>
      </c>
      <c r="E19">
        <v>1694</v>
      </c>
      <c r="F19">
        <v>11</v>
      </c>
      <c r="G19" t="str">
        <f ca="1">IF(Table1[[#This Row],[age]]&gt;500,"Above 500",IF(Table1[[#This Row],[age]]&gt;450,"450-500",IF(Table1[[#This Row],[age]]&gt;400,"400-450","other")))</f>
        <v>Above 500</v>
      </c>
      <c r="H19" t="str">
        <f>TEXT(Table1[[#This Row],[Date]],"mmmm")</f>
        <v>January</v>
      </c>
      <c r="I19">
        <f ca="1">_xlfn.DAYS(TODAY(),Table1[[#This Row],[Date]])</f>
        <v>514</v>
      </c>
      <c r="J19">
        <v>10</v>
      </c>
      <c r="K19" t="s">
        <v>99</v>
      </c>
      <c r="O19" t="s">
        <v>235</v>
      </c>
    </row>
    <row r="20" spans="1:17" x14ac:dyDescent="0.25">
      <c r="A20" s="106" t="s">
        <v>10</v>
      </c>
      <c r="B20" t="s">
        <v>77</v>
      </c>
      <c r="C20" t="s">
        <v>83</v>
      </c>
      <c r="D20" t="s">
        <v>88</v>
      </c>
      <c r="E20">
        <v>1767</v>
      </c>
      <c r="F20">
        <v>3</v>
      </c>
      <c r="G20" t="str">
        <f ca="1">IF(Table1[[#This Row],[age]]&gt;500,"Above 500",IF(Table1[[#This Row],[age]]&gt;450,"450-500",IF(Table1[[#This Row],[age]]&gt;400,"400-450","other")))</f>
        <v>450-500</v>
      </c>
      <c r="H20" t="str">
        <f>TEXT(Table1[[#This Row],[Date]],"mmmm")</f>
        <v>February</v>
      </c>
      <c r="I20">
        <f ca="1">_xlfn.DAYS(TODAY(),Table1[[#This Row],[Date]])</f>
        <v>488</v>
      </c>
      <c r="J20">
        <v>11</v>
      </c>
      <c r="K20" t="s">
        <v>98</v>
      </c>
    </row>
    <row r="21" spans="1:17" x14ac:dyDescent="0.25">
      <c r="A21" s="106" t="s">
        <v>21</v>
      </c>
      <c r="B21" t="s">
        <v>73</v>
      </c>
      <c r="C21" t="s">
        <v>81</v>
      </c>
      <c r="D21" t="s">
        <v>85</v>
      </c>
      <c r="E21">
        <v>1836</v>
      </c>
      <c r="F21">
        <v>12</v>
      </c>
      <c r="G21" t="str">
        <f ca="1">IF(Table1[[#This Row],[age]]&gt;500,"Above 500",IF(Table1[[#This Row],[age]]&gt;450,"450-500",IF(Table1[[#This Row],[age]]&gt;400,"400-450","other")))</f>
        <v>400-450</v>
      </c>
      <c r="H21" t="str">
        <f>TEXT(Table1[[#This Row],[Date]],"mmmm")</f>
        <v>March</v>
      </c>
      <c r="I21">
        <f ca="1">_xlfn.DAYS(TODAY(),Table1[[#This Row],[Date]])</f>
        <v>440</v>
      </c>
    </row>
    <row r="22" spans="1:17" x14ac:dyDescent="0.25">
      <c r="A22" s="106" t="s">
        <v>11</v>
      </c>
      <c r="B22" t="s">
        <v>76</v>
      </c>
      <c r="C22" t="s">
        <v>84</v>
      </c>
      <c r="D22" t="s">
        <v>87</v>
      </c>
      <c r="E22">
        <v>1905</v>
      </c>
      <c r="F22">
        <v>5</v>
      </c>
      <c r="G22" t="str">
        <f ca="1">IF(Table1[[#This Row],[age]]&gt;500,"Above 500",IF(Table1[[#This Row],[age]]&gt;450,"450-500",IF(Table1[[#This Row],[age]]&gt;400,"400-450","other")))</f>
        <v>400-450</v>
      </c>
      <c r="H22" t="str">
        <f>TEXT(Table1[[#This Row],[Date]],"mmmm")</f>
        <v>April</v>
      </c>
      <c r="I22">
        <f ca="1">_xlfn.DAYS(TODAY(),Table1[[#This Row],[Date]])</f>
        <v>406</v>
      </c>
      <c r="K22" s="3" t="s">
        <v>168</v>
      </c>
      <c r="N22" s="3" t="s">
        <v>183</v>
      </c>
      <c r="P22" s="3" t="s">
        <v>276</v>
      </c>
      <c r="Q22" s="3"/>
    </row>
    <row r="23" spans="1:17" x14ac:dyDescent="0.25">
      <c r="A23" s="106" t="s">
        <v>13</v>
      </c>
      <c r="B23" t="s">
        <v>77</v>
      </c>
      <c r="C23" t="s">
        <v>83</v>
      </c>
      <c r="D23" t="s">
        <v>85</v>
      </c>
      <c r="E23">
        <v>1944</v>
      </c>
      <c r="F23">
        <v>18</v>
      </c>
      <c r="G23" t="str">
        <f ca="1">IF(Table1[[#This Row],[age]]&gt;500,"Above 500",IF(Table1[[#This Row],[age]]&gt;450,"450-500",IF(Table1[[#This Row],[age]]&gt;400,"400-450","other")))</f>
        <v>400-450</v>
      </c>
      <c r="H23" t="str">
        <f>TEXT(Table1[[#This Row],[Date]],"mmmm")</f>
        <v>April</v>
      </c>
      <c r="I23">
        <f ca="1">_xlfn.DAYS(TODAY(),Table1[[#This Row],[Date]])</f>
        <v>417</v>
      </c>
      <c r="J23">
        <v>1</v>
      </c>
      <c r="K23" t="s">
        <v>169</v>
      </c>
      <c r="M23">
        <v>1</v>
      </c>
      <c r="N23" t="s">
        <v>1</v>
      </c>
    </row>
    <row r="24" spans="1:17" x14ac:dyDescent="0.25">
      <c r="A24" s="106" t="s">
        <v>27</v>
      </c>
      <c r="B24" t="s">
        <v>74</v>
      </c>
      <c r="C24" t="s">
        <v>82</v>
      </c>
      <c r="D24" t="s">
        <v>85</v>
      </c>
      <c r="E24">
        <v>2094</v>
      </c>
      <c r="F24">
        <v>6</v>
      </c>
      <c r="G24" t="str">
        <f ca="1">IF(Table1[[#This Row],[age]]&gt;500,"Above 500",IF(Table1[[#This Row],[age]]&gt;450,"450-500",IF(Table1[[#This Row],[age]]&gt;400,"400-450","other")))</f>
        <v>Above 500</v>
      </c>
      <c r="H24" t="str">
        <f>TEXT(Table1[[#This Row],[Date]],"mmmm")</f>
        <v>January</v>
      </c>
      <c r="I24">
        <f ca="1">_xlfn.DAYS(TODAY(),Table1[[#This Row],[Date]])</f>
        <v>521</v>
      </c>
      <c r="J24">
        <v>2</v>
      </c>
      <c r="K24" t="s">
        <v>122</v>
      </c>
      <c r="M24">
        <v>2</v>
      </c>
      <c r="N24" t="s">
        <v>184</v>
      </c>
      <c r="P24" t="s">
        <v>277</v>
      </c>
      <c r="Q24" t="s">
        <v>280</v>
      </c>
    </row>
    <row r="25" spans="1:17" x14ac:dyDescent="0.25">
      <c r="A25" s="106" t="s">
        <v>34</v>
      </c>
      <c r="B25" t="s">
        <v>77</v>
      </c>
      <c r="C25" t="s">
        <v>83</v>
      </c>
      <c r="D25" t="s">
        <v>85</v>
      </c>
      <c r="E25">
        <v>2134</v>
      </c>
      <c r="F25">
        <v>11</v>
      </c>
      <c r="G25" t="str">
        <f ca="1">IF(Table1[[#This Row],[age]]&gt;500,"Above 500",IF(Table1[[#This Row],[age]]&gt;450,"450-500",IF(Table1[[#This Row],[age]]&gt;400,"400-450","other")))</f>
        <v>450-500</v>
      </c>
      <c r="H25" t="str">
        <f>TEXT(Table1[[#This Row],[Date]],"mmmm")</f>
        <v>February</v>
      </c>
      <c r="I25">
        <f ca="1">_xlfn.DAYS(TODAY(),Table1[[#This Row],[Date]])</f>
        <v>489</v>
      </c>
      <c r="J25">
        <v>3</v>
      </c>
      <c r="K25" t="s">
        <v>170</v>
      </c>
      <c r="M25">
        <v>3</v>
      </c>
      <c r="N25" t="s">
        <v>185</v>
      </c>
      <c r="P25" t="s">
        <v>278</v>
      </c>
      <c r="Q25" t="s">
        <v>281</v>
      </c>
    </row>
    <row r="26" spans="1:17" x14ac:dyDescent="0.25">
      <c r="A26" s="106" t="s">
        <v>39</v>
      </c>
      <c r="B26" t="s">
        <v>74</v>
      </c>
      <c r="C26" t="s">
        <v>82</v>
      </c>
      <c r="D26" t="s">
        <v>85</v>
      </c>
      <c r="E26">
        <v>2274</v>
      </c>
      <c r="F26">
        <v>3</v>
      </c>
      <c r="G26" t="str">
        <f ca="1">IF(Table1[[#This Row],[age]]&gt;500,"Above 500",IF(Table1[[#This Row],[age]]&gt;450,"450-500",IF(Table1[[#This Row],[age]]&gt;400,"400-450","other")))</f>
        <v>450-500</v>
      </c>
      <c r="H26" t="str">
        <f>TEXT(Table1[[#This Row],[Date]],"mmmm")</f>
        <v>February</v>
      </c>
      <c r="I26">
        <f ca="1">_xlfn.DAYS(TODAY(),Table1[[#This Row],[Date]])</f>
        <v>477</v>
      </c>
      <c r="J26">
        <v>4</v>
      </c>
      <c r="K26" t="s">
        <v>171</v>
      </c>
      <c r="M26">
        <v>4</v>
      </c>
      <c r="N26" t="s">
        <v>186</v>
      </c>
      <c r="P26" t="s">
        <v>279</v>
      </c>
    </row>
    <row r="27" spans="1:17" x14ac:dyDescent="0.25">
      <c r="A27" s="106" t="s">
        <v>36</v>
      </c>
      <c r="B27" t="s">
        <v>73</v>
      </c>
      <c r="C27" t="s">
        <v>81</v>
      </c>
      <c r="D27" t="s">
        <v>85</v>
      </c>
      <c r="E27">
        <v>2388</v>
      </c>
      <c r="F27">
        <v>3</v>
      </c>
      <c r="G27" t="str">
        <f ca="1">IF(Table1[[#This Row],[age]]&gt;500,"Above 500",IF(Table1[[#This Row],[age]]&gt;450,"450-500",IF(Table1[[#This Row],[age]]&gt;400,"400-450","other")))</f>
        <v>450-500</v>
      </c>
      <c r="H27" t="str">
        <f>TEXT(Table1[[#This Row],[Date]],"mmmm")</f>
        <v>February</v>
      </c>
      <c r="I27">
        <f ca="1">_xlfn.DAYS(TODAY(),Table1[[#This Row],[Date]])</f>
        <v>467</v>
      </c>
      <c r="J27">
        <v>5</v>
      </c>
      <c r="K27" t="s">
        <v>172</v>
      </c>
      <c r="M27">
        <v>5</v>
      </c>
      <c r="N27" t="s">
        <v>187</v>
      </c>
    </row>
    <row r="28" spans="1:17" x14ac:dyDescent="0.25">
      <c r="A28" s="106" t="s">
        <v>72</v>
      </c>
      <c r="B28" t="s">
        <v>75</v>
      </c>
      <c r="C28" t="s">
        <v>83</v>
      </c>
      <c r="D28" t="s">
        <v>85</v>
      </c>
      <c r="E28">
        <v>2460</v>
      </c>
      <c r="F28">
        <v>12</v>
      </c>
      <c r="G28" t="str">
        <f ca="1">IF(Table1[[#This Row],[age]]&gt;500,"Above 500",IF(Table1[[#This Row],[age]]&gt;450,"450-500",IF(Table1[[#This Row],[age]]&gt;400,"400-450","other")))</f>
        <v>450-500</v>
      </c>
      <c r="H28" t="str">
        <f>TEXT(Table1[[#This Row],[Date]],"mmmm")</f>
        <v>February</v>
      </c>
      <c r="I28">
        <f ca="1">_xlfn.DAYS(TODAY(),Table1[[#This Row],[Date]])</f>
        <v>470</v>
      </c>
      <c r="J28">
        <v>6</v>
      </c>
      <c r="K28" t="s">
        <v>173</v>
      </c>
      <c r="M28">
        <v>6</v>
      </c>
      <c r="N28" t="s">
        <v>188</v>
      </c>
      <c r="P28" t="s">
        <v>295</v>
      </c>
      <c r="Q28" s="71" t="s">
        <v>296</v>
      </c>
    </row>
    <row r="29" spans="1:17" x14ac:dyDescent="0.25">
      <c r="A29" s="106" t="s">
        <v>69</v>
      </c>
      <c r="B29" t="s">
        <v>77</v>
      </c>
      <c r="C29" t="s">
        <v>83</v>
      </c>
      <c r="D29" t="s">
        <v>88</v>
      </c>
      <c r="E29">
        <v>2490</v>
      </c>
      <c r="F29">
        <v>15</v>
      </c>
      <c r="G29" t="str">
        <f ca="1">IF(Table1[[#This Row],[age]]&gt;500,"Above 500",IF(Table1[[#This Row],[age]]&gt;450,"450-500",IF(Table1[[#This Row],[age]]&gt;400,"400-450","other")))</f>
        <v>400-450</v>
      </c>
      <c r="H29" t="str">
        <f>TEXT(Table1[[#This Row],[Date]],"mmmm")</f>
        <v>April</v>
      </c>
      <c r="I29">
        <f ca="1">_xlfn.DAYS(TODAY(),Table1[[#This Row],[Date]])</f>
        <v>404</v>
      </c>
      <c r="J29">
        <v>7</v>
      </c>
      <c r="K29" t="s">
        <v>174</v>
      </c>
      <c r="M29">
        <v>7</v>
      </c>
      <c r="N29" t="s">
        <v>89</v>
      </c>
      <c r="Q29" s="71" t="s">
        <v>297</v>
      </c>
    </row>
    <row r="30" spans="1:17" x14ac:dyDescent="0.25">
      <c r="A30" s="106" t="s">
        <v>71</v>
      </c>
      <c r="B30" t="s">
        <v>75</v>
      </c>
      <c r="C30" t="s">
        <v>83</v>
      </c>
      <c r="D30" t="s">
        <v>87</v>
      </c>
      <c r="E30">
        <v>2522</v>
      </c>
      <c r="F30">
        <v>13</v>
      </c>
      <c r="G30" t="str">
        <f ca="1">IF(Table1[[#This Row],[age]]&gt;500,"Above 500",IF(Table1[[#This Row],[age]]&gt;450,"450-500",IF(Table1[[#This Row],[age]]&gt;400,"400-450","other")))</f>
        <v>400-450</v>
      </c>
      <c r="H30" t="str">
        <f>TEXT(Table1[[#This Row],[Date]],"mmmm")</f>
        <v>April</v>
      </c>
      <c r="I30">
        <f ca="1">_xlfn.DAYS(TODAY(),Table1[[#This Row],[Date]])</f>
        <v>416</v>
      </c>
      <c r="J30">
        <v>8</v>
      </c>
      <c r="K30" t="s">
        <v>175</v>
      </c>
      <c r="M30">
        <v>8</v>
      </c>
      <c r="N30" t="s">
        <v>157</v>
      </c>
      <c r="Q30" s="71" t="s">
        <v>298</v>
      </c>
    </row>
    <row r="31" spans="1:17" x14ac:dyDescent="0.25">
      <c r="A31" s="106" t="s">
        <v>24</v>
      </c>
      <c r="B31" t="s">
        <v>75</v>
      </c>
      <c r="C31" t="s">
        <v>83</v>
      </c>
      <c r="D31" t="s">
        <v>87</v>
      </c>
      <c r="E31">
        <v>2560</v>
      </c>
      <c r="F31">
        <v>4</v>
      </c>
      <c r="G31" t="str">
        <f ca="1">IF(Table1[[#This Row],[age]]&gt;500,"Above 500",IF(Table1[[#This Row],[age]]&gt;450,"450-500",IF(Table1[[#This Row],[age]]&gt;400,"400-450","other")))</f>
        <v>450-500</v>
      </c>
      <c r="H31" t="str">
        <f>TEXT(Table1[[#This Row],[Date]],"mmmm")</f>
        <v>February</v>
      </c>
      <c r="I31">
        <f ca="1">_xlfn.DAYS(TODAY(),Table1[[#This Row],[Date]])</f>
        <v>478</v>
      </c>
      <c r="M31">
        <v>9</v>
      </c>
      <c r="N31" t="s">
        <v>155</v>
      </c>
      <c r="Q31" s="71" t="s">
        <v>299</v>
      </c>
    </row>
    <row r="32" spans="1:17" x14ac:dyDescent="0.25">
      <c r="A32" s="106" t="s">
        <v>32</v>
      </c>
      <c r="B32" t="s">
        <v>78</v>
      </c>
      <c r="C32" t="s">
        <v>84</v>
      </c>
      <c r="D32" t="s">
        <v>88</v>
      </c>
      <c r="E32">
        <v>2598</v>
      </c>
      <c r="F32">
        <v>3</v>
      </c>
      <c r="G32" t="str">
        <f ca="1">IF(Table1[[#This Row],[age]]&gt;500,"Above 500",IF(Table1[[#This Row],[age]]&gt;450,"450-500",IF(Table1[[#This Row],[age]]&gt;400,"400-450","other")))</f>
        <v>450-500</v>
      </c>
      <c r="H32" t="str">
        <f>TEXT(Table1[[#This Row],[Date]],"mmmm")</f>
        <v>February</v>
      </c>
      <c r="I32">
        <f ca="1">_xlfn.DAYS(TODAY(),Table1[[#This Row],[Date]])</f>
        <v>465</v>
      </c>
      <c r="M32">
        <v>10</v>
      </c>
      <c r="N32" t="s">
        <v>189</v>
      </c>
    </row>
    <row r="33" spans="1:14" x14ac:dyDescent="0.25">
      <c r="A33" s="106" t="s">
        <v>38</v>
      </c>
      <c r="B33" t="s">
        <v>73</v>
      </c>
      <c r="C33" t="s">
        <v>81</v>
      </c>
      <c r="D33" t="s">
        <v>85</v>
      </c>
      <c r="E33">
        <v>2690</v>
      </c>
      <c r="F33">
        <v>5</v>
      </c>
      <c r="G33" t="str">
        <f ca="1">IF(Table1[[#This Row],[age]]&gt;500,"Above 500",IF(Table1[[#This Row],[age]]&gt;450,"450-500",IF(Table1[[#This Row],[age]]&gt;400,"400-450","other")))</f>
        <v>400-450</v>
      </c>
      <c r="H33" t="str">
        <f>TEXT(Table1[[#This Row],[Date]],"mmmm")</f>
        <v>April</v>
      </c>
      <c r="I33">
        <f ca="1">_xlfn.DAYS(TODAY(),Table1[[#This Row],[Date]])</f>
        <v>432</v>
      </c>
      <c r="M33">
        <v>11</v>
      </c>
      <c r="N33" t="s">
        <v>161</v>
      </c>
    </row>
    <row r="34" spans="1:14" x14ac:dyDescent="0.25">
      <c r="A34" s="106" t="s">
        <v>10</v>
      </c>
      <c r="B34" t="s">
        <v>76</v>
      </c>
      <c r="C34" t="s">
        <v>84</v>
      </c>
      <c r="D34" t="s">
        <v>88</v>
      </c>
      <c r="E34">
        <v>2728</v>
      </c>
      <c r="F34">
        <v>11</v>
      </c>
      <c r="G34" t="str">
        <f ca="1">IF(Table1[[#This Row],[age]]&gt;500,"Above 500",IF(Table1[[#This Row],[age]]&gt;450,"450-500",IF(Table1[[#This Row],[age]]&gt;400,"400-450","other")))</f>
        <v>450-500</v>
      </c>
      <c r="H34" t="str">
        <f>TEXT(Table1[[#This Row],[Date]],"mmmm")</f>
        <v>February</v>
      </c>
      <c r="I34">
        <f ca="1">_xlfn.DAYS(TODAY(),Table1[[#This Row],[Date]])</f>
        <v>488</v>
      </c>
      <c r="M34">
        <v>12</v>
      </c>
      <c r="N34" t="s">
        <v>162</v>
      </c>
    </row>
    <row r="35" spans="1:14" x14ac:dyDescent="0.25">
      <c r="A35" s="106" t="s">
        <v>15</v>
      </c>
      <c r="B35" t="s">
        <v>74</v>
      </c>
      <c r="C35" t="s">
        <v>82</v>
      </c>
      <c r="D35" t="s">
        <v>86</v>
      </c>
      <c r="E35">
        <v>2790</v>
      </c>
      <c r="F35">
        <v>18</v>
      </c>
      <c r="G35" t="str">
        <f ca="1">IF(Table1[[#This Row],[age]]&gt;500,"Above 500",IF(Table1[[#This Row],[age]]&gt;450,"450-500",IF(Table1[[#This Row],[age]]&gt;400,"400-450","other")))</f>
        <v>400-450</v>
      </c>
      <c r="H35" t="str">
        <f>TEXT(Table1[[#This Row],[Date]],"mmmm")</f>
        <v>May</v>
      </c>
      <c r="I35">
        <f ca="1">_xlfn.DAYS(TODAY(),Table1[[#This Row],[Date]])</f>
        <v>403</v>
      </c>
    </row>
    <row r="36" spans="1:14" x14ac:dyDescent="0.25">
      <c r="A36" s="106" t="s">
        <v>64</v>
      </c>
      <c r="B36" t="s">
        <v>73</v>
      </c>
      <c r="C36" t="s">
        <v>81</v>
      </c>
      <c r="D36" t="s">
        <v>86</v>
      </c>
      <c r="E36">
        <v>2805</v>
      </c>
      <c r="F36">
        <v>5</v>
      </c>
      <c r="G36" t="str">
        <f ca="1">IF(Table1[[#This Row],[age]]&gt;500,"Above 500",IF(Table1[[#This Row],[age]]&gt;450,"450-500",IF(Table1[[#This Row],[age]]&gt;400,"400-450","other")))</f>
        <v>Above 500</v>
      </c>
      <c r="H36" t="str">
        <f>TEXT(Table1[[#This Row],[Date]],"mmmm")</f>
        <v>January</v>
      </c>
      <c r="I36">
        <f ca="1">_xlfn.DAYS(TODAY(),Table1[[#This Row],[Date]])</f>
        <v>516</v>
      </c>
    </row>
    <row r="37" spans="1:14" x14ac:dyDescent="0.25">
      <c r="A37" s="106" t="s">
        <v>35</v>
      </c>
      <c r="B37" t="s">
        <v>74</v>
      </c>
      <c r="C37" t="s">
        <v>82</v>
      </c>
      <c r="D37" t="s">
        <v>85</v>
      </c>
      <c r="E37">
        <v>2832</v>
      </c>
      <c r="F37">
        <v>8</v>
      </c>
      <c r="G37" t="str">
        <f ca="1">IF(Table1[[#This Row],[age]]&gt;500,"Above 500",IF(Table1[[#This Row],[age]]&gt;450,"450-500",IF(Table1[[#This Row],[age]]&gt;400,"400-450","other")))</f>
        <v>400-450</v>
      </c>
      <c r="H37" t="str">
        <f>TEXT(Table1[[#This Row],[Date]],"mmmm")</f>
        <v>March</v>
      </c>
      <c r="I37">
        <f ca="1">_xlfn.DAYS(TODAY(),Table1[[#This Row],[Date]])</f>
        <v>434</v>
      </c>
      <c r="N37" s="3" t="s">
        <v>461</v>
      </c>
    </row>
    <row r="38" spans="1:14" x14ac:dyDescent="0.25">
      <c r="A38" s="106" t="s">
        <v>37</v>
      </c>
      <c r="B38" t="s">
        <v>76</v>
      </c>
      <c r="C38" t="s">
        <v>84</v>
      </c>
      <c r="D38" t="s">
        <v>85</v>
      </c>
      <c r="E38">
        <v>2853</v>
      </c>
      <c r="F38">
        <v>9</v>
      </c>
      <c r="G38" t="str">
        <f ca="1">IF(Table1[[#This Row],[age]]&gt;500,"Above 500",IF(Table1[[#This Row],[age]]&gt;450,"450-500",IF(Table1[[#This Row],[age]]&gt;400,"400-450","other")))</f>
        <v>400-450</v>
      </c>
      <c r="H38" t="str">
        <f>TEXT(Table1[[#This Row],[Date]],"mmmm")</f>
        <v>April</v>
      </c>
      <c r="I38">
        <f ca="1">_xlfn.DAYS(TODAY(),Table1[[#This Row],[Date]])</f>
        <v>433</v>
      </c>
      <c r="N38" t="s">
        <v>462</v>
      </c>
    </row>
    <row r="39" spans="1:14" x14ac:dyDescent="0.25">
      <c r="A39" s="106" t="s">
        <v>57</v>
      </c>
      <c r="B39" t="s">
        <v>80</v>
      </c>
      <c r="C39" t="s">
        <v>82</v>
      </c>
      <c r="D39" t="s">
        <v>87</v>
      </c>
      <c r="E39">
        <v>2968</v>
      </c>
      <c r="F39">
        <v>14</v>
      </c>
      <c r="G39" t="str">
        <f ca="1">IF(Table1[[#This Row],[age]]&gt;500,"Above 500",IF(Table1[[#This Row],[age]]&gt;450,"450-500",IF(Table1[[#This Row],[age]]&gt;400,"400-450","other")))</f>
        <v>Above 500</v>
      </c>
      <c r="H39" t="str">
        <f>TEXT(Table1[[#This Row],[Date]],"mmmm")</f>
        <v>January</v>
      </c>
      <c r="I39">
        <f ca="1">_xlfn.DAYS(TODAY(),Table1[[#This Row],[Date]])</f>
        <v>501</v>
      </c>
      <c r="N39" t="s">
        <v>463</v>
      </c>
    </row>
    <row r="40" spans="1:14" x14ac:dyDescent="0.25">
      <c r="A40" s="106" t="s">
        <v>42</v>
      </c>
      <c r="B40" t="s">
        <v>75</v>
      </c>
      <c r="C40" t="s">
        <v>83</v>
      </c>
      <c r="D40" t="s">
        <v>87</v>
      </c>
      <c r="E40">
        <v>3004</v>
      </c>
      <c r="F40">
        <v>4</v>
      </c>
      <c r="G40" t="str">
        <f ca="1">IF(Table1[[#This Row],[age]]&gt;500,"Above 500",IF(Table1[[#This Row],[age]]&gt;450,"450-500",IF(Table1[[#This Row],[age]]&gt;400,"400-450","other")))</f>
        <v>450-500</v>
      </c>
      <c r="H40" t="str">
        <f>TEXT(Table1[[#This Row],[Date]],"mmmm")</f>
        <v>February</v>
      </c>
      <c r="I40">
        <f ca="1">_xlfn.DAYS(TODAY(),Table1[[#This Row],[Date]])</f>
        <v>476</v>
      </c>
    </row>
    <row r="41" spans="1:14" x14ac:dyDescent="0.25">
      <c r="A41" s="106" t="s">
        <v>60</v>
      </c>
      <c r="B41" t="s">
        <v>73</v>
      </c>
      <c r="C41" t="s">
        <v>81</v>
      </c>
      <c r="D41" t="s">
        <v>88</v>
      </c>
      <c r="E41">
        <v>3042</v>
      </c>
      <c r="F41">
        <v>13</v>
      </c>
      <c r="G41" t="str">
        <f ca="1">IF(Table1[[#This Row],[age]]&gt;500,"Above 500",IF(Table1[[#This Row],[age]]&gt;450,"450-500",IF(Table1[[#This Row],[age]]&gt;400,"400-450","other")))</f>
        <v>450-500</v>
      </c>
      <c r="H41" t="str">
        <f>TEXT(Table1[[#This Row],[Date]],"mmmm")</f>
        <v>February</v>
      </c>
      <c r="I41">
        <f ca="1">_xlfn.DAYS(TODAY(),Table1[[#This Row],[Date]])</f>
        <v>471</v>
      </c>
    </row>
    <row r="42" spans="1:14" x14ac:dyDescent="0.25">
      <c r="A42" s="106" t="s">
        <v>70</v>
      </c>
      <c r="B42" t="s">
        <v>73</v>
      </c>
      <c r="C42" t="s">
        <v>81</v>
      </c>
      <c r="D42" t="s">
        <v>88</v>
      </c>
      <c r="E42">
        <v>3225</v>
      </c>
      <c r="F42">
        <v>15</v>
      </c>
      <c r="G42" t="str">
        <f ca="1">IF(Table1[[#This Row],[age]]&gt;500,"Above 500",IF(Table1[[#This Row],[age]]&gt;450,"450-500",IF(Table1[[#This Row],[age]]&gt;400,"400-450","other")))</f>
        <v>400-450</v>
      </c>
      <c r="H42" t="str">
        <f>TEXT(Table1[[#This Row],[Date]],"mmmm")</f>
        <v>March</v>
      </c>
      <c r="I42">
        <f ca="1">_xlfn.DAYS(TODAY(),Table1[[#This Row],[Date]])</f>
        <v>450</v>
      </c>
    </row>
    <row r="43" spans="1:14" x14ac:dyDescent="0.25">
      <c r="A43" s="106" t="s">
        <v>29</v>
      </c>
      <c r="B43" t="s">
        <v>80</v>
      </c>
      <c r="C43" t="s">
        <v>82</v>
      </c>
      <c r="D43" t="s">
        <v>87</v>
      </c>
      <c r="E43">
        <v>3835</v>
      </c>
      <c r="F43">
        <v>5</v>
      </c>
      <c r="G43" t="str">
        <f ca="1">IF(Table1[[#This Row],[age]]&gt;500,"Above 500",IF(Table1[[#This Row],[age]]&gt;450,"450-500",IF(Table1[[#This Row],[age]]&gt;400,"400-450","other")))</f>
        <v>Above 500</v>
      </c>
      <c r="H43" t="str">
        <f>TEXT(Table1[[#This Row],[Date]],"mmmm")</f>
        <v>January</v>
      </c>
      <c r="I43">
        <f ca="1">_xlfn.DAYS(TODAY(),Table1[[#This Row],[Date]])</f>
        <v>502</v>
      </c>
    </row>
    <row r="44" spans="1:14" x14ac:dyDescent="0.25">
      <c r="A44" s="106" t="s">
        <v>33</v>
      </c>
      <c r="B44" t="s">
        <v>78</v>
      </c>
      <c r="C44" t="s">
        <v>84</v>
      </c>
      <c r="D44" t="s">
        <v>87</v>
      </c>
      <c r="E44">
        <v>3880</v>
      </c>
      <c r="F44">
        <v>20</v>
      </c>
      <c r="G44" t="str">
        <f ca="1">IF(Table1[[#This Row],[age]]&gt;500,"Above 500",IF(Table1[[#This Row],[age]]&gt;450,"450-500",IF(Table1[[#This Row],[age]]&gt;400,"400-450","other")))</f>
        <v>400-450</v>
      </c>
      <c r="H44" t="str">
        <f>TEXT(Table1[[#This Row],[Date]],"mmmm")</f>
        <v>April</v>
      </c>
      <c r="I44">
        <f ca="1">_xlfn.DAYS(TODAY(),Table1[[#This Row],[Date]])</f>
        <v>419</v>
      </c>
    </row>
    <row r="45" spans="1:14" x14ac:dyDescent="0.25">
      <c r="A45" s="106" t="s">
        <v>56</v>
      </c>
      <c r="B45" t="s">
        <v>80</v>
      </c>
      <c r="C45" t="s">
        <v>82</v>
      </c>
      <c r="D45" t="s">
        <v>88</v>
      </c>
      <c r="E45">
        <v>3928</v>
      </c>
      <c r="F45">
        <v>4</v>
      </c>
      <c r="G45" t="str">
        <f ca="1">IF(Table1[[#This Row],[age]]&gt;500,"Above 500",IF(Table1[[#This Row],[age]]&gt;450,"450-500",IF(Table1[[#This Row],[age]]&gt;400,"400-450","other")))</f>
        <v>Above 500</v>
      </c>
      <c r="H45" t="str">
        <f>TEXT(Table1[[#This Row],[Date]],"mmmm")</f>
        <v>January</v>
      </c>
      <c r="I45">
        <f ca="1">_xlfn.DAYS(TODAY(),Table1[[#This Row],[Date]])</f>
        <v>522</v>
      </c>
      <c r="K45" t="str" cm="1">
        <f t="array" ref="K45:K48">_xlfn.UNIQUE(C3:C102)</f>
        <v>Footwear</v>
      </c>
      <c r="L45">
        <f>COUNTIF(C3:C102,K45)</f>
        <v>20</v>
      </c>
      <c r="M45">
        <f>SUMIF(C3:C102,K45,E:E)</f>
        <v>80744</v>
      </c>
    </row>
    <row r="46" spans="1:14" x14ac:dyDescent="0.25">
      <c r="A46" s="106" t="s">
        <v>10</v>
      </c>
      <c r="B46" t="s">
        <v>78</v>
      </c>
      <c r="C46" t="s">
        <v>84</v>
      </c>
      <c r="D46" t="s">
        <v>88</v>
      </c>
      <c r="E46">
        <v>3941</v>
      </c>
      <c r="F46">
        <v>7</v>
      </c>
      <c r="G46" t="str">
        <f ca="1">IF(Table1[[#This Row],[age]]&gt;500,"Above 500",IF(Table1[[#This Row],[age]]&gt;450,"450-500",IF(Table1[[#This Row],[age]]&gt;400,"400-450","other")))</f>
        <v>450-500</v>
      </c>
      <c r="H46" t="str">
        <f>TEXT(Table1[[#This Row],[Date]],"mmmm")</f>
        <v>February</v>
      </c>
      <c r="I46">
        <f ca="1">_xlfn.DAYS(TODAY(),Table1[[#This Row],[Date]])</f>
        <v>488</v>
      </c>
      <c r="K46" t="str">
        <v>Clothing</v>
      </c>
      <c r="L46">
        <f>COUNTIF(C4:C102,K46)</f>
        <v>28</v>
      </c>
      <c r="M46">
        <f>SUMIF(C4:C102,K46,E:E)</f>
        <v>143857</v>
      </c>
    </row>
    <row r="47" spans="1:14" x14ac:dyDescent="0.25">
      <c r="A47" s="106" t="s">
        <v>58</v>
      </c>
      <c r="B47" t="s">
        <v>74</v>
      </c>
      <c r="C47" t="s">
        <v>82</v>
      </c>
      <c r="D47" t="s">
        <v>87</v>
      </c>
      <c r="E47">
        <v>3955</v>
      </c>
      <c r="F47">
        <v>5</v>
      </c>
      <c r="G47" t="str">
        <f ca="1">IF(Table1[[#This Row],[age]]&gt;500,"Above 500",IF(Table1[[#This Row],[age]]&gt;450,"450-500",IF(Table1[[#This Row],[age]]&gt;400,"400-450","other")))</f>
        <v>450-500</v>
      </c>
      <c r="H47" t="str">
        <f>TEXT(Table1[[#This Row],[Date]],"mmmm")</f>
        <v>February</v>
      </c>
      <c r="I47">
        <f ca="1">_xlfn.DAYS(TODAY(),Table1[[#This Row],[Date]])</f>
        <v>492</v>
      </c>
      <c r="K47" t="str">
        <v>Appliances</v>
      </c>
      <c r="L47">
        <f>COUNTIF(C5:C103,K47)</f>
        <v>26</v>
      </c>
      <c r="M47">
        <f>SUMIF(C5:C103,K47,E:E)</f>
        <v>138035</v>
      </c>
    </row>
    <row r="48" spans="1:14" x14ac:dyDescent="0.25">
      <c r="A48" s="106" t="s">
        <v>28</v>
      </c>
      <c r="B48" t="s">
        <v>74</v>
      </c>
      <c r="C48" t="s">
        <v>82</v>
      </c>
      <c r="D48" t="s">
        <v>88</v>
      </c>
      <c r="E48">
        <v>3996</v>
      </c>
      <c r="F48">
        <v>4</v>
      </c>
      <c r="G48" t="str">
        <f ca="1">IF(Table1[[#This Row],[age]]&gt;500,"Above 500",IF(Table1[[#This Row],[age]]&gt;450,"450-500",IF(Table1[[#This Row],[age]]&gt;400,"400-450","other")))</f>
        <v>450-500</v>
      </c>
      <c r="H48" t="str">
        <f>TEXT(Table1[[#This Row],[Date]],"mmmm")</f>
        <v>February</v>
      </c>
      <c r="I48">
        <f ca="1">_xlfn.DAYS(TODAY(),Table1[[#This Row],[Date]])</f>
        <v>480</v>
      </c>
      <c r="K48" t="str">
        <v>Electronics</v>
      </c>
      <c r="L48">
        <f>COUNTIF(C6:C104,K48)</f>
        <v>26</v>
      </c>
      <c r="M48">
        <f>SUMIF(C6:C104,K48,E:E)</f>
        <v>113871</v>
      </c>
    </row>
    <row r="49" spans="1:13" x14ac:dyDescent="0.25">
      <c r="A49" s="106" t="s">
        <v>52</v>
      </c>
      <c r="B49" t="s">
        <v>75</v>
      </c>
      <c r="C49" t="s">
        <v>83</v>
      </c>
      <c r="D49" t="s">
        <v>85</v>
      </c>
      <c r="E49">
        <v>4048</v>
      </c>
      <c r="F49">
        <v>8</v>
      </c>
      <c r="G49" t="str">
        <f ca="1">IF(Table1[[#This Row],[age]]&gt;500,"Above 500",IF(Table1[[#This Row],[age]]&gt;450,"450-500",IF(Table1[[#This Row],[age]]&gt;400,"400-450","other")))</f>
        <v>450-500</v>
      </c>
      <c r="H49" t="str">
        <f>TEXT(Table1[[#This Row],[Date]],"mmmm")</f>
        <v>February</v>
      </c>
      <c r="I49">
        <f ca="1">_xlfn.DAYS(TODAY(),Table1[[#This Row],[Date]])</f>
        <v>479</v>
      </c>
    </row>
    <row r="50" spans="1:13" x14ac:dyDescent="0.25">
      <c r="A50" s="106" t="s">
        <v>6</v>
      </c>
      <c r="B50" t="s">
        <v>73</v>
      </c>
      <c r="C50" t="s">
        <v>81</v>
      </c>
      <c r="D50" t="s">
        <v>85</v>
      </c>
      <c r="E50">
        <v>4050</v>
      </c>
      <c r="F50">
        <v>18</v>
      </c>
      <c r="G50" t="str">
        <f ca="1">IF(Table1[[#This Row],[age]]&gt;500,"Above 500",IF(Table1[[#This Row],[age]]&gt;450,"450-500",IF(Table1[[#This Row],[age]]&gt;400,"400-450","other")))</f>
        <v>450-500</v>
      </c>
      <c r="H50" t="str">
        <f>TEXT(Table1[[#This Row],[Date]],"mmmm")</f>
        <v>February</v>
      </c>
      <c r="I50">
        <f ca="1">_xlfn.DAYS(TODAY(),Table1[[#This Row],[Date]])</f>
        <v>484</v>
      </c>
    </row>
    <row r="51" spans="1:13" x14ac:dyDescent="0.25">
      <c r="A51" s="106" t="s">
        <v>42</v>
      </c>
      <c r="B51" t="s">
        <v>75</v>
      </c>
      <c r="C51" t="s">
        <v>83</v>
      </c>
      <c r="D51" t="s">
        <v>85</v>
      </c>
      <c r="E51">
        <v>4140</v>
      </c>
      <c r="F51">
        <v>18</v>
      </c>
      <c r="G51" t="str">
        <f ca="1">IF(Table1[[#This Row],[age]]&gt;500,"Above 500",IF(Table1[[#This Row],[age]]&gt;450,"450-500",IF(Table1[[#This Row],[age]]&gt;400,"400-450","other")))</f>
        <v>450-500</v>
      </c>
      <c r="H51" t="str">
        <f>TEXT(Table1[[#This Row],[Date]],"mmmm")</f>
        <v>February</v>
      </c>
      <c r="I51">
        <f ca="1">_xlfn.DAYS(TODAY(),Table1[[#This Row],[Date]])</f>
        <v>476</v>
      </c>
    </row>
    <row r="52" spans="1:13" x14ac:dyDescent="0.25">
      <c r="A52" s="106" t="s">
        <v>41</v>
      </c>
      <c r="B52" t="s">
        <v>77</v>
      </c>
      <c r="C52" t="s">
        <v>83</v>
      </c>
      <c r="D52" t="s">
        <v>85</v>
      </c>
      <c r="E52">
        <v>4216</v>
      </c>
      <c r="F52">
        <v>8</v>
      </c>
      <c r="G52" t="str">
        <f ca="1">IF(Table1[[#This Row],[age]]&gt;500,"Above 500",IF(Table1[[#This Row],[age]]&gt;450,"450-500",IF(Table1[[#This Row],[age]]&gt;400,"400-450","other")))</f>
        <v>450-500</v>
      </c>
      <c r="H52" t="str">
        <f>TEXT(Table1[[#This Row],[Date]],"mmmm")</f>
        <v>February</v>
      </c>
      <c r="I52">
        <f ca="1">_xlfn.DAYS(TODAY(),Table1[[#This Row],[Date]])</f>
        <v>486</v>
      </c>
      <c r="K52" t="str" cm="1">
        <f t="array" ref="K52:K55">_xlfn.UNIQUE(C3:C102)</f>
        <v>Footwear</v>
      </c>
      <c r="L52">
        <f>COUNTIF(C3:C102,K52)</f>
        <v>20</v>
      </c>
      <c r="M52">
        <f>SUMIF(C3:C102,K45,E:E)</f>
        <v>80744</v>
      </c>
    </row>
    <row r="53" spans="1:13" x14ac:dyDescent="0.25">
      <c r="A53" s="106" t="s">
        <v>16</v>
      </c>
      <c r="B53" t="s">
        <v>80</v>
      </c>
      <c r="C53" t="s">
        <v>82</v>
      </c>
      <c r="D53" t="s">
        <v>88</v>
      </c>
      <c r="E53">
        <v>4382</v>
      </c>
      <c r="F53">
        <v>7</v>
      </c>
      <c r="G53" t="str">
        <f ca="1">IF(Table1[[#This Row],[age]]&gt;500,"Above 500",IF(Table1[[#This Row],[age]]&gt;450,"450-500",IF(Table1[[#This Row],[age]]&gt;400,"400-450","other")))</f>
        <v>Above 500</v>
      </c>
      <c r="H53" t="str">
        <f>TEXT(Table1[[#This Row],[Date]],"mmmm")</f>
        <v>January</v>
      </c>
      <c r="I53">
        <f ca="1">_xlfn.DAYS(TODAY(),Table1[[#This Row],[Date]])</f>
        <v>504</v>
      </c>
      <c r="K53" t="str">
        <v>Clothing</v>
      </c>
      <c r="L53">
        <f t="shared" ref="L53:L55" si="0">COUNTIF(C4:C103,K53)</f>
        <v>28</v>
      </c>
      <c r="M53">
        <f>SUMIF(C4:C102,K46,E:E)</f>
        <v>143857</v>
      </c>
    </row>
    <row r="54" spans="1:13" x14ac:dyDescent="0.25">
      <c r="A54" s="106" t="s">
        <v>31</v>
      </c>
      <c r="B54" t="s">
        <v>74</v>
      </c>
      <c r="C54" t="s">
        <v>82</v>
      </c>
      <c r="D54" t="s">
        <v>85</v>
      </c>
      <c r="E54">
        <v>4459</v>
      </c>
      <c r="F54">
        <v>7</v>
      </c>
      <c r="G54" t="str">
        <f ca="1">IF(Table1[[#This Row],[age]]&gt;500,"Above 500",IF(Table1[[#This Row],[age]]&gt;450,"450-500",IF(Table1[[#This Row],[age]]&gt;400,"400-450","other")))</f>
        <v>Above 500</v>
      </c>
      <c r="H54" t="str">
        <f>TEXT(Table1[[#This Row],[Date]],"mmmm")</f>
        <v>January</v>
      </c>
      <c r="I54">
        <f ca="1">_xlfn.DAYS(TODAY(),Table1[[#This Row],[Date]])</f>
        <v>511</v>
      </c>
      <c r="K54" t="str">
        <v>Appliances</v>
      </c>
      <c r="L54">
        <f t="shared" si="0"/>
        <v>26</v>
      </c>
      <c r="M54">
        <f>SUMIF(C5:C103,K47,E:E)</f>
        <v>138035</v>
      </c>
    </row>
    <row r="55" spans="1:13" x14ac:dyDescent="0.25">
      <c r="A55" s="106" t="s">
        <v>38</v>
      </c>
      <c r="B55" t="s">
        <v>73</v>
      </c>
      <c r="C55" t="s">
        <v>81</v>
      </c>
      <c r="D55" t="s">
        <v>87</v>
      </c>
      <c r="E55">
        <v>4540</v>
      </c>
      <c r="F55">
        <v>5</v>
      </c>
      <c r="G55" t="str">
        <f ca="1">IF(Table1[[#This Row],[age]]&gt;500,"Above 500",IF(Table1[[#This Row],[age]]&gt;450,"450-500",IF(Table1[[#This Row],[age]]&gt;400,"400-450","other")))</f>
        <v>400-450</v>
      </c>
      <c r="H55" t="str">
        <f>TEXT(Table1[[#This Row],[Date]],"mmmm")</f>
        <v>April</v>
      </c>
      <c r="I55">
        <f ca="1">_xlfn.DAYS(TODAY(),Table1[[#This Row],[Date]])</f>
        <v>432</v>
      </c>
      <c r="K55" t="str">
        <v>Electronics</v>
      </c>
      <c r="L55">
        <f t="shared" si="0"/>
        <v>26</v>
      </c>
      <c r="M55">
        <f>SUMIF(C6:C104,K48,E:E)</f>
        <v>113871</v>
      </c>
    </row>
    <row r="56" spans="1:13" x14ac:dyDescent="0.25">
      <c r="A56" s="106" t="s">
        <v>40</v>
      </c>
      <c r="B56" t="s">
        <v>77</v>
      </c>
      <c r="C56" t="s">
        <v>83</v>
      </c>
      <c r="D56" t="s">
        <v>85</v>
      </c>
      <c r="E56">
        <v>4685</v>
      </c>
      <c r="F56">
        <v>5</v>
      </c>
      <c r="G56" t="str">
        <f ca="1">IF(Table1[[#This Row],[age]]&gt;500,"Above 500",IF(Table1[[#This Row],[age]]&gt;450,"450-500",IF(Table1[[#This Row],[age]]&gt;400,"400-450","other")))</f>
        <v>450-500</v>
      </c>
      <c r="H56" t="str">
        <f>TEXT(Table1[[#This Row],[Date]],"mmmm")</f>
        <v>March</v>
      </c>
      <c r="I56">
        <f ca="1">_xlfn.DAYS(TODAY(),Table1[[#This Row],[Date]])</f>
        <v>456</v>
      </c>
    </row>
    <row r="57" spans="1:13" x14ac:dyDescent="0.25">
      <c r="A57" s="106" t="s">
        <v>50</v>
      </c>
      <c r="B57" t="s">
        <v>75</v>
      </c>
      <c r="C57" t="s">
        <v>83</v>
      </c>
      <c r="D57" t="s">
        <v>85</v>
      </c>
      <c r="E57">
        <v>4779</v>
      </c>
      <c r="F57">
        <v>9</v>
      </c>
      <c r="G57" t="str">
        <f ca="1">IF(Table1[[#This Row],[age]]&gt;500,"Above 500",IF(Table1[[#This Row],[age]]&gt;450,"450-500",IF(Table1[[#This Row],[age]]&gt;400,"400-450","other")))</f>
        <v>450-500</v>
      </c>
      <c r="H57" t="str">
        <f>TEXT(Table1[[#This Row],[Date]],"mmmm")</f>
        <v>February</v>
      </c>
      <c r="I57">
        <f ca="1">_xlfn.DAYS(TODAY(),Table1[[#This Row],[Date]])</f>
        <v>468</v>
      </c>
    </row>
    <row r="58" spans="1:13" x14ac:dyDescent="0.25">
      <c r="A58" s="106" t="s">
        <v>31</v>
      </c>
      <c r="B58" t="s">
        <v>78</v>
      </c>
      <c r="C58" t="s">
        <v>84</v>
      </c>
      <c r="D58" t="s">
        <v>86</v>
      </c>
      <c r="E58">
        <v>4806</v>
      </c>
      <c r="F58">
        <v>6</v>
      </c>
      <c r="G58" t="str">
        <f ca="1">IF(Table1[[#This Row],[age]]&gt;500,"Above 500",IF(Table1[[#This Row],[age]]&gt;450,"450-500",IF(Table1[[#This Row],[age]]&gt;400,"400-450","other")))</f>
        <v>Above 500</v>
      </c>
      <c r="H58" t="str">
        <f>TEXT(Table1[[#This Row],[Date]],"mmmm")</f>
        <v>January</v>
      </c>
      <c r="I58">
        <f ca="1">_xlfn.DAYS(TODAY(),Table1[[#This Row],[Date]])</f>
        <v>511</v>
      </c>
    </row>
    <row r="59" spans="1:13" x14ac:dyDescent="0.25">
      <c r="A59" s="106" t="s">
        <v>29</v>
      </c>
      <c r="B59" t="s">
        <v>78</v>
      </c>
      <c r="C59" t="s">
        <v>84</v>
      </c>
      <c r="D59" t="s">
        <v>87</v>
      </c>
      <c r="E59">
        <v>4884</v>
      </c>
      <c r="F59">
        <v>6</v>
      </c>
      <c r="G59" t="str">
        <f ca="1">IF(Table1[[#This Row],[age]]&gt;500,"Above 500",IF(Table1[[#This Row],[age]]&gt;450,"450-500",IF(Table1[[#This Row],[age]]&gt;400,"400-450","other")))</f>
        <v>Above 500</v>
      </c>
      <c r="H59" t="str">
        <f>TEXT(Table1[[#This Row],[Date]],"mmmm")</f>
        <v>January</v>
      </c>
      <c r="I59">
        <f ca="1">_xlfn.DAYS(TODAY(),Table1[[#This Row],[Date]])</f>
        <v>502</v>
      </c>
    </row>
    <row r="60" spans="1:13" x14ac:dyDescent="0.25">
      <c r="A60" s="106" t="s">
        <v>65</v>
      </c>
      <c r="B60" t="s">
        <v>79</v>
      </c>
      <c r="C60" t="s">
        <v>81</v>
      </c>
      <c r="D60" t="s">
        <v>87</v>
      </c>
      <c r="E60">
        <v>5544</v>
      </c>
      <c r="F60">
        <v>7</v>
      </c>
      <c r="G60" t="str">
        <f ca="1">IF(Table1[[#This Row],[age]]&gt;500,"Above 500",IF(Table1[[#This Row],[age]]&gt;450,"450-500",IF(Table1[[#This Row],[age]]&gt;400,"400-450","other")))</f>
        <v>450-500</v>
      </c>
      <c r="H60" t="str">
        <f>TEXT(Table1[[#This Row],[Date]],"mmmm")</f>
        <v>February</v>
      </c>
      <c r="I60">
        <f ca="1">_xlfn.DAYS(TODAY(),Table1[[#This Row],[Date]])</f>
        <v>491</v>
      </c>
    </row>
    <row r="61" spans="1:13" x14ac:dyDescent="0.25">
      <c r="A61" s="106" t="s">
        <v>64</v>
      </c>
      <c r="B61" t="s">
        <v>75</v>
      </c>
      <c r="C61" t="s">
        <v>83</v>
      </c>
      <c r="D61" t="s">
        <v>86</v>
      </c>
      <c r="E61">
        <v>5760</v>
      </c>
      <c r="F61">
        <v>9</v>
      </c>
      <c r="G61" t="str">
        <f ca="1">IF(Table1[[#This Row],[age]]&gt;500,"Above 500",IF(Table1[[#This Row],[age]]&gt;450,"450-500",IF(Table1[[#This Row],[age]]&gt;400,"400-450","other")))</f>
        <v>Above 500</v>
      </c>
      <c r="H61" t="str">
        <f>TEXT(Table1[[#This Row],[Date]],"mmmm")</f>
        <v>January</v>
      </c>
      <c r="I61">
        <f ca="1">_xlfn.DAYS(TODAY(),Table1[[#This Row],[Date]])</f>
        <v>516</v>
      </c>
    </row>
    <row r="62" spans="1:13" x14ac:dyDescent="0.25">
      <c r="A62" s="106" t="s">
        <v>8</v>
      </c>
      <c r="B62" t="s">
        <v>75</v>
      </c>
      <c r="C62" t="s">
        <v>83</v>
      </c>
      <c r="D62" t="s">
        <v>85</v>
      </c>
      <c r="E62">
        <v>5832</v>
      </c>
      <c r="F62">
        <v>6</v>
      </c>
      <c r="G62" t="str">
        <f ca="1">IF(Table1[[#This Row],[age]]&gt;500,"Above 500",IF(Table1[[#This Row],[age]]&gt;450,"450-500",IF(Table1[[#This Row],[age]]&gt;400,"400-450","other")))</f>
        <v>Above 500</v>
      </c>
      <c r="H62" t="str">
        <f>TEXT(Table1[[#This Row],[Date]],"mmmm")</f>
        <v>January</v>
      </c>
      <c r="I62">
        <f ca="1">_xlfn.DAYS(TODAY(),Table1[[#This Row],[Date]])</f>
        <v>505</v>
      </c>
    </row>
    <row r="63" spans="1:13" x14ac:dyDescent="0.25">
      <c r="A63" s="106" t="s">
        <v>54</v>
      </c>
      <c r="B63" t="s">
        <v>75</v>
      </c>
      <c r="C63" t="s">
        <v>83</v>
      </c>
      <c r="D63" t="s">
        <v>85</v>
      </c>
      <c r="E63">
        <v>6040</v>
      </c>
      <c r="F63">
        <v>20</v>
      </c>
      <c r="G63" t="str">
        <f ca="1">IF(Table1[[#This Row],[age]]&gt;500,"Above 500",IF(Table1[[#This Row],[age]]&gt;450,"450-500",IF(Table1[[#This Row],[age]]&gt;400,"400-450","other")))</f>
        <v>450-500</v>
      </c>
      <c r="H63" t="str">
        <f>TEXT(Table1[[#This Row],[Date]],"mmmm")</f>
        <v>February</v>
      </c>
      <c r="I63">
        <f ca="1">_xlfn.DAYS(TODAY(),Table1[[#This Row],[Date]])</f>
        <v>475</v>
      </c>
    </row>
    <row r="64" spans="1:13" x14ac:dyDescent="0.25">
      <c r="A64" s="106" t="s">
        <v>14</v>
      </c>
      <c r="B64" t="s">
        <v>80</v>
      </c>
      <c r="C64" t="s">
        <v>82</v>
      </c>
      <c r="D64" t="s">
        <v>87</v>
      </c>
      <c r="E64">
        <v>6104</v>
      </c>
      <c r="F64">
        <v>7</v>
      </c>
      <c r="G64" t="str">
        <f ca="1">IF(Table1[[#This Row],[age]]&gt;500,"Above 500",IF(Table1[[#This Row],[age]]&gt;450,"450-500",IF(Table1[[#This Row],[age]]&gt;400,"400-450","other")))</f>
        <v>400-450</v>
      </c>
      <c r="H64" t="str">
        <f>TEXT(Table1[[#This Row],[Date]],"mmmm")</f>
        <v>March</v>
      </c>
      <c r="I64">
        <f ca="1">_xlfn.DAYS(TODAY(),Table1[[#This Row],[Date]])</f>
        <v>446</v>
      </c>
    </row>
    <row r="65" spans="1:9" x14ac:dyDescent="0.25">
      <c r="A65" s="106" t="s">
        <v>21</v>
      </c>
      <c r="B65" t="s">
        <v>76</v>
      </c>
      <c r="C65" t="s">
        <v>84</v>
      </c>
      <c r="D65" t="s">
        <v>85</v>
      </c>
      <c r="E65">
        <v>6413</v>
      </c>
      <c r="F65">
        <v>11</v>
      </c>
      <c r="G65" t="str">
        <f ca="1">IF(Table1[[#This Row],[age]]&gt;500,"Above 500",IF(Table1[[#This Row],[age]]&gt;450,"450-500",IF(Table1[[#This Row],[age]]&gt;400,"400-450","other")))</f>
        <v>400-450</v>
      </c>
      <c r="H65" t="str">
        <f>TEXT(Table1[[#This Row],[Date]],"mmmm")</f>
        <v>March</v>
      </c>
      <c r="I65">
        <f ca="1">_xlfn.DAYS(TODAY(),Table1[[#This Row],[Date]])</f>
        <v>440</v>
      </c>
    </row>
    <row r="66" spans="1:9" x14ac:dyDescent="0.25">
      <c r="A66" s="106" t="s">
        <v>59</v>
      </c>
      <c r="B66" t="s">
        <v>78</v>
      </c>
      <c r="C66" t="s">
        <v>84</v>
      </c>
      <c r="D66" t="s">
        <v>87</v>
      </c>
      <c r="E66">
        <v>6464</v>
      </c>
      <c r="F66">
        <v>8</v>
      </c>
      <c r="G66" t="str">
        <f ca="1">IF(Table1[[#This Row],[age]]&gt;500,"Above 500",IF(Table1[[#This Row],[age]]&gt;450,"450-500",IF(Table1[[#This Row],[age]]&gt;400,"400-450","other")))</f>
        <v>450-500</v>
      </c>
      <c r="H66" t="str">
        <f>TEXT(Table1[[#This Row],[Date]],"mmmm")</f>
        <v>March</v>
      </c>
      <c r="I66">
        <f ca="1">_xlfn.DAYS(TODAY(),Table1[[#This Row],[Date]])</f>
        <v>454</v>
      </c>
    </row>
    <row r="67" spans="1:9" x14ac:dyDescent="0.25">
      <c r="A67" s="106" t="s">
        <v>10</v>
      </c>
      <c r="B67" t="s">
        <v>74</v>
      </c>
      <c r="C67" t="s">
        <v>82</v>
      </c>
      <c r="D67" t="s">
        <v>87</v>
      </c>
      <c r="E67">
        <v>6560</v>
      </c>
      <c r="F67">
        <v>10</v>
      </c>
      <c r="G67" t="str">
        <f ca="1">IF(Table1[[#This Row],[age]]&gt;500,"Above 500",IF(Table1[[#This Row],[age]]&gt;450,"450-500",IF(Table1[[#This Row],[age]]&gt;400,"400-450","other")))</f>
        <v>450-500</v>
      </c>
      <c r="H67" t="str">
        <f>TEXT(Table1[[#This Row],[Date]],"mmmm")</f>
        <v>February</v>
      </c>
      <c r="I67">
        <f ca="1">_xlfn.DAYS(TODAY(),Table1[[#This Row],[Date]])</f>
        <v>488</v>
      </c>
    </row>
    <row r="68" spans="1:9" x14ac:dyDescent="0.25">
      <c r="A68" s="106" t="s">
        <v>25</v>
      </c>
      <c r="B68" t="s">
        <v>76</v>
      </c>
      <c r="C68" t="s">
        <v>84</v>
      </c>
      <c r="D68" t="s">
        <v>86</v>
      </c>
      <c r="E68">
        <v>6855</v>
      </c>
      <c r="F68">
        <v>15</v>
      </c>
      <c r="G68" t="str">
        <f ca="1">IF(Table1[[#This Row],[age]]&gt;500,"Above 500",IF(Table1[[#This Row],[age]]&gt;450,"450-500",IF(Table1[[#This Row],[age]]&gt;400,"400-450","other")))</f>
        <v>450-500</v>
      </c>
      <c r="H68" t="str">
        <f>TEXT(Table1[[#This Row],[Date]],"mmmm")</f>
        <v>January</v>
      </c>
      <c r="I68">
        <f ca="1">_xlfn.DAYS(TODAY(),Table1[[#This Row],[Date]])</f>
        <v>500</v>
      </c>
    </row>
    <row r="69" spans="1:9" x14ac:dyDescent="0.25">
      <c r="A69" s="106" t="s">
        <v>18</v>
      </c>
      <c r="B69" t="s">
        <v>76</v>
      </c>
      <c r="C69" t="s">
        <v>84</v>
      </c>
      <c r="D69" t="s">
        <v>88</v>
      </c>
      <c r="E69">
        <v>6885</v>
      </c>
      <c r="F69">
        <v>9</v>
      </c>
      <c r="G69" t="str">
        <f ca="1">IF(Table1[[#This Row],[age]]&gt;500,"Above 500",IF(Table1[[#This Row],[age]]&gt;450,"450-500",IF(Table1[[#This Row],[age]]&gt;400,"400-450","other")))</f>
        <v>450-500</v>
      </c>
      <c r="H69" t="str">
        <f>TEXT(Table1[[#This Row],[Date]],"mmmm")</f>
        <v>February</v>
      </c>
      <c r="I69">
        <f ca="1">_xlfn.DAYS(TODAY(),Table1[[#This Row],[Date]])</f>
        <v>482</v>
      </c>
    </row>
    <row r="70" spans="1:9" x14ac:dyDescent="0.25">
      <c r="A70" s="106" t="s">
        <v>12</v>
      </c>
      <c r="B70" t="s">
        <v>77</v>
      </c>
      <c r="C70" t="s">
        <v>83</v>
      </c>
      <c r="D70" t="s">
        <v>86</v>
      </c>
      <c r="E70">
        <v>6948</v>
      </c>
      <c r="F70">
        <v>18</v>
      </c>
      <c r="G70" t="str">
        <f ca="1">IF(Table1[[#This Row],[age]]&gt;500,"Above 500",IF(Table1[[#This Row],[age]]&gt;450,"450-500",IF(Table1[[#This Row],[age]]&gt;400,"400-450","other")))</f>
        <v>450-500</v>
      </c>
      <c r="H70" t="str">
        <f>TEXT(Table1[[#This Row],[Date]],"mmmm")</f>
        <v>March</v>
      </c>
      <c r="I70">
        <f ca="1">_xlfn.DAYS(TODAY(),Table1[[#This Row],[Date]])</f>
        <v>461</v>
      </c>
    </row>
    <row r="71" spans="1:9" x14ac:dyDescent="0.25">
      <c r="A71" s="106" t="s">
        <v>44</v>
      </c>
      <c r="B71" t="s">
        <v>74</v>
      </c>
      <c r="C71" t="s">
        <v>82</v>
      </c>
      <c r="D71" t="s">
        <v>88</v>
      </c>
      <c r="E71">
        <v>7200</v>
      </c>
      <c r="F71">
        <v>8</v>
      </c>
      <c r="G71" t="str">
        <f ca="1">IF(Table1[[#This Row],[age]]&gt;500,"Above 500",IF(Table1[[#This Row],[age]]&gt;450,"450-500",IF(Table1[[#This Row],[age]]&gt;400,"400-450","other")))</f>
        <v>450-500</v>
      </c>
      <c r="H71" t="str">
        <f>TEXT(Table1[[#This Row],[Date]],"mmmm")</f>
        <v>March</v>
      </c>
      <c r="I71">
        <f ca="1">_xlfn.DAYS(TODAY(),Table1[[#This Row],[Date]])</f>
        <v>462</v>
      </c>
    </row>
    <row r="72" spans="1:9" x14ac:dyDescent="0.25">
      <c r="A72" s="106" t="s">
        <v>44</v>
      </c>
      <c r="B72" t="s">
        <v>80</v>
      </c>
      <c r="C72" t="s">
        <v>82</v>
      </c>
      <c r="D72" t="s">
        <v>87</v>
      </c>
      <c r="E72">
        <v>7395</v>
      </c>
      <c r="F72">
        <v>17</v>
      </c>
      <c r="G72" t="str">
        <f ca="1">IF(Table1[[#This Row],[age]]&gt;500,"Above 500",IF(Table1[[#This Row],[age]]&gt;450,"450-500",IF(Table1[[#This Row],[age]]&gt;400,"400-450","other")))</f>
        <v>450-500</v>
      </c>
      <c r="H72" t="str">
        <f>TEXT(Table1[[#This Row],[Date]],"mmmm")</f>
        <v>March</v>
      </c>
      <c r="I72">
        <f ca="1">_xlfn.DAYS(TODAY(),Table1[[#This Row],[Date]])</f>
        <v>462</v>
      </c>
    </row>
    <row r="73" spans="1:9" x14ac:dyDescent="0.25">
      <c r="A73" s="106" t="s">
        <v>49</v>
      </c>
      <c r="B73" t="s">
        <v>78</v>
      </c>
      <c r="C73" t="s">
        <v>84</v>
      </c>
      <c r="D73" t="s">
        <v>86</v>
      </c>
      <c r="E73">
        <v>7395</v>
      </c>
      <c r="F73">
        <v>17</v>
      </c>
      <c r="G73" t="str">
        <f ca="1">IF(Table1[[#This Row],[age]]&gt;500,"Above 500",IF(Table1[[#This Row],[age]]&gt;450,"450-500",IF(Table1[[#This Row],[age]]&gt;400,"400-450","other")))</f>
        <v>Above 500</v>
      </c>
      <c r="H73" t="str">
        <f>TEXT(Table1[[#This Row],[Date]],"mmmm")</f>
        <v>January</v>
      </c>
      <c r="I73">
        <f ca="1">_xlfn.DAYS(TODAY(),Table1[[#This Row],[Date]])</f>
        <v>523</v>
      </c>
    </row>
    <row r="74" spans="1:9" x14ac:dyDescent="0.25">
      <c r="A74" s="106" t="s">
        <v>26</v>
      </c>
      <c r="B74" t="s">
        <v>78</v>
      </c>
      <c r="C74" t="s">
        <v>84</v>
      </c>
      <c r="D74" t="s">
        <v>86</v>
      </c>
      <c r="E74">
        <v>7398</v>
      </c>
      <c r="F74">
        <v>9</v>
      </c>
      <c r="G74" t="str">
        <f ca="1">IF(Table1[[#This Row],[age]]&gt;500,"Above 500",IF(Table1[[#This Row],[age]]&gt;450,"450-500",IF(Table1[[#This Row],[age]]&gt;400,"400-450","other")))</f>
        <v>Above 500</v>
      </c>
      <c r="H74" t="str">
        <f>TEXT(Table1[[#This Row],[Date]],"mmmm")</f>
        <v>January</v>
      </c>
      <c r="I74">
        <f ca="1">_xlfn.DAYS(TODAY(),Table1[[#This Row],[Date]])</f>
        <v>518</v>
      </c>
    </row>
    <row r="75" spans="1:9" x14ac:dyDescent="0.25">
      <c r="A75" s="106" t="s">
        <v>17</v>
      </c>
      <c r="B75" t="s">
        <v>75</v>
      </c>
      <c r="C75" t="s">
        <v>83</v>
      </c>
      <c r="D75" t="s">
        <v>87</v>
      </c>
      <c r="E75">
        <v>7683</v>
      </c>
      <c r="F75">
        <v>13</v>
      </c>
      <c r="G75" t="str">
        <f ca="1">IF(Table1[[#This Row],[age]]&gt;500,"Above 500",IF(Table1[[#This Row],[age]]&gt;450,"450-500",IF(Table1[[#This Row],[age]]&gt;400,"400-450","other")))</f>
        <v>400-450</v>
      </c>
      <c r="H75" t="str">
        <f>TEXT(Table1[[#This Row],[Date]],"mmmm")</f>
        <v>March</v>
      </c>
      <c r="I75">
        <f ca="1">_xlfn.DAYS(TODAY(),Table1[[#This Row],[Date]])</f>
        <v>442</v>
      </c>
    </row>
    <row r="76" spans="1:9" x14ac:dyDescent="0.25">
      <c r="A76" s="106" t="s">
        <v>14</v>
      </c>
      <c r="B76" t="s">
        <v>78</v>
      </c>
      <c r="C76" t="s">
        <v>84</v>
      </c>
      <c r="D76" t="s">
        <v>85</v>
      </c>
      <c r="E76">
        <v>7776</v>
      </c>
      <c r="F76">
        <v>8</v>
      </c>
      <c r="G76" t="str">
        <f ca="1">IF(Table1[[#This Row],[age]]&gt;500,"Above 500",IF(Table1[[#This Row],[age]]&gt;450,"450-500",IF(Table1[[#This Row],[age]]&gt;400,"400-450","other")))</f>
        <v>400-450</v>
      </c>
      <c r="H76" t="str">
        <f>TEXT(Table1[[#This Row],[Date]],"mmmm")</f>
        <v>March</v>
      </c>
      <c r="I76">
        <f ca="1">_xlfn.DAYS(TODAY(),Table1[[#This Row],[Date]])</f>
        <v>446</v>
      </c>
    </row>
    <row r="77" spans="1:9" x14ac:dyDescent="0.25">
      <c r="A77" s="106" t="s">
        <v>52</v>
      </c>
      <c r="B77" t="s">
        <v>80</v>
      </c>
      <c r="C77" t="s">
        <v>82</v>
      </c>
      <c r="D77" t="s">
        <v>86</v>
      </c>
      <c r="E77">
        <v>7800</v>
      </c>
      <c r="F77">
        <v>10</v>
      </c>
      <c r="G77" t="str">
        <f ca="1">IF(Table1[[#This Row],[age]]&gt;500,"Above 500",IF(Table1[[#This Row],[age]]&gt;450,"450-500",IF(Table1[[#This Row],[age]]&gt;400,"400-450","other")))</f>
        <v>450-500</v>
      </c>
      <c r="H77" t="str">
        <f>TEXT(Table1[[#This Row],[Date]],"mmmm")</f>
        <v>February</v>
      </c>
      <c r="I77">
        <f ca="1">_xlfn.DAYS(TODAY(),Table1[[#This Row],[Date]])</f>
        <v>479</v>
      </c>
    </row>
    <row r="78" spans="1:9" x14ac:dyDescent="0.25">
      <c r="A78" s="106" t="s">
        <v>30</v>
      </c>
      <c r="B78" t="s">
        <v>78</v>
      </c>
      <c r="C78" t="s">
        <v>84</v>
      </c>
      <c r="D78" t="s">
        <v>85</v>
      </c>
      <c r="E78">
        <v>7840</v>
      </c>
      <c r="F78">
        <v>14</v>
      </c>
      <c r="G78" t="str">
        <f ca="1">IF(Table1[[#This Row],[age]]&gt;500,"Above 500",IF(Table1[[#This Row],[age]]&gt;450,"450-500",IF(Table1[[#This Row],[age]]&gt;400,"400-450","other")))</f>
        <v>400-450</v>
      </c>
      <c r="H78" t="str">
        <f>TEXT(Table1[[#This Row],[Date]],"mmmm")</f>
        <v>March</v>
      </c>
      <c r="I78">
        <f ca="1">_xlfn.DAYS(TODAY(),Table1[[#This Row],[Date]])</f>
        <v>437</v>
      </c>
    </row>
    <row r="79" spans="1:9" x14ac:dyDescent="0.25">
      <c r="A79" s="106" t="s">
        <v>7</v>
      </c>
      <c r="B79" t="s">
        <v>74</v>
      </c>
      <c r="C79" t="s">
        <v>82</v>
      </c>
      <c r="D79" t="s">
        <v>86</v>
      </c>
      <c r="E79">
        <v>7875</v>
      </c>
      <c r="F79">
        <v>15</v>
      </c>
      <c r="G79" t="str">
        <f ca="1">IF(Table1[[#This Row],[age]]&gt;500,"Above 500",IF(Table1[[#This Row],[age]]&gt;450,"450-500",IF(Table1[[#This Row],[age]]&gt;400,"400-450","other")))</f>
        <v>400-450</v>
      </c>
      <c r="H79" t="str">
        <f>TEXT(Table1[[#This Row],[Date]],"mmmm")</f>
        <v>March</v>
      </c>
      <c r="I79">
        <f ca="1">_xlfn.DAYS(TODAY(),Table1[[#This Row],[Date]])</f>
        <v>447</v>
      </c>
    </row>
    <row r="80" spans="1:9" x14ac:dyDescent="0.25">
      <c r="A80" s="106" t="s">
        <v>40</v>
      </c>
      <c r="B80" t="s">
        <v>79</v>
      </c>
      <c r="C80" t="s">
        <v>81</v>
      </c>
      <c r="D80" t="s">
        <v>88</v>
      </c>
      <c r="E80">
        <v>7930</v>
      </c>
      <c r="F80">
        <v>13</v>
      </c>
      <c r="G80" t="str">
        <f ca="1">IF(Table1[[#This Row],[age]]&gt;500,"Above 500",IF(Table1[[#This Row],[age]]&gt;450,"450-500",IF(Table1[[#This Row],[age]]&gt;400,"400-450","other")))</f>
        <v>450-500</v>
      </c>
      <c r="H80" t="str">
        <f>TEXT(Table1[[#This Row],[Date]],"mmmm")</f>
        <v>March</v>
      </c>
      <c r="I80">
        <f ca="1">_xlfn.DAYS(TODAY(),Table1[[#This Row],[Date]])</f>
        <v>456</v>
      </c>
    </row>
    <row r="81" spans="1:9" x14ac:dyDescent="0.25">
      <c r="A81" s="106" t="s">
        <v>10</v>
      </c>
      <c r="B81" t="s">
        <v>75</v>
      </c>
      <c r="C81" t="s">
        <v>83</v>
      </c>
      <c r="D81" t="s">
        <v>86</v>
      </c>
      <c r="E81">
        <v>7995</v>
      </c>
      <c r="F81">
        <v>13</v>
      </c>
      <c r="G81" t="str">
        <f ca="1">IF(Table1[[#This Row],[age]]&gt;500,"Above 500",IF(Table1[[#This Row],[age]]&gt;450,"450-500",IF(Table1[[#This Row],[age]]&gt;400,"400-450","other")))</f>
        <v>450-500</v>
      </c>
      <c r="H81" t="str">
        <f>TEXT(Table1[[#This Row],[Date]],"mmmm")</f>
        <v>February</v>
      </c>
      <c r="I81">
        <f ca="1">_xlfn.DAYS(TODAY(),Table1[[#This Row],[Date]])</f>
        <v>488</v>
      </c>
    </row>
    <row r="82" spans="1:9" x14ac:dyDescent="0.25">
      <c r="A82" s="106" t="s">
        <v>49</v>
      </c>
      <c r="B82" t="s">
        <v>78</v>
      </c>
      <c r="C82" t="s">
        <v>84</v>
      </c>
      <c r="D82" t="s">
        <v>86</v>
      </c>
      <c r="E82">
        <v>8040</v>
      </c>
      <c r="F82">
        <v>10</v>
      </c>
      <c r="G82" t="str">
        <f ca="1">IF(Table1[[#This Row],[age]]&gt;500,"Above 500",IF(Table1[[#This Row],[age]]&gt;450,"450-500",IF(Table1[[#This Row],[age]]&gt;400,"400-450","other")))</f>
        <v>Above 500</v>
      </c>
      <c r="H82" t="str">
        <f>TEXT(Table1[[#This Row],[Date]],"mmmm")</f>
        <v>January</v>
      </c>
      <c r="I82">
        <f ca="1">_xlfn.DAYS(TODAY(),Table1[[#This Row],[Date]])</f>
        <v>523</v>
      </c>
    </row>
    <row r="83" spans="1:9" x14ac:dyDescent="0.25">
      <c r="A83" s="106" t="s">
        <v>55</v>
      </c>
      <c r="B83" t="s">
        <v>74</v>
      </c>
      <c r="C83" t="s">
        <v>82</v>
      </c>
      <c r="D83" t="s">
        <v>88</v>
      </c>
      <c r="E83">
        <v>8136</v>
      </c>
      <c r="F83">
        <v>9</v>
      </c>
      <c r="G83" t="str">
        <f ca="1">IF(Table1[[#This Row],[age]]&gt;500,"Above 500",IF(Table1[[#This Row],[age]]&gt;450,"450-500",IF(Table1[[#This Row],[age]]&gt;400,"400-450","other")))</f>
        <v>450-500</v>
      </c>
      <c r="H83" t="str">
        <f>TEXT(Table1[[#This Row],[Date]],"mmmm")</f>
        <v>March</v>
      </c>
      <c r="I83">
        <f ca="1">_xlfn.DAYS(TODAY(),Table1[[#This Row],[Date]])</f>
        <v>457</v>
      </c>
    </row>
    <row r="84" spans="1:9" x14ac:dyDescent="0.25">
      <c r="A84" s="106" t="s">
        <v>63</v>
      </c>
      <c r="B84" t="s">
        <v>74</v>
      </c>
      <c r="C84" t="s">
        <v>82</v>
      </c>
      <c r="D84" t="s">
        <v>87</v>
      </c>
      <c r="E84">
        <v>8436</v>
      </c>
      <c r="F84">
        <v>19</v>
      </c>
      <c r="G84" t="str">
        <f ca="1">IF(Table1[[#This Row],[age]]&gt;500,"Above 500",IF(Table1[[#This Row],[age]]&gt;450,"450-500",IF(Table1[[#This Row],[age]]&gt;400,"400-450","other")))</f>
        <v>400-450</v>
      </c>
      <c r="H84" t="str">
        <f>TEXT(Table1[[#This Row],[Date]],"mmmm")</f>
        <v>April</v>
      </c>
      <c r="I84">
        <f ca="1">_xlfn.DAYS(TODAY(),Table1[[#This Row],[Date]])</f>
        <v>425</v>
      </c>
    </row>
    <row r="85" spans="1:9" x14ac:dyDescent="0.25">
      <c r="A85" s="106" t="s">
        <v>67</v>
      </c>
      <c r="B85" t="s">
        <v>78</v>
      </c>
      <c r="C85" t="s">
        <v>84</v>
      </c>
      <c r="D85" t="s">
        <v>85</v>
      </c>
      <c r="E85">
        <v>8550</v>
      </c>
      <c r="F85">
        <v>10</v>
      </c>
      <c r="G85" t="str">
        <f ca="1">IF(Table1[[#This Row],[age]]&gt;500,"Above 500",IF(Table1[[#This Row],[age]]&gt;450,"450-500",IF(Table1[[#This Row],[age]]&gt;400,"400-450","other")))</f>
        <v>450-500</v>
      </c>
      <c r="H85" t="str">
        <f>TEXT(Table1[[#This Row],[Date]],"mmmm")</f>
        <v>February</v>
      </c>
      <c r="I85">
        <f ca="1">_xlfn.DAYS(TODAY(),Table1[[#This Row],[Date]])</f>
        <v>469</v>
      </c>
    </row>
    <row r="86" spans="1:9" x14ac:dyDescent="0.25">
      <c r="A86" s="106" t="s">
        <v>10</v>
      </c>
      <c r="B86" t="s">
        <v>79</v>
      </c>
      <c r="C86" t="s">
        <v>81</v>
      </c>
      <c r="D86" t="s">
        <v>86</v>
      </c>
      <c r="E86">
        <v>8604</v>
      </c>
      <c r="F86">
        <v>18</v>
      </c>
      <c r="G86" t="str">
        <f ca="1">IF(Table1[[#This Row],[age]]&gt;500,"Above 500",IF(Table1[[#This Row],[age]]&gt;450,"450-500",IF(Table1[[#This Row],[age]]&gt;400,"400-450","other")))</f>
        <v>450-500</v>
      </c>
      <c r="H86" t="str">
        <f>TEXT(Table1[[#This Row],[Date]],"mmmm")</f>
        <v>February</v>
      </c>
      <c r="I86">
        <f ca="1">_xlfn.DAYS(TODAY(),Table1[[#This Row],[Date]])</f>
        <v>488</v>
      </c>
    </row>
    <row r="87" spans="1:9" x14ac:dyDescent="0.25">
      <c r="A87" s="106" t="s">
        <v>43</v>
      </c>
      <c r="B87" t="s">
        <v>74</v>
      </c>
      <c r="C87" t="s">
        <v>82</v>
      </c>
      <c r="D87" t="s">
        <v>88</v>
      </c>
      <c r="E87">
        <v>8610</v>
      </c>
      <c r="F87">
        <v>10</v>
      </c>
      <c r="G87" t="str">
        <f ca="1">IF(Table1[[#This Row],[age]]&gt;500,"Above 500",IF(Table1[[#This Row],[age]]&gt;450,"450-500",IF(Table1[[#This Row],[age]]&gt;400,"400-450","other")))</f>
        <v>450-500</v>
      </c>
      <c r="H87" t="str">
        <f>TEXT(Table1[[#This Row],[Date]],"mmmm")</f>
        <v>March</v>
      </c>
      <c r="I87">
        <f ca="1">_xlfn.DAYS(TODAY(),Table1[[#This Row],[Date]])</f>
        <v>453</v>
      </c>
    </row>
    <row r="88" spans="1:9" x14ac:dyDescent="0.25">
      <c r="A88" s="106" t="s">
        <v>48</v>
      </c>
      <c r="B88" t="s">
        <v>75</v>
      </c>
      <c r="C88" t="s">
        <v>83</v>
      </c>
      <c r="D88" t="s">
        <v>85</v>
      </c>
      <c r="E88">
        <v>8697</v>
      </c>
      <c r="F88">
        <v>13</v>
      </c>
      <c r="G88" t="str">
        <f ca="1">IF(Table1[[#This Row],[age]]&gt;500,"Above 500",IF(Table1[[#This Row],[age]]&gt;450,"450-500",IF(Table1[[#This Row],[age]]&gt;400,"400-450","other")))</f>
        <v>400-450</v>
      </c>
      <c r="H88" t="str">
        <f>TEXT(Table1[[#This Row],[Date]],"mmmm")</f>
        <v>April</v>
      </c>
      <c r="I88">
        <f ca="1">_xlfn.DAYS(TODAY(),Table1[[#This Row],[Date]])</f>
        <v>415</v>
      </c>
    </row>
    <row r="89" spans="1:9" x14ac:dyDescent="0.25">
      <c r="A89" s="106" t="s">
        <v>23</v>
      </c>
      <c r="B89" t="s">
        <v>80</v>
      </c>
      <c r="C89" t="s">
        <v>82</v>
      </c>
      <c r="D89" t="s">
        <v>86</v>
      </c>
      <c r="E89">
        <v>9310</v>
      </c>
      <c r="F89">
        <v>10</v>
      </c>
      <c r="G89" t="str">
        <f ca="1">IF(Table1[[#This Row],[age]]&gt;500,"Above 500",IF(Table1[[#This Row],[age]]&gt;450,"450-500",IF(Table1[[#This Row],[age]]&gt;400,"400-450","other")))</f>
        <v>450-500</v>
      </c>
      <c r="H89" t="str">
        <f>TEXT(Table1[[#This Row],[Date]],"mmmm")</f>
        <v>March</v>
      </c>
      <c r="I89">
        <f ca="1">_xlfn.DAYS(TODAY(),Table1[[#This Row],[Date]])</f>
        <v>460</v>
      </c>
    </row>
    <row r="90" spans="1:9" x14ac:dyDescent="0.25">
      <c r="A90" s="106" t="s">
        <v>61</v>
      </c>
      <c r="B90" t="s">
        <v>80</v>
      </c>
      <c r="C90" t="s">
        <v>82</v>
      </c>
      <c r="D90" t="s">
        <v>88</v>
      </c>
      <c r="E90">
        <v>9480</v>
      </c>
      <c r="F90">
        <v>15</v>
      </c>
      <c r="G90" t="str">
        <f ca="1">IF(Table1[[#This Row],[age]]&gt;500,"Above 500",IF(Table1[[#This Row],[age]]&gt;450,"450-500",IF(Table1[[#This Row],[age]]&gt;400,"400-450","other")))</f>
        <v>400-450</v>
      </c>
      <c r="H90" t="str">
        <f>TEXT(Table1[[#This Row],[Date]],"mmmm")</f>
        <v>April</v>
      </c>
      <c r="I90">
        <f ca="1">_xlfn.DAYS(TODAY(),Table1[[#This Row],[Date]])</f>
        <v>420</v>
      </c>
    </row>
    <row r="91" spans="1:9" x14ac:dyDescent="0.25">
      <c r="A91" s="106" t="s">
        <v>22</v>
      </c>
      <c r="B91" t="s">
        <v>78</v>
      </c>
      <c r="C91" t="s">
        <v>84</v>
      </c>
      <c r="D91" t="s">
        <v>88</v>
      </c>
      <c r="E91">
        <v>9622</v>
      </c>
      <c r="F91">
        <v>17</v>
      </c>
      <c r="G91" t="str">
        <f ca="1">IF(Table1[[#This Row],[age]]&gt;500,"Above 500",IF(Table1[[#This Row],[age]]&gt;450,"450-500",IF(Table1[[#This Row],[age]]&gt;400,"400-450","other")))</f>
        <v>400-450</v>
      </c>
      <c r="H91" t="str">
        <f>TEXT(Table1[[#This Row],[Date]],"mmmm")</f>
        <v>March</v>
      </c>
      <c r="I91">
        <f ca="1">_xlfn.DAYS(TODAY(),Table1[[#This Row],[Date]])</f>
        <v>449</v>
      </c>
    </row>
    <row r="92" spans="1:9" x14ac:dyDescent="0.25">
      <c r="A92" s="106" t="s">
        <v>16</v>
      </c>
      <c r="B92" t="s">
        <v>75</v>
      </c>
      <c r="C92" t="s">
        <v>83</v>
      </c>
      <c r="D92" t="s">
        <v>85</v>
      </c>
      <c r="E92">
        <v>9984</v>
      </c>
      <c r="F92">
        <v>13</v>
      </c>
      <c r="G92" t="str">
        <f ca="1">IF(Table1[[#This Row],[age]]&gt;500,"Above 500",IF(Table1[[#This Row],[age]]&gt;450,"450-500",IF(Table1[[#This Row],[age]]&gt;400,"400-450","other")))</f>
        <v>Above 500</v>
      </c>
      <c r="H92" t="str">
        <f>TEXT(Table1[[#This Row],[Date]],"mmmm")</f>
        <v>January</v>
      </c>
      <c r="I92">
        <f ca="1">_xlfn.DAYS(TODAY(),Table1[[#This Row],[Date]])</f>
        <v>504</v>
      </c>
    </row>
    <row r="93" spans="1:9" x14ac:dyDescent="0.25">
      <c r="A93" s="106" t="s">
        <v>45</v>
      </c>
      <c r="B93" t="s">
        <v>79</v>
      </c>
      <c r="C93" t="s">
        <v>81</v>
      </c>
      <c r="D93" t="s">
        <v>85</v>
      </c>
      <c r="E93">
        <v>10849</v>
      </c>
      <c r="F93">
        <v>19</v>
      </c>
      <c r="G93" t="str">
        <f ca="1">IF(Table1[[#This Row],[age]]&gt;500,"Above 500",IF(Table1[[#This Row],[age]]&gt;450,"450-500",IF(Table1[[#This Row],[age]]&gt;400,"400-450","other")))</f>
        <v>400-450</v>
      </c>
      <c r="H93" t="str">
        <f>TEXT(Table1[[#This Row],[Date]],"mmmm")</f>
        <v>March</v>
      </c>
      <c r="I93">
        <f ca="1">_xlfn.DAYS(TODAY(),Table1[[#This Row],[Date]])</f>
        <v>435</v>
      </c>
    </row>
    <row r="94" spans="1:9" x14ac:dyDescent="0.25">
      <c r="A94" s="106" t="s">
        <v>40</v>
      </c>
      <c r="B94" t="s">
        <v>77</v>
      </c>
      <c r="C94" t="s">
        <v>83</v>
      </c>
      <c r="D94" t="s">
        <v>87</v>
      </c>
      <c r="E94">
        <v>11552</v>
      </c>
      <c r="F94">
        <v>19</v>
      </c>
      <c r="G94" t="str">
        <f ca="1">IF(Table1[[#This Row],[age]]&gt;500,"Above 500",IF(Table1[[#This Row],[age]]&gt;450,"450-500",IF(Table1[[#This Row],[age]]&gt;400,"400-450","other")))</f>
        <v>450-500</v>
      </c>
      <c r="H94" t="str">
        <f>TEXT(Table1[[#This Row],[Date]],"mmmm")</f>
        <v>March</v>
      </c>
      <c r="I94">
        <f ca="1">_xlfn.DAYS(TODAY(),Table1[[#This Row],[Date]])</f>
        <v>456</v>
      </c>
    </row>
    <row r="95" spans="1:9" x14ac:dyDescent="0.25">
      <c r="A95" s="106" t="s">
        <v>47</v>
      </c>
      <c r="B95" t="s">
        <v>76</v>
      </c>
      <c r="C95" t="s">
        <v>84</v>
      </c>
      <c r="D95" t="s">
        <v>88</v>
      </c>
      <c r="E95">
        <v>11865</v>
      </c>
      <c r="F95">
        <v>15</v>
      </c>
      <c r="G95" t="str">
        <f ca="1">IF(Table1[[#This Row],[age]]&gt;500,"Above 500",IF(Table1[[#This Row],[age]]&gt;450,"450-500",IF(Table1[[#This Row],[age]]&gt;400,"400-450","other")))</f>
        <v>400-450</v>
      </c>
      <c r="H95" t="str">
        <f>TEXT(Table1[[#This Row],[Date]],"mmmm")</f>
        <v>April</v>
      </c>
      <c r="I95">
        <f ca="1">_xlfn.DAYS(TODAY(),Table1[[#This Row],[Date]])</f>
        <v>427</v>
      </c>
    </row>
    <row r="96" spans="1:9" x14ac:dyDescent="0.25">
      <c r="A96" s="106" t="s">
        <v>39</v>
      </c>
      <c r="B96" t="s">
        <v>73</v>
      </c>
      <c r="C96" t="s">
        <v>81</v>
      </c>
      <c r="D96" t="s">
        <v>85</v>
      </c>
      <c r="E96">
        <v>12701</v>
      </c>
      <c r="F96">
        <v>13</v>
      </c>
      <c r="G96" t="str">
        <f ca="1">IF(Table1[[#This Row],[age]]&gt;500,"Above 500",IF(Table1[[#This Row],[age]]&gt;450,"450-500",IF(Table1[[#This Row],[age]]&gt;400,"400-450","other")))</f>
        <v>450-500</v>
      </c>
      <c r="H96" t="str">
        <f>TEXT(Table1[[#This Row],[Date]],"mmmm")</f>
        <v>February</v>
      </c>
      <c r="I96">
        <f ca="1">_xlfn.DAYS(TODAY(),Table1[[#This Row],[Date]])</f>
        <v>477</v>
      </c>
    </row>
    <row r="97" spans="1:9" x14ac:dyDescent="0.25">
      <c r="A97" s="106" t="s">
        <v>33</v>
      </c>
      <c r="B97" t="s">
        <v>73</v>
      </c>
      <c r="C97" t="s">
        <v>81</v>
      </c>
      <c r="D97" t="s">
        <v>88</v>
      </c>
      <c r="E97">
        <v>12920</v>
      </c>
      <c r="F97">
        <v>17</v>
      </c>
      <c r="G97" t="str">
        <f ca="1">IF(Table1[[#This Row],[age]]&gt;500,"Above 500",IF(Table1[[#This Row],[age]]&gt;450,"450-500",IF(Table1[[#This Row],[age]]&gt;400,"400-450","other")))</f>
        <v>400-450</v>
      </c>
      <c r="H97" t="str">
        <f>TEXT(Table1[[#This Row],[Date]],"mmmm")</f>
        <v>April</v>
      </c>
      <c r="I97">
        <f ca="1">_xlfn.DAYS(TODAY(),Table1[[#This Row],[Date]])</f>
        <v>419</v>
      </c>
    </row>
    <row r="98" spans="1:9" x14ac:dyDescent="0.25">
      <c r="A98" s="106" t="s">
        <v>63</v>
      </c>
      <c r="B98" t="s">
        <v>78</v>
      </c>
      <c r="C98" t="s">
        <v>84</v>
      </c>
      <c r="D98" t="s">
        <v>85</v>
      </c>
      <c r="E98">
        <v>12920</v>
      </c>
      <c r="F98">
        <v>19</v>
      </c>
      <c r="G98" t="str">
        <f ca="1">IF(Table1[[#This Row],[age]]&gt;500,"Above 500",IF(Table1[[#This Row],[age]]&gt;450,"450-500",IF(Table1[[#This Row],[age]]&gt;400,"400-450","other")))</f>
        <v>400-450</v>
      </c>
      <c r="H98" t="str">
        <f>TEXT(Table1[[#This Row],[Date]],"mmmm")</f>
        <v>April</v>
      </c>
      <c r="I98">
        <f ca="1">_xlfn.DAYS(TODAY(),Table1[[#This Row],[Date]])</f>
        <v>425</v>
      </c>
    </row>
    <row r="99" spans="1:9" x14ac:dyDescent="0.25">
      <c r="A99" s="106" t="s">
        <v>46</v>
      </c>
      <c r="B99" t="s">
        <v>75</v>
      </c>
      <c r="C99" t="s">
        <v>83</v>
      </c>
      <c r="D99" t="s">
        <v>87</v>
      </c>
      <c r="E99">
        <v>13420</v>
      </c>
      <c r="F99">
        <v>20</v>
      </c>
      <c r="G99" t="str">
        <f ca="1">IF(Table1[[#This Row],[age]]&gt;500,"Above 500",IF(Table1[[#This Row],[age]]&gt;450,"450-500",IF(Table1[[#This Row],[age]]&gt;400,"400-450","other")))</f>
        <v>450-500</v>
      </c>
      <c r="H99" t="str">
        <f>TEXT(Table1[[#This Row],[Date]],"mmmm")</f>
        <v>February</v>
      </c>
      <c r="I99">
        <f ca="1">_xlfn.DAYS(TODAY(),Table1[[#This Row],[Date]])</f>
        <v>474</v>
      </c>
    </row>
    <row r="100" spans="1:9" x14ac:dyDescent="0.25">
      <c r="A100" s="106" t="s">
        <v>27</v>
      </c>
      <c r="B100" t="s">
        <v>78</v>
      </c>
      <c r="C100" t="s">
        <v>84</v>
      </c>
      <c r="D100" t="s">
        <v>85</v>
      </c>
      <c r="E100">
        <v>14256</v>
      </c>
      <c r="F100">
        <v>16</v>
      </c>
      <c r="G100" t="str">
        <f ca="1">IF(Table1[[#This Row],[age]]&gt;500,"Above 500",IF(Table1[[#This Row],[age]]&gt;450,"450-500",IF(Table1[[#This Row],[age]]&gt;400,"400-450","other")))</f>
        <v>Above 500</v>
      </c>
      <c r="H100" t="str">
        <f>TEXT(Table1[[#This Row],[Date]],"mmmm")</f>
        <v>January</v>
      </c>
      <c r="I100">
        <f ca="1">_xlfn.DAYS(TODAY(),Table1[[#This Row],[Date]])</f>
        <v>521</v>
      </c>
    </row>
    <row r="101" spans="1:9" x14ac:dyDescent="0.25">
      <c r="A101" s="106" t="s">
        <v>15</v>
      </c>
      <c r="B101" t="s">
        <v>75</v>
      </c>
      <c r="C101" t="s">
        <v>83</v>
      </c>
      <c r="D101" t="s">
        <v>86</v>
      </c>
      <c r="E101">
        <v>14860</v>
      </c>
      <c r="F101">
        <v>20</v>
      </c>
      <c r="G101" t="str">
        <f ca="1">IF(Table1[[#This Row],[age]]&gt;500,"Above 500",IF(Table1[[#This Row],[age]]&gt;450,"450-500",IF(Table1[[#This Row],[age]]&gt;400,"400-450","other")))</f>
        <v>400-450</v>
      </c>
      <c r="H101" t="str">
        <f>TEXT(Table1[[#This Row],[Date]],"mmmm")</f>
        <v>May</v>
      </c>
      <c r="I101">
        <f ca="1">_xlfn.DAYS(TODAY(),Table1[[#This Row],[Date]])</f>
        <v>403</v>
      </c>
    </row>
    <row r="102" spans="1:9" x14ac:dyDescent="0.25">
      <c r="A102" s="106" t="s">
        <v>62</v>
      </c>
      <c r="B102" t="s">
        <v>75</v>
      </c>
      <c r="C102" t="s">
        <v>83</v>
      </c>
      <c r="D102" t="s">
        <v>88</v>
      </c>
      <c r="E102">
        <v>16321</v>
      </c>
      <c r="F102">
        <v>19</v>
      </c>
      <c r="G102" t="str">
        <f ca="1">IF(Table1[[#This Row],[age]]&gt;500,"Above 500",IF(Table1[[#This Row],[age]]&gt;450,"450-500",IF(Table1[[#This Row],[age]]&gt;400,"400-450","other")))</f>
        <v>Above 500</v>
      </c>
      <c r="H102" t="str">
        <f>TEXT(Table1[[#This Row],[Date]],"mmmm")</f>
        <v>January</v>
      </c>
      <c r="I102">
        <f ca="1">_xlfn.DAYS(TODAY(),Table1[[#This Row],[Date]])</f>
        <v>515</v>
      </c>
    </row>
  </sheetData>
  <phoneticPr fontId="3" type="noConversion"/>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8D3B1-CED7-4405-8A44-133C5B233835}">
  <sheetPr codeName="Sheet24"/>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2F95D-5B7E-4DAF-9616-4433120C7A90}">
  <sheetPr codeName="Sheet21"/>
  <dimension ref="A1:AI87"/>
  <sheetViews>
    <sheetView tabSelected="1" topLeftCell="I55" workbookViewId="0">
      <selection activeCell="AC81" sqref="AC81"/>
    </sheetView>
  </sheetViews>
  <sheetFormatPr defaultRowHeight="15" x14ac:dyDescent="0.25"/>
  <cols>
    <col min="2" max="2" width="16.5703125" customWidth="1"/>
    <col min="3" max="3" width="11.140625" customWidth="1"/>
    <col min="4" max="4" width="11" customWidth="1"/>
    <col min="7" max="7" width="10.5703125" customWidth="1"/>
    <col min="13" max="13" width="17" bestFit="1" customWidth="1"/>
    <col min="21" max="21" width="11" customWidth="1"/>
    <col min="22" max="22" width="7.7109375" customWidth="1"/>
    <col min="27" max="27" width="11.28515625" bestFit="1" customWidth="1"/>
    <col min="28" max="28" width="13.140625" bestFit="1" customWidth="1"/>
    <col min="29" max="29" width="12.140625" bestFit="1" customWidth="1"/>
  </cols>
  <sheetData>
    <row r="1" spans="1:14" x14ac:dyDescent="0.25">
      <c r="A1">
        <v>1</v>
      </c>
      <c r="B1" t="s">
        <v>426</v>
      </c>
    </row>
    <row r="2" spans="1:14" x14ac:dyDescent="0.25">
      <c r="A2">
        <v>2</v>
      </c>
      <c r="B2" s="3" t="s">
        <v>427</v>
      </c>
      <c r="G2" t="s">
        <v>427</v>
      </c>
      <c r="I2" t="s">
        <v>100</v>
      </c>
      <c r="J2" t="s">
        <v>432</v>
      </c>
      <c r="K2" t="s">
        <v>433</v>
      </c>
    </row>
    <row r="3" spans="1:14" x14ac:dyDescent="0.25">
      <c r="A3">
        <v>3</v>
      </c>
      <c r="B3" s="3" t="s">
        <v>428</v>
      </c>
    </row>
    <row r="4" spans="1:14" x14ac:dyDescent="0.25">
      <c r="A4">
        <v>4</v>
      </c>
      <c r="B4" s="3" t="s">
        <v>430</v>
      </c>
    </row>
    <row r="5" spans="1:14" x14ac:dyDescent="0.25">
      <c r="A5">
        <v>5</v>
      </c>
      <c r="B5" s="3" t="s">
        <v>429</v>
      </c>
      <c r="G5" s="15" t="s">
        <v>434</v>
      </c>
      <c r="H5" s="15"/>
      <c r="I5" t="s">
        <v>400</v>
      </c>
      <c r="J5" t="s">
        <v>215</v>
      </c>
      <c r="K5" t="s">
        <v>446</v>
      </c>
    </row>
    <row r="6" spans="1:14" x14ac:dyDescent="0.25">
      <c r="A6">
        <v>6</v>
      </c>
      <c r="B6" s="3" t="s">
        <v>431</v>
      </c>
      <c r="I6">
        <v>18</v>
      </c>
      <c r="J6" t="s">
        <v>100</v>
      </c>
      <c r="K6" t="s">
        <v>447</v>
      </c>
    </row>
    <row r="7" spans="1:14" x14ac:dyDescent="0.25">
      <c r="J7" t="s">
        <v>102</v>
      </c>
      <c r="K7" t="s">
        <v>316</v>
      </c>
    </row>
    <row r="8" spans="1:14" x14ac:dyDescent="0.25">
      <c r="J8" t="s">
        <v>432</v>
      </c>
      <c r="K8" t="s">
        <v>447</v>
      </c>
    </row>
    <row r="9" spans="1:14" x14ac:dyDescent="0.25">
      <c r="J9" t="s">
        <v>448</v>
      </c>
      <c r="K9" t="s">
        <v>316</v>
      </c>
      <c r="N9" s="115">
        <v>678</v>
      </c>
    </row>
    <row r="10" spans="1:14" x14ac:dyDescent="0.25">
      <c r="G10" s="130"/>
      <c r="M10" t="s">
        <v>436</v>
      </c>
      <c r="N10" s="115"/>
    </row>
    <row r="12" spans="1:14" x14ac:dyDescent="0.25">
      <c r="N12" s="96">
        <v>0</v>
      </c>
    </row>
    <row r="13" spans="1:14" x14ac:dyDescent="0.25">
      <c r="N13" s="96"/>
    </row>
    <row r="14" spans="1:14" ht="75" x14ac:dyDescent="0.25">
      <c r="G14" s="108" t="s">
        <v>435</v>
      </c>
    </row>
    <row r="15" spans="1:14" x14ac:dyDescent="0.25">
      <c r="B15" s="115" t="s">
        <v>438</v>
      </c>
    </row>
    <row r="16" spans="1:14" x14ac:dyDescent="0.25">
      <c r="B16" s="115"/>
    </row>
    <row r="17" spans="5:15" x14ac:dyDescent="0.25">
      <c r="L17" t="s">
        <v>400</v>
      </c>
      <c r="M17" t="s">
        <v>215</v>
      </c>
    </row>
    <row r="18" spans="5:15" x14ac:dyDescent="0.25">
      <c r="L18">
        <v>18</v>
      </c>
      <c r="M18" t="s">
        <v>432</v>
      </c>
    </row>
    <row r="19" spans="5:15" x14ac:dyDescent="0.25">
      <c r="L19">
        <v>20</v>
      </c>
      <c r="M19" t="s">
        <v>100</v>
      </c>
    </row>
    <row r="20" spans="5:15" x14ac:dyDescent="0.25">
      <c r="L20">
        <v>40</v>
      </c>
      <c r="M20" t="s">
        <v>433</v>
      </c>
      <c r="O20" s="130"/>
    </row>
    <row r="21" spans="5:15" x14ac:dyDescent="0.25">
      <c r="E21" t="s">
        <v>437</v>
      </c>
      <c r="F21" t="e">
        <f>10/0</f>
        <v>#DIV/0!</v>
      </c>
      <c r="O21" s="130"/>
    </row>
    <row r="23" spans="5:15" x14ac:dyDescent="0.25">
      <c r="O23" s="130"/>
    </row>
    <row r="32" spans="5:15" ht="18.75" x14ac:dyDescent="0.3">
      <c r="F32" s="117" t="s">
        <v>455</v>
      </c>
      <c r="G32" s="118"/>
    </row>
    <row r="35" spans="3:35" x14ac:dyDescent="0.25">
      <c r="F35" s="15">
        <v>1</v>
      </c>
      <c r="G35" s="3" t="s">
        <v>449</v>
      </c>
    </row>
    <row r="36" spans="3:35" x14ac:dyDescent="0.25">
      <c r="M36" s="130"/>
    </row>
    <row r="39" spans="3:35" x14ac:dyDescent="0.25">
      <c r="F39" s="15">
        <v>2</v>
      </c>
      <c r="G39" s="3" t="s">
        <v>450</v>
      </c>
      <c r="L39" t="s">
        <v>452</v>
      </c>
      <c r="M39" t="s">
        <v>453</v>
      </c>
      <c r="N39" t="s">
        <v>454</v>
      </c>
      <c r="O39">
        <v>500</v>
      </c>
    </row>
    <row r="41" spans="3:35" x14ac:dyDescent="0.25">
      <c r="H41" s="130"/>
      <c r="X41" t="s">
        <v>465</v>
      </c>
      <c r="Y41" t="s">
        <v>255</v>
      </c>
      <c r="Z41" t="s">
        <v>205</v>
      </c>
    </row>
    <row r="42" spans="3:35" hidden="1" x14ac:dyDescent="0.25">
      <c r="C42" t="s">
        <v>401</v>
      </c>
      <c r="D42" t="s">
        <v>445</v>
      </c>
      <c r="X42" t="str" cm="1">
        <f t="array" ref="X42:X49">_xlfn.UNIQUE(Table22[Category])</f>
        <v>Footwear</v>
      </c>
      <c r="Y42">
        <f>COUNTIF(Table22[Category],X42)</f>
        <v>8</v>
      </c>
      <c r="Z42">
        <f>SUMIF(Table22[Category],X42,Table22[Sales])</f>
        <v>6962</v>
      </c>
    </row>
    <row r="43" spans="3:35" x14ac:dyDescent="0.25">
      <c r="C43" t="s">
        <v>440</v>
      </c>
      <c r="D43">
        <v>2.5</v>
      </c>
      <c r="X43" t="str">
        <v>Clothing</v>
      </c>
      <c r="Y43">
        <f>COUNTIF(Table22[Category],X43)</f>
        <v>5</v>
      </c>
      <c r="Z43">
        <f>SUMIF(Table22[Category],X43,Table22[Sales])</f>
        <v>6904</v>
      </c>
    </row>
    <row r="44" spans="3:35" x14ac:dyDescent="0.25">
      <c r="C44" t="s">
        <v>439</v>
      </c>
      <c r="D44">
        <v>200</v>
      </c>
      <c r="F44" s="15">
        <v>3</v>
      </c>
      <c r="G44" s="3" t="s">
        <v>451</v>
      </c>
      <c r="X44" t="str">
        <v>Appliances</v>
      </c>
      <c r="Y44">
        <f>COUNTIF(Table22[Category],X44)</f>
        <v>4</v>
      </c>
      <c r="Z44">
        <f>SUMIF(Table22[Category],X44,Table22[Sales])</f>
        <v>3678</v>
      </c>
    </row>
    <row r="45" spans="3:35" x14ac:dyDescent="0.25">
      <c r="C45" t="s">
        <v>441</v>
      </c>
      <c r="D45">
        <v>100</v>
      </c>
      <c r="M45">
        <f>D48</f>
        <v>400</v>
      </c>
      <c r="N45">
        <v>800</v>
      </c>
      <c r="O45">
        <v>900</v>
      </c>
      <c r="P45">
        <v>1000</v>
      </c>
      <c r="Q45">
        <v>2000</v>
      </c>
      <c r="X45" t="str">
        <v>Electronics</v>
      </c>
      <c r="Y45">
        <f>COUNTIF(Table22[Category],X45)</f>
        <v>4</v>
      </c>
      <c r="Z45">
        <f>SUMIF(Table22[Category],X45,Table22[Sales])</f>
        <v>3921</v>
      </c>
      <c r="AA45" s="62" t="s">
        <v>255</v>
      </c>
      <c r="AB45" s="62" t="s">
        <v>205</v>
      </c>
    </row>
    <row r="46" spans="3:35" x14ac:dyDescent="0.25">
      <c r="C46" t="s">
        <v>442</v>
      </c>
      <c r="D46">
        <f>D44*D43</f>
        <v>500</v>
      </c>
      <c r="F46" s="110">
        <f>D49</f>
        <v>0.8</v>
      </c>
      <c r="G46" s="111">
        <v>800</v>
      </c>
      <c r="H46" s="111">
        <v>900</v>
      </c>
      <c r="I46" s="111">
        <v>1000</v>
      </c>
      <c r="J46" s="111">
        <v>2000</v>
      </c>
      <c r="M46">
        <v>2</v>
      </c>
      <c r="N46">
        <f t="dataTable" ref="N46:Q49" dt2D="1" dtr="1" r1="D44" r2="D43" ca="1"/>
        <v>1500</v>
      </c>
      <c r="O46">
        <v>1700</v>
      </c>
      <c r="P46">
        <v>1900</v>
      </c>
      <c r="Q46">
        <v>3900</v>
      </c>
      <c r="U46" t="s">
        <v>2</v>
      </c>
      <c r="V46" t="s">
        <v>270</v>
      </c>
      <c r="X46" t="str">
        <v>Laptop</v>
      </c>
      <c r="Z46" s="123" t="e" cm="1" vm="1">
        <f t="array" aca="1" ref="Z46" ca="1">_xlfn.UNIQUE(Table22[Category])</f>
        <v>#VALUE!</v>
      </c>
      <c r="AA46" s="62" t="s">
        <v>466</v>
      </c>
      <c r="AB46" s="62" t="s">
        <v>467</v>
      </c>
      <c r="AC46" s="127" t="s">
        <v>205</v>
      </c>
    </row>
    <row r="47" spans="3:35" x14ac:dyDescent="0.25">
      <c r="D47" t="s">
        <v>235</v>
      </c>
      <c r="F47" s="111">
        <v>2</v>
      </c>
      <c r="G47" s="109">
        <f t="dataTable" ref="G47:J50" dt2D="1" dtr="1" r1="D44" r2="D43"/>
        <v>0.9375</v>
      </c>
      <c r="H47" s="109">
        <v>0.94444444444444442</v>
      </c>
      <c r="I47" s="109">
        <v>0.95</v>
      </c>
      <c r="J47" s="109">
        <v>0.97499999999999998</v>
      </c>
      <c r="M47">
        <v>2.5</v>
      </c>
      <c r="N47">
        <v>1900</v>
      </c>
      <c r="O47">
        <v>2150</v>
      </c>
      <c r="P47">
        <v>2400</v>
      </c>
      <c r="Q47">
        <v>4900</v>
      </c>
      <c r="U47" s="129" t="s">
        <v>81</v>
      </c>
      <c r="V47" s="120">
        <v>229</v>
      </c>
      <c r="X47" t="str">
        <v>Mobile</v>
      </c>
      <c r="Z47" s="123"/>
      <c r="AA47" s="62">
        <f>COUNTIF(Table22[Category],Z47)</f>
        <v>0</v>
      </c>
      <c r="AB47" s="62">
        <f>SUMIF(Table22[Category],Z47,Table22[Sales])</f>
        <v>0</v>
      </c>
      <c r="AC47" s="128">
        <f>SUMIF(Table22[Category],AA47,Table22[Sales])</f>
        <v>0</v>
      </c>
    </row>
    <row r="48" spans="3:35" x14ac:dyDescent="0.25">
      <c r="C48" t="s">
        <v>443</v>
      </c>
      <c r="D48">
        <f>D46-D45</f>
        <v>400</v>
      </c>
      <c r="F48" s="111">
        <v>2.5</v>
      </c>
      <c r="G48" s="109">
        <v>0.95</v>
      </c>
      <c r="H48" s="109">
        <v>0.9555555555555556</v>
      </c>
      <c r="I48" s="109">
        <v>0.96</v>
      </c>
      <c r="J48" s="109">
        <v>0.98</v>
      </c>
      <c r="M48">
        <v>2.8</v>
      </c>
      <c r="N48">
        <v>2140</v>
      </c>
      <c r="O48">
        <v>2420</v>
      </c>
      <c r="P48">
        <v>2700</v>
      </c>
      <c r="Q48">
        <v>5500</v>
      </c>
      <c r="U48" s="119" t="s">
        <v>81</v>
      </c>
      <c r="V48" s="119">
        <v>311</v>
      </c>
      <c r="X48" t="str">
        <v>Cell</v>
      </c>
      <c r="Z48" s="123"/>
      <c r="AA48" s="62">
        <f>COUNTIF(Table22[Category],Z48)</f>
        <v>0</v>
      </c>
      <c r="AB48" s="62">
        <f>SUMIF(Table22[Category],Z48,Table22[Sales])</f>
        <v>0</v>
      </c>
      <c r="AC48" s="128">
        <f>SUMIF(Table22[Category],AA48,Table22[Sales])</f>
        <v>0</v>
      </c>
      <c r="AG48" t="s">
        <v>465</v>
      </c>
      <c r="AH48" t="s">
        <v>255</v>
      </c>
      <c r="AI48" t="s">
        <v>205</v>
      </c>
    </row>
    <row r="49" spans="3:35" x14ac:dyDescent="0.25">
      <c r="C49" t="s">
        <v>444</v>
      </c>
      <c r="D49" s="109">
        <f>(D48/D46)</f>
        <v>0.8</v>
      </c>
      <c r="F49" s="111">
        <v>2.8</v>
      </c>
      <c r="G49" s="109">
        <v>0.9553571428571429</v>
      </c>
      <c r="H49" s="109">
        <v>0.96031746031746035</v>
      </c>
      <c r="I49" s="109">
        <v>0.9642857142857143</v>
      </c>
      <c r="J49" s="109">
        <v>0.9821428571428571</v>
      </c>
      <c r="M49">
        <v>3</v>
      </c>
      <c r="N49">
        <v>2300</v>
      </c>
      <c r="O49">
        <v>2600</v>
      </c>
      <c r="P49">
        <v>2900</v>
      </c>
      <c r="Q49">
        <v>5900</v>
      </c>
      <c r="U49" s="120" t="s">
        <v>83</v>
      </c>
      <c r="V49" s="120">
        <v>399</v>
      </c>
      <c r="X49" t="str">
        <v>z</v>
      </c>
      <c r="Z49" s="123"/>
      <c r="AA49" s="62">
        <f>COUNTIF(Table22[Category],Z49)</f>
        <v>0</v>
      </c>
      <c r="AB49" s="62">
        <f>SUMIF(Table22[Category],Z49,Table22[Sales])</f>
        <v>0</v>
      </c>
      <c r="AC49" s="128">
        <f>SUMIF(Table22[Category],AA49,Table22[Sales])</f>
        <v>0</v>
      </c>
      <c r="AG49" t="str" cm="1">
        <f t="array" ref="AG49:AG56">_xlfn.UNIQUE(Table22[Category])</f>
        <v>Footwear</v>
      </c>
      <c r="AH49">
        <f>COUNTIF(Table22[Category],AG49)</f>
        <v>8</v>
      </c>
      <c r="AI49">
        <f>SUMIF(Table22[Category],AG49,Table22[Sales])</f>
        <v>6962</v>
      </c>
    </row>
    <row r="50" spans="3:35" x14ac:dyDescent="0.25">
      <c r="F50" s="111">
        <v>3</v>
      </c>
      <c r="G50" s="109">
        <v>0.95833333333333337</v>
      </c>
      <c r="H50" s="109">
        <v>0.96296296296296291</v>
      </c>
      <c r="I50" s="109">
        <v>0.96666666666666667</v>
      </c>
      <c r="J50" s="109">
        <v>0.98333333333333328</v>
      </c>
      <c r="U50" s="119" t="s">
        <v>81</v>
      </c>
      <c r="V50" s="119">
        <v>545</v>
      </c>
      <c r="AA50" s="125"/>
      <c r="AB50" s="126">
        <f>COUNTIF(Table22[Category],AA50)</f>
        <v>0</v>
      </c>
      <c r="AC50" s="124">
        <f>SUMIF(Table22[Category],AA50,Table22[Sales])</f>
        <v>0</v>
      </c>
      <c r="AG50" t="str">
        <v>Clothing</v>
      </c>
      <c r="AH50">
        <f>COUNTIF(Table22[Category],AG50)</f>
        <v>5</v>
      </c>
      <c r="AI50">
        <f>SUMIF(Table22[Category],AG50,Table22[Sales])</f>
        <v>6904</v>
      </c>
    </row>
    <row r="51" spans="3:35" x14ac:dyDescent="0.25">
      <c r="U51" s="120" t="s">
        <v>84</v>
      </c>
      <c r="V51" s="120">
        <v>558</v>
      </c>
      <c r="AG51" t="str">
        <v>Appliances</v>
      </c>
      <c r="AH51">
        <f>COUNTIF(Table22[Category],AG51)</f>
        <v>4</v>
      </c>
      <c r="AI51">
        <f>SUMIF(Table22[Category],AG51,Table22[Sales])</f>
        <v>3678</v>
      </c>
    </row>
    <row r="52" spans="3:35" x14ac:dyDescent="0.25">
      <c r="U52" s="119" t="s">
        <v>82</v>
      </c>
      <c r="V52" s="119">
        <v>632</v>
      </c>
      <c r="AG52" t="str">
        <v>Electronics</v>
      </c>
      <c r="AH52">
        <f>COUNTIF(Table22[Category],AG52)</f>
        <v>4</v>
      </c>
      <c r="AI52">
        <f>SUMIF(Table22[Category],AG52,Table22[Sales])</f>
        <v>3921</v>
      </c>
    </row>
    <row r="53" spans="3:35" x14ac:dyDescent="0.25">
      <c r="U53" s="120" t="s">
        <v>81</v>
      </c>
      <c r="V53" s="120">
        <v>636</v>
      </c>
      <c r="Z53" t="s">
        <v>465</v>
      </c>
      <c r="AA53" t="s">
        <v>255</v>
      </c>
      <c r="AB53" t="s">
        <v>205</v>
      </c>
      <c r="AG53" t="str">
        <v>Laptop</v>
      </c>
    </row>
    <row r="54" spans="3:35" x14ac:dyDescent="0.25">
      <c r="U54" s="119" t="s">
        <v>84</v>
      </c>
      <c r="V54" s="119">
        <v>676</v>
      </c>
      <c r="Z54" t="str" cm="1">
        <f t="array" ref="Z54:Z61">_xlfn.UNIQUE(Table22[Category])</f>
        <v>Footwear</v>
      </c>
      <c r="AA54">
        <f>COUNTIF(Table22[Category],Z54)</f>
        <v>8</v>
      </c>
      <c r="AB54">
        <f>SUMIF(Table22[Category],Z54,Table22[Sales])</f>
        <v>6962</v>
      </c>
      <c r="AG54" t="str">
        <v>Mobile</v>
      </c>
    </row>
    <row r="55" spans="3:35" x14ac:dyDescent="0.25">
      <c r="H55" s="29"/>
      <c r="I55" s="3" t="s">
        <v>449</v>
      </c>
      <c r="U55" s="120" t="s">
        <v>82</v>
      </c>
      <c r="V55" s="120">
        <v>808</v>
      </c>
      <c r="Z55" t="str">
        <v>Clothing</v>
      </c>
      <c r="AA55">
        <f>COUNTIF(Table22[Category],Z55)</f>
        <v>5</v>
      </c>
      <c r="AB55">
        <f>SUMIF(Table22[Category],Z55,Table22[Sales])</f>
        <v>6904</v>
      </c>
      <c r="AG55" t="str">
        <v>Cell</v>
      </c>
    </row>
    <row r="56" spans="3:35" x14ac:dyDescent="0.25">
      <c r="C56" s="3" t="s">
        <v>460</v>
      </c>
      <c r="H56" s="29"/>
      <c r="U56" s="119" t="s">
        <v>84</v>
      </c>
      <c r="V56" s="119">
        <v>852</v>
      </c>
      <c r="Z56" t="str">
        <v>Appliances</v>
      </c>
      <c r="AA56">
        <f>COUNTIF(Table22[Category],Z56)</f>
        <v>4</v>
      </c>
      <c r="AB56">
        <f>SUMIF(Table22[Category],Z56,Table22[Sales])</f>
        <v>3678</v>
      </c>
      <c r="AG56" t="str">
        <v>z</v>
      </c>
    </row>
    <row r="57" spans="3:35" x14ac:dyDescent="0.25">
      <c r="H57" s="29"/>
      <c r="U57" s="120" t="s">
        <v>82</v>
      </c>
      <c r="V57" s="120">
        <v>1017</v>
      </c>
      <c r="Z57" t="str">
        <v>Electronics</v>
      </c>
      <c r="AA57">
        <f>COUNTIF(Table22[Category],Z57)</f>
        <v>4</v>
      </c>
      <c r="AB57">
        <f>SUMIF(Table22[Category],Z57,Table22[Sales])</f>
        <v>3921</v>
      </c>
      <c r="AG57" t="s">
        <v>465</v>
      </c>
      <c r="AH57" t="s">
        <v>255</v>
      </c>
      <c r="AI57" t="s">
        <v>205</v>
      </c>
    </row>
    <row r="58" spans="3:35" x14ac:dyDescent="0.25">
      <c r="C58" t="s">
        <v>456</v>
      </c>
      <c r="D58" t="s">
        <v>457</v>
      </c>
      <c r="E58" t="s">
        <v>457</v>
      </c>
      <c r="F58" t="s">
        <v>458</v>
      </c>
      <c r="G58" t="s">
        <v>459</v>
      </c>
      <c r="H58" s="29"/>
      <c r="I58" t="s">
        <v>456</v>
      </c>
      <c r="J58" t="s">
        <v>457</v>
      </c>
      <c r="K58" t="s">
        <v>457</v>
      </c>
      <c r="L58" t="s">
        <v>458</v>
      </c>
      <c r="M58" t="s">
        <v>459</v>
      </c>
      <c r="U58" s="119" t="s">
        <v>83</v>
      </c>
      <c r="V58" s="119">
        <v>1044</v>
      </c>
      <c r="Z58" t="str">
        <v>Laptop</v>
      </c>
      <c r="AG58" t="str" cm="1">
        <f t="array" ref="AG58:AG65">_xlfn.UNIQUE(Table22[Category])</f>
        <v>Footwear</v>
      </c>
      <c r="AH58">
        <f>COUNTIF(Table22[Category],AG58)</f>
        <v>8</v>
      </c>
      <c r="AI58">
        <f>SUMIF(Table22[Category],AG58,Table22[Sales])</f>
        <v>6962</v>
      </c>
    </row>
    <row r="59" spans="3:35" x14ac:dyDescent="0.25">
      <c r="C59" t="s">
        <v>100</v>
      </c>
      <c r="D59">
        <v>80</v>
      </c>
      <c r="E59">
        <v>92</v>
      </c>
      <c r="F59">
        <v>98</v>
      </c>
      <c r="G59">
        <f>AVERAGE(D59:F59)</f>
        <v>90</v>
      </c>
      <c r="H59" s="29"/>
      <c r="I59" t="s">
        <v>100</v>
      </c>
      <c r="J59">
        <v>80</v>
      </c>
      <c r="K59">
        <v>92</v>
      </c>
      <c r="L59">
        <v>90</v>
      </c>
      <c r="M59" s="85">
        <f>AVERAGE(J59:L59)</f>
        <v>87.333333333333329</v>
      </c>
      <c r="U59" s="120" t="s">
        <v>81</v>
      </c>
      <c r="V59" s="120">
        <v>1185</v>
      </c>
      <c r="Z59" t="str">
        <v>Mobile</v>
      </c>
      <c r="AG59" t="str">
        <v>Clothing</v>
      </c>
      <c r="AH59">
        <f>COUNTIF(Table22[Category],AG59)</f>
        <v>5</v>
      </c>
      <c r="AI59">
        <f>SUMIF(Table22[Category],AG59,Table22[Sales])</f>
        <v>6904</v>
      </c>
    </row>
    <row r="60" spans="3:35" x14ac:dyDescent="0.25">
      <c r="C60" t="s">
        <v>432</v>
      </c>
      <c r="D60">
        <v>90</v>
      </c>
      <c r="E60">
        <v>79</v>
      </c>
      <c r="F60">
        <v>86</v>
      </c>
      <c r="G60">
        <f>AVERAGE(D60:F60)</f>
        <v>85</v>
      </c>
      <c r="H60" s="29"/>
      <c r="I60" t="s">
        <v>432</v>
      </c>
      <c r="J60">
        <v>90</v>
      </c>
      <c r="K60">
        <v>79</v>
      </c>
      <c r="L60">
        <v>85</v>
      </c>
      <c r="M60">
        <f>AVERAGE(J60:L60)</f>
        <v>84.666666666666671</v>
      </c>
      <c r="U60" s="119" t="s">
        <v>81</v>
      </c>
      <c r="V60" s="119">
        <v>1220</v>
      </c>
      <c r="Z60" t="str">
        <v>Cell</v>
      </c>
      <c r="AG60" t="str">
        <v>Appliances</v>
      </c>
      <c r="AH60">
        <f>COUNTIF(Table22[Category],AG60)</f>
        <v>4</v>
      </c>
      <c r="AI60">
        <f>SUMIF(Table22[Category],AG60,Table22[Sales])</f>
        <v>3678</v>
      </c>
    </row>
    <row r="61" spans="3:35" x14ac:dyDescent="0.25">
      <c r="C61" t="s">
        <v>433</v>
      </c>
      <c r="D61">
        <v>89</v>
      </c>
      <c r="E61">
        <v>99</v>
      </c>
      <c r="G61">
        <f t="shared" ref="G61" si="0">AVERAGE(D61:F61)</f>
        <v>94</v>
      </c>
      <c r="H61" s="29"/>
      <c r="I61" t="s">
        <v>433</v>
      </c>
      <c r="J61">
        <v>89</v>
      </c>
      <c r="K61">
        <v>99</v>
      </c>
      <c r="L61">
        <v>85</v>
      </c>
      <c r="M61">
        <f t="shared" ref="M61" si="1">AVERAGE(J61:L61)</f>
        <v>91</v>
      </c>
      <c r="U61" s="120" t="s">
        <v>82</v>
      </c>
      <c r="V61" s="120">
        <v>1464</v>
      </c>
      <c r="Z61" t="str">
        <v>z</v>
      </c>
      <c r="AG61" t="str">
        <v>Electronics</v>
      </c>
      <c r="AH61">
        <f>COUNTIF(Table22[Category],AG61)</f>
        <v>4</v>
      </c>
      <c r="AI61">
        <f>SUMIF(Table22[Category],AG61,Table22[Sales])</f>
        <v>3921</v>
      </c>
    </row>
    <row r="62" spans="3:35" x14ac:dyDescent="0.25">
      <c r="U62" s="119" t="s">
        <v>84</v>
      </c>
      <c r="V62" s="119">
        <v>1592</v>
      </c>
      <c r="AG62" t="str">
        <v>Laptop</v>
      </c>
    </row>
    <row r="63" spans="3:35" x14ac:dyDescent="0.25">
      <c r="U63" s="120" t="s">
        <v>83</v>
      </c>
      <c r="V63" s="120">
        <v>1694</v>
      </c>
      <c r="AG63" t="str">
        <v>Mobile</v>
      </c>
    </row>
    <row r="64" spans="3:35" x14ac:dyDescent="0.25">
      <c r="U64" s="119" t="s">
        <v>83</v>
      </c>
      <c r="V64" s="119">
        <v>1767</v>
      </c>
      <c r="Z64" s="3" t="s">
        <v>468</v>
      </c>
      <c r="AC64" s="3" t="s">
        <v>468</v>
      </c>
      <c r="AG64" t="str">
        <v>Cell</v>
      </c>
    </row>
    <row r="65" spans="8:33" x14ac:dyDescent="0.25">
      <c r="U65" s="121" t="s">
        <v>81</v>
      </c>
      <c r="V65" s="121">
        <v>1836</v>
      </c>
      <c r="Z65" t="str" cm="1">
        <f t="array" ref="Z65">_xlfn._xlws.SORT(Table22[[#Headers],[Sales]],,-1)</f>
        <v>Sales</v>
      </c>
      <c r="AC65" t="str" cm="1">
        <f t="array" ref="AC65">_xlfn._xlws.SORT(Table22[[#Headers],[Sales]],,-1)</f>
        <v>Sales</v>
      </c>
      <c r="AG65" t="str">
        <v>z</v>
      </c>
    </row>
    <row r="66" spans="8:33" x14ac:dyDescent="0.25">
      <c r="N66" t="s">
        <v>469</v>
      </c>
      <c r="U66" s="121" t="s">
        <v>81</v>
      </c>
      <c r="V66" s="121">
        <v>1000</v>
      </c>
      <c r="Z66" t="str" cm="1">
        <f t="array" ref="Z66:Z70">U47:U51</f>
        <v>Footwear</v>
      </c>
      <c r="AC66" t="str" cm="1">
        <f t="array" ref="AC66:AC70">X47:X51</f>
        <v>Mobile</v>
      </c>
    </row>
    <row r="67" spans="8:33" x14ac:dyDescent="0.25">
      <c r="I67" s="85">
        <f>M59</f>
        <v>87.333333333333329</v>
      </c>
      <c r="U67" s="121" t="s">
        <v>83</v>
      </c>
      <c r="V67" s="121">
        <v>2000</v>
      </c>
      <c r="Z67" t="str">
        <v>Footwear</v>
      </c>
      <c r="AC67" t="str">
        <v>Cell</v>
      </c>
    </row>
    <row r="68" spans="8:33" x14ac:dyDescent="0.25">
      <c r="H68">
        <v>85</v>
      </c>
      <c r="I68" s="85">
        <f t="dataTable" ref="I68:I71" dt2D="0" dtr="0" r1="L59"/>
        <v>85.666666666666671</v>
      </c>
      <c r="U68" s="121" t="s">
        <v>80</v>
      </c>
      <c r="V68" s="121">
        <v>10000</v>
      </c>
      <c r="Z68" t="str">
        <v>Clothing</v>
      </c>
      <c r="AC68" t="str">
        <v>z</v>
      </c>
    </row>
    <row r="69" spans="8:33" x14ac:dyDescent="0.25">
      <c r="H69">
        <v>90</v>
      </c>
      <c r="I69" s="85">
        <v>87.333333333333329</v>
      </c>
      <c r="U69" s="121" t="s">
        <v>80</v>
      </c>
      <c r="V69" s="121">
        <v>100000</v>
      </c>
      <c r="Z69" t="str">
        <v>Footwear</v>
      </c>
      <c r="AC69">
        <v>0</v>
      </c>
    </row>
    <row r="70" spans="8:33" x14ac:dyDescent="0.25">
      <c r="H70">
        <v>95</v>
      </c>
      <c r="I70" s="85">
        <v>89</v>
      </c>
      <c r="U70" s="121" t="s">
        <v>470</v>
      </c>
      <c r="V70" s="121">
        <v>2000</v>
      </c>
      <c r="Z70" t="str">
        <v>Appliances</v>
      </c>
      <c r="AC70">
        <v>0</v>
      </c>
    </row>
    <row r="71" spans="8:33" x14ac:dyDescent="0.25">
      <c r="H71">
        <v>99</v>
      </c>
      <c r="I71" s="85">
        <v>90.333333333333329</v>
      </c>
      <c r="O71" t="s">
        <v>469</v>
      </c>
      <c r="U71" s="121" t="s">
        <v>472</v>
      </c>
      <c r="V71" s="121">
        <v>50000</v>
      </c>
    </row>
    <row r="72" spans="8:33" x14ac:dyDescent="0.25">
      <c r="U72" s="121" t="s">
        <v>473</v>
      </c>
      <c r="V72" s="121">
        <v>8000</v>
      </c>
    </row>
    <row r="76" spans="8:33" x14ac:dyDescent="0.25">
      <c r="M76" s="3" t="s">
        <v>471</v>
      </c>
      <c r="N76" s="3" t="s">
        <v>270</v>
      </c>
      <c r="S76" s="3" t="s">
        <v>232</v>
      </c>
      <c r="T76" s="3" t="s">
        <v>255</v>
      </c>
      <c r="W76" s="3" t="s">
        <v>232</v>
      </c>
      <c r="X76" s="3" t="s">
        <v>255</v>
      </c>
    </row>
    <row r="77" spans="8:33" x14ac:dyDescent="0.25">
      <c r="M77" t="str" cm="1">
        <f t="array" ref="M77:M84">_xlfn.UNIQUE(Table22[Category])</f>
        <v>Footwear</v>
      </c>
      <c r="N77">
        <f>SUMIF(Table22[Category],M77,Table22[Sales])</f>
        <v>6962</v>
      </c>
      <c r="S77" t="str" cm="1">
        <f t="array" ref="S77:S84">_xlfn.UNIQUE(Table22[Category])</f>
        <v>Footwear</v>
      </c>
      <c r="T77">
        <f>COUNTIF(Table22[Category],S77)</f>
        <v>8</v>
      </c>
      <c r="W77" t="str" cm="1">
        <f t="array" ref="W77:W84">_xlfn.UNIQUE(Table22[Category])</f>
        <v>Footwear</v>
      </c>
      <c r="X77">
        <f>COUNTIF(Table22[Category],W77)</f>
        <v>8</v>
      </c>
    </row>
    <row r="78" spans="8:33" x14ac:dyDescent="0.25">
      <c r="M78" t="str">
        <v>Clothing</v>
      </c>
      <c r="N78">
        <f>SUMIF(Table22[Category],M78,Table22[Sales])</f>
        <v>6904</v>
      </c>
      <c r="S78" t="str">
        <v>Clothing</v>
      </c>
      <c r="T78">
        <f>COUNTIF(Table22[Category],S78)</f>
        <v>5</v>
      </c>
      <c r="W78" t="str">
        <v>Clothing</v>
      </c>
      <c r="X78">
        <f>COUNTIF(Table22[Category],W78)</f>
        <v>5</v>
      </c>
      <c r="AB78" s="88" t="s">
        <v>367</v>
      </c>
      <c r="AC78" t="s">
        <v>464</v>
      </c>
    </row>
    <row r="79" spans="8:33" x14ac:dyDescent="0.25">
      <c r="M79" t="str">
        <v>Appliances</v>
      </c>
      <c r="N79">
        <f>SUMIF(Table22[Category],M79,Table22[Sales])</f>
        <v>3678</v>
      </c>
      <c r="S79" t="str">
        <v>Appliances</v>
      </c>
      <c r="T79">
        <f>COUNTIF(Table22[Category],S79)</f>
        <v>4</v>
      </c>
      <c r="W79" t="str">
        <v>Appliances</v>
      </c>
      <c r="X79">
        <f>COUNTIF(Table22[Category],W79)</f>
        <v>4</v>
      </c>
      <c r="AB79" s="89" t="s">
        <v>84</v>
      </c>
      <c r="AC79" s="122">
        <v>3678</v>
      </c>
    </row>
    <row r="80" spans="8:33" x14ac:dyDescent="0.25">
      <c r="M80" t="str">
        <v>Electronics</v>
      </c>
      <c r="N80">
        <f>SUMIF(Table22[Category],M80,Table22[Sales])</f>
        <v>3921</v>
      </c>
      <c r="S80" t="str">
        <v>Electronics</v>
      </c>
      <c r="T80">
        <f>COUNTIF(Table22[Category],S80)</f>
        <v>4</v>
      </c>
      <c r="W80" t="str">
        <v>Electronics</v>
      </c>
      <c r="X80">
        <f>COUNTIF(Table22[Category],W80)</f>
        <v>4</v>
      </c>
      <c r="AB80" s="89" t="s">
        <v>472</v>
      </c>
      <c r="AC80" s="122">
        <v>50000</v>
      </c>
    </row>
    <row r="81" spans="13:29" x14ac:dyDescent="0.25">
      <c r="M81" t="str">
        <v>Laptop</v>
      </c>
      <c r="N81">
        <f>SUMIF(Table22[Category],M81,Table22[Sales])</f>
        <v>110000</v>
      </c>
      <c r="S81" t="str">
        <v>Laptop</v>
      </c>
      <c r="T81">
        <f>COUNTIF(Table22[Category],S81)</f>
        <v>2</v>
      </c>
      <c r="W81" t="str">
        <v>Laptop</v>
      </c>
      <c r="X81">
        <f>COUNTIF(Table22[Category],W81)</f>
        <v>2</v>
      </c>
      <c r="AB81" s="89" t="s">
        <v>83</v>
      </c>
      <c r="AC81" s="122">
        <v>6904</v>
      </c>
    </row>
    <row r="82" spans="13:29" x14ac:dyDescent="0.25">
      <c r="M82" t="str">
        <v>Mobile</v>
      </c>
      <c r="N82">
        <f>SUMIF(Table22[Category],M82,Table22[Sales])</f>
        <v>2000</v>
      </c>
      <c r="S82" t="str">
        <v>Mobile</v>
      </c>
      <c r="T82">
        <f>COUNTIF(Table22[Category],S82)</f>
        <v>1</v>
      </c>
      <c r="W82" t="str">
        <v>Mobile</v>
      </c>
      <c r="X82">
        <f>COUNTIF(Table22[Category],W82)</f>
        <v>1</v>
      </c>
      <c r="AB82" s="89" t="s">
        <v>82</v>
      </c>
      <c r="AC82" s="122">
        <v>3921</v>
      </c>
    </row>
    <row r="83" spans="13:29" x14ac:dyDescent="0.25">
      <c r="M83" t="str">
        <v>Cell</v>
      </c>
      <c r="S83" t="str">
        <v>Cell</v>
      </c>
      <c r="W83" t="str">
        <v>Cell</v>
      </c>
      <c r="AB83" s="89" t="s">
        <v>81</v>
      </c>
      <c r="AC83" s="122">
        <v>6962</v>
      </c>
    </row>
    <row r="84" spans="13:29" x14ac:dyDescent="0.25">
      <c r="M84" t="str">
        <v>z</v>
      </c>
      <c r="S84" t="str">
        <v>z</v>
      </c>
      <c r="W84" t="str">
        <v>z</v>
      </c>
      <c r="AB84" s="89" t="s">
        <v>80</v>
      </c>
      <c r="AC84" s="122">
        <v>110000</v>
      </c>
    </row>
    <row r="85" spans="13:29" x14ac:dyDescent="0.25">
      <c r="AB85" s="89" t="s">
        <v>470</v>
      </c>
      <c r="AC85" s="122">
        <v>2000</v>
      </c>
    </row>
    <row r="86" spans="13:29" x14ac:dyDescent="0.25">
      <c r="AB86" s="89" t="s">
        <v>473</v>
      </c>
      <c r="AC86" s="122">
        <v>8000</v>
      </c>
    </row>
    <row r="87" spans="13:29" x14ac:dyDescent="0.25">
      <c r="AB87" s="131" t="s">
        <v>368</v>
      </c>
      <c r="AC87" s="122">
        <v>191465</v>
      </c>
    </row>
  </sheetData>
  <scenarios current="5" show="5">
    <scenario name="Qty 200" locked="1" count="1" user="MITS" comment="Created by MITS on 08-06-2026_x000a_Modified by MITS on 08-06-2026">
      <inputCells r="D44" val="200"/>
    </scenario>
    <scenario name="Qty 300" locked="1" count="1" user="MITS" comment="Created by MITS on 08-06-2026">
      <inputCells r="D44" val="300"/>
    </scenario>
    <scenario name="Qty 400" locked="1" count="1" user="MITS" comment="Created by MITS on 08-06-2026">
      <inputCells r="D44" val="400"/>
    </scenario>
    <scenario name="Qty 500" locked="1" count="1" user="MITS" comment="Created by MITS on 08-06-2026">
      <inputCells r="D44" val="500"/>
    </scenario>
    <scenario name="project 90%" locked="1" count="1" user="MITS" comment="Created by MITS on 08-06-2026_x000a_Modified by MITS on 08-06-2026">
      <inputCells r="L59" val="90"/>
    </scenario>
    <scenario name="project 80%" locked="1" count="1" user="MITS" comment="Created by MITS on 08-06-2026_x000a_Modified by MITS on 08-06-2026">
      <inputCells r="L59" val="80"/>
    </scenario>
  </scenarios>
  <autoFilter ref="L17:M20" xr:uid="{4862F95D-5B7E-4DAF-9616-4433120C7A90}">
    <sortState xmlns:xlrd2="http://schemas.microsoft.com/office/spreadsheetml/2017/richdata2" ref="L18:M20">
      <sortCondition ref="L19:L20"/>
    </sortState>
  </autoFilter>
  <mergeCells count="3">
    <mergeCell ref="N9:N10"/>
    <mergeCell ref="B15:B16"/>
    <mergeCell ref="F32:G32"/>
  </mergeCells>
  <dataValidations disablePrompts="1" count="3">
    <dataValidation type="whole" allowBlank="1" showInputMessage="1" showErrorMessage="1" error="age should be between 18 t0 60" sqref="I5:I10" xr:uid="{BFF797C0-5E29-487E-88D6-56C2465C8619}">
      <formula1>18</formula1>
      <formula2>60</formula2>
    </dataValidation>
    <dataValidation type="custom" allowBlank="1" showInputMessage="1" showErrorMessage="1" error="Only Enter Text" sqref="J6:J10" xr:uid="{9A24C6DC-4A93-4581-B947-192499E07AEA}">
      <formula1>ISTEXT(J6:J10)</formula1>
    </dataValidation>
    <dataValidation type="list" allowBlank="1" showInputMessage="1" showErrorMessage="1" error="Only Enter M and F" sqref="K6:K10" xr:uid="{D32AF643-0B33-4D19-8DAD-0AB7D60B56A8}">
      <formula1>$K$6:$K$7</formula1>
    </dataValidation>
  </dataValidations>
  <pageMargins left="0.7" right="0.7" top="0.75" bottom="0.75" header="0.3" footer="0.3"/>
  <drawing r:id="rId2"/>
  <tableParts count="4">
    <tablePart r:id="rId3"/>
    <tablePart r:id="rId4"/>
    <tablePart r:id="rId5"/>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222E-ED1E-4A47-A155-83822D43A85C}">
  <sheetPr codeName="Sheet25"/>
  <dimension ref="A1"/>
  <sheetViews>
    <sheetView topLeftCell="A40" workbookViewId="0">
      <selection activeCell="V58" sqref="V58"/>
    </sheetView>
  </sheetViews>
  <sheetFormatPr defaultRowHeight="15" x14ac:dyDescent="0.25"/>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93A02-947E-4224-9117-C8F27F767E88}">
  <sheetPr codeName="Sheet22"/>
  <dimension ref="B1:X269"/>
  <sheetViews>
    <sheetView topLeftCell="C265" zoomScaleNormal="100" workbookViewId="0">
      <selection activeCell="D190" sqref="D190"/>
    </sheetView>
  </sheetViews>
  <sheetFormatPr defaultRowHeight="15" x14ac:dyDescent="0.25"/>
  <cols>
    <col min="1" max="1" width="2.140625" customWidth="1"/>
    <col min="2" max="2" width="10.85546875" customWidth="1"/>
    <col min="4" max="4" width="17.7109375" customWidth="1"/>
    <col min="5" max="5" width="21.42578125" customWidth="1"/>
    <col min="6" max="6" width="23.28515625" customWidth="1"/>
    <col min="8" max="8" width="24.42578125" customWidth="1"/>
    <col min="9" max="9" width="14.85546875" customWidth="1"/>
    <col min="10" max="10" width="18.42578125" customWidth="1"/>
  </cols>
  <sheetData>
    <row r="1" spans="2:15" ht="3" customHeight="1" x14ac:dyDescent="0.25"/>
    <row r="5" spans="2:15" x14ac:dyDescent="0.25">
      <c r="B5" s="29"/>
      <c r="C5" s="29"/>
      <c r="D5" s="29"/>
      <c r="E5" s="29"/>
      <c r="F5" s="29"/>
      <c r="G5" s="29"/>
      <c r="H5" s="29"/>
      <c r="I5" s="29"/>
      <c r="J5" s="29"/>
      <c r="K5" s="29"/>
      <c r="L5" s="29"/>
      <c r="M5" s="29"/>
      <c r="N5" s="29"/>
      <c r="O5" s="29"/>
    </row>
    <row r="6" spans="2:15" x14ac:dyDescent="0.25">
      <c r="B6" s="29"/>
      <c r="C6" s="29"/>
      <c r="D6" s="29"/>
      <c r="E6" s="29"/>
      <c r="F6" s="29"/>
      <c r="G6" s="29"/>
      <c r="H6" s="29"/>
      <c r="I6" s="29"/>
      <c r="J6" s="29"/>
      <c r="K6" s="29"/>
      <c r="L6" s="29"/>
      <c r="M6" s="29"/>
      <c r="N6" s="29"/>
      <c r="O6" s="29"/>
    </row>
    <row r="7" spans="2:15" ht="0.75" customHeight="1" x14ac:dyDescent="0.25">
      <c r="B7" s="29"/>
      <c r="C7" s="29"/>
      <c r="D7" s="29"/>
      <c r="E7" s="29"/>
      <c r="F7" s="29"/>
      <c r="G7" s="29"/>
      <c r="H7" s="29"/>
      <c r="I7" s="29"/>
      <c r="J7" s="29"/>
      <c r="K7" s="29"/>
      <c r="L7" s="29"/>
      <c r="M7" s="29"/>
      <c r="N7" s="29"/>
      <c r="O7" s="29"/>
    </row>
    <row r="8" spans="2:15" ht="57" customHeight="1" x14ac:dyDescent="0.25">
      <c r="B8" s="29"/>
      <c r="C8" s="29"/>
      <c r="D8" s="29"/>
      <c r="E8" s="29"/>
      <c r="F8" s="29"/>
      <c r="G8" s="29"/>
      <c r="H8" s="29"/>
      <c r="I8" s="29"/>
      <c r="J8" s="29"/>
      <c r="K8" s="29"/>
      <c r="L8" s="29"/>
      <c r="M8" s="29"/>
      <c r="N8" s="29"/>
      <c r="O8" s="29"/>
    </row>
    <row r="9" spans="2:15" ht="48.75" customHeight="1" x14ac:dyDescent="0.4">
      <c r="B9" s="29"/>
      <c r="C9" s="29"/>
      <c r="D9" s="35" t="s">
        <v>269</v>
      </c>
      <c r="E9" s="35" t="s">
        <v>275</v>
      </c>
      <c r="F9" s="35" t="s">
        <v>270</v>
      </c>
      <c r="G9" s="29"/>
      <c r="H9" s="29"/>
      <c r="I9" s="29"/>
      <c r="J9" s="29"/>
      <c r="K9" s="29"/>
      <c r="L9" s="29"/>
      <c r="M9" s="29"/>
      <c r="N9" s="29"/>
      <c r="O9" s="29"/>
    </row>
    <row r="10" spans="2:15" ht="48" customHeight="1" x14ac:dyDescent="0.4">
      <c r="B10" s="29"/>
      <c r="C10" s="29"/>
      <c r="D10" s="32" t="s">
        <v>271</v>
      </c>
      <c r="E10" s="33"/>
      <c r="F10" s="34">
        <v>500000</v>
      </c>
      <c r="G10" s="29"/>
      <c r="H10" s="29"/>
      <c r="I10" s="29"/>
      <c r="J10" s="29"/>
      <c r="K10" s="29"/>
      <c r="L10" s="29"/>
      <c r="M10" s="29"/>
      <c r="N10" s="29"/>
      <c r="O10" s="29"/>
    </row>
    <row r="11" spans="2:15" ht="36" customHeight="1" x14ac:dyDescent="0.4">
      <c r="B11" s="29"/>
      <c r="C11" s="29"/>
      <c r="D11" s="32" t="s">
        <v>272</v>
      </c>
      <c r="E11" s="33"/>
      <c r="F11" s="34">
        <v>1000000</v>
      </c>
      <c r="G11" s="29"/>
      <c r="H11" s="29"/>
      <c r="I11" s="29"/>
      <c r="J11" s="29"/>
      <c r="K11" s="29"/>
      <c r="L11" s="29"/>
      <c r="M11" s="29"/>
      <c r="N11" s="29"/>
      <c r="O11" s="29"/>
    </row>
    <row r="12" spans="2:15" ht="52.5" customHeight="1" x14ac:dyDescent="0.4">
      <c r="B12" s="29"/>
      <c r="C12" s="29"/>
      <c r="D12" s="32" t="s">
        <v>273</v>
      </c>
      <c r="E12" s="33"/>
      <c r="F12" s="34">
        <v>900000</v>
      </c>
      <c r="G12" s="29"/>
      <c r="H12" s="29"/>
      <c r="I12" s="29"/>
      <c r="J12" s="29"/>
      <c r="K12" s="29"/>
      <c r="L12" s="29"/>
      <c r="M12" s="29"/>
      <c r="N12" s="29"/>
      <c r="O12" s="29"/>
    </row>
    <row r="13" spans="2:15" ht="50.25" customHeight="1" x14ac:dyDescent="0.4">
      <c r="B13" s="29"/>
      <c r="C13" s="29"/>
      <c r="D13" s="32" t="s">
        <v>274</v>
      </c>
      <c r="E13" s="33"/>
      <c r="F13" s="34">
        <v>7000000</v>
      </c>
      <c r="G13" s="29"/>
      <c r="H13" s="29"/>
      <c r="I13" s="29"/>
      <c r="J13" s="29"/>
      <c r="K13" s="29"/>
      <c r="L13" s="29"/>
      <c r="M13" s="29"/>
      <c r="N13" s="29"/>
      <c r="O13" s="29"/>
    </row>
    <row r="14" spans="2:15" x14ac:dyDescent="0.25">
      <c r="B14" s="29"/>
      <c r="C14" s="29"/>
      <c r="D14" s="29"/>
      <c r="E14" s="29"/>
      <c r="F14" s="29"/>
      <c r="G14" s="29"/>
      <c r="H14" s="29"/>
      <c r="I14" s="29"/>
      <c r="J14" s="29"/>
      <c r="K14" s="29"/>
      <c r="L14" s="29"/>
      <c r="M14" s="29"/>
      <c r="N14" s="29"/>
      <c r="O14" s="29"/>
    </row>
    <row r="15" spans="2:15" x14ac:dyDescent="0.25">
      <c r="B15" s="29"/>
      <c r="C15" s="29"/>
      <c r="D15" s="29"/>
      <c r="E15" s="29"/>
      <c r="F15" s="29"/>
      <c r="G15" s="29"/>
      <c r="H15" s="29"/>
      <c r="I15" s="29"/>
      <c r="J15" s="29"/>
      <c r="K15" s="29"/>
      <c r="L15" s="29"/>
      <c r="M15" s="29"/>
      <c r="N15" s="29"/>
      <c r="O15" s="29"/>
    </row>
    <row r="16" spans="2:15" x14ac:dyDescent="0.25">
      <c r="B16" s="29"/>
      <c r="C16" s="29"/>
      <c r="D16" s="29"/>
      <c r="E16" s="29"/>
      <c r="F16" s="29"/>
      <c r="G16" s="29"/>
      <c r="H16" s="29"/>
      <c r="I16" s="29"/>
      <c r="J16" s="29"/>
      <c r="K16" s="29"/>
      <c r="L16" s="29"/>
      <c r="M16" s="29"/>
      <c r="N16" s="29"/>
      <c r="O16" s="29"/>
    </row>
    <row r="17" spans="2:15" x14ac:dyDescent="0.25">
      <c r="B17" s="29"/>
      <c r="C17" s="29"/>
      <c r="D17" s="29"/>
      <c r="E17" s="29"/>
      <c r="F17" s="29"/>
      <c r="G17" s="29"/>
      <c r="H17" s="29"/>
      <c r="I17" s="29"/>
      <c r="J17" s="29"/>
      <c r="K17" s="29"/>
      <c r="L17" s="29"/>
      <c r="M17" s="29"/>
      <c r="N17" s="29"/>
      <c r="O17" s="29"/>
    </row>
    <row r="18" spans="2:15" x14ac:dyDescent="0.25">
      <c r="B18" s="29"/>
      <c r="C18" s="29"/>
      <c r="D18" s="29"/>
      <c r="E18" s="29"/>
      <c r="F18" s="29"/>
      <c r="G18" s="29"/>
      <c r="H18" s="29"/>
      <c r="I18" s="29"/>
      <c r="J18" s="29"/>
      <c r="K18" s="29"/>
      <c r="L18" s="29"/>
      <c r="M18" s="29"/>
      <c r="N18" s="29"/>
      <c r="O18" s="29"/>
    </row>
    <row r="19" spans="2:15" x14ac:dyDescent="0.25">
      <c r="B19" s="29"/>
      <c r="C19" s="29"/>
      <c r="D19" s="29"/>
      <c r="E19" s="29"/>
      <c r="F19" s="29"/>
      <c r="G19" s="29"/>
      <c r="H19" s="29"/>
      <c r="I19" s="29"/>
      <c r="J19" s="29"/>
      <c r="K19" s="29"/>
      <c r="L19" s="29"/>
      <c r="M19" s="29"/>
      <c r="N19" s="29"/>
      <c r="O19" s="29"/>
    </row>
    <row r="20" spans="2:15" x14ac:dyDescent="0.25">
      <c r="B20" s="29"/>
      <c r="C20" s="29"/>
      <c r="D20" s="29"/>
      <c r="E20" s="29"/>
      <c r="F20" s="29"/>
      <c r="G20" s="29"/>
      <c r="H20" s="29"/>
      <c r="I20" s="29"/>
      <c r="J20" s="29"/>
      <c r="K20" s="29"/>
      <c r="L20" s="29"/>
      <c r="M20" s="29"/>
      <c r="N20" s="29"/>
      <c r="O20" s="29"/>
    </row>
    <row r="21" spans="2:15" x14ac:dyDescent="0.25">
      <c r="B21" s="29"/>
      <c r="C21" s="29"/>
      <c r="D21" s="29"/>
      <c r="E21" s="29"/>
      <c r="F21" s="29"/>
      <c r="G21" s="29"/>
      <c r="H21" s="29"/>
      <c r="I21" s="29"/>
      <c r="J21" s="29"/>
      <c r="K21" s="29"/>
      <c r="L21" s="29"/>
      <c r="M21" s="29"/>
      <c r="N21" s="29"/>
      <c r="O21" s="29"/>
    </row>
    <row r="22" spans="2:15" x14ac:dyDescent="0.25">
      <c r="B22" s="29"/>
      <c r="C22" s="29"/>
      <c r="D22" s="29"/>
      <c r="E22" s="29"/>
      <c r="F22" s="29"/>
      <c r="G22" s="29"/>
      <c r="H22" s="29"/>
      <c r="I22" s="29"/>
      <c r="J22" s="29"/>
      <c r="K22" s="29"/>
      <c r="L22" s="29"/>
      <c r="M22" s="29"/>
      <c r="N22" s="29"/>
      <c r="O22" s="29"/>
    </row>
    <row r="23" spans="2:15" x14ac:dyDescent="0.25">
      <c r="B23" s="29"/>
      <c r="C23" s="29"/>
      <c r="D23" s="29"/>
      <c r="E23" s="29"/>
      <c r="F23" s="29"/>
      <c r="G23" s="29"/>
      <c r="H23" s="29"/>
      <c r="I23" s="29"/>
      <c r="J23" s="29"/>
      <c r="K23" s="29"/>
      <c r="L23" s="29"/>
      <c r="M23" s="29"/>
      <c r="N23" s="29"/>
      <c r="O23" s="29"/>
    </row>
    <row r="24" spans="2:15" x14ac:dyDescent="0.25">
      <c r="B24" s="29"/>
      <c r="C24" s="29"/>
      <c r="D24" s="29"/>
      <c r="E24" s="29"/>
      <c r="F24" s="29"/>
      <c r="G24" s="29"/>
      <c r="H24" s="29"/>
      <c r="I24" s="29"/>
      <c r="J24" s="29"/>
      <c r="K24" s="29"/>
      <c r="L24" s="29"/>
      <c r="M24" s="29"/>
      <c r="N24" s="29"/>
      <c r="O24" s="29"/>
    </row>
    <row r="25" spans="2:15" x14ac:dyDescent="0.25">
      <c r="B25" s="29"/>
      <c r="C25" s="29"/>
      <c r="D25" s="29"/>
      <c r="E25" s="29"/>
      <c r="F25" s="29"/>
      <c r="G25" s="29"/>
      <c r="H25" s="29"/>
      <c r="I25" s="29"/>
      <c r="J25" s="29"/>
      <c r="K25" s="29"/>
      <c r="L25" s="29"/>
      <c r="M25" s="29"/>
      <c r="N25" s="29"/>
      <c r="O25" s="29"/>
    </row>
    <row r="26" spans="2:15" x14ac:dyDescent="0.25">
      <c r="B26" s="29"/>
      <c r="C26" s="29"/>
      <c r="D26" s="29"/>
      <c r="E26" s="29"/>
      <c r="F26" s="29"/>
      <c r="G26" s="29"/>
      <c r="H26" s="29"/>
      <c r="I26" s="29"/>
      <c r="J26" s="29"/>
      <c r="K26" s="29"/>
      <c r="L26" s="29"/>
      <c r="M26" s="29"/>
      <c r="N26" s="29"/>
      <c r="O26" s="29"/>
    </row>
    <row r="31" spans="2:15" x14ac:dyDescent="0.25">
      <c r="B31" s="2">
        <f>DATE(2026,1,1)</f>
        <v>46023</v>
      </c>
    </row>
    <row r="32" spans="2:15" x14ac:dyDescent="0.25">
      <c r="B32" s="2">
        <v>46024</v>
      </c>
      <c r="D32" s="56">
        <v>515741</v>
      </c>
    </row>
    <row r="33" spans="2:10" x14ac:dyDescent="0.25">
      <c r="B33" s="2">
        <v>46025</v>
      </c>
      <c r="D33" s="56">
        <v>616527</v>
      </c>
    </row>
    <row r="34" spans="2:10" x14ac:dyDescent="0.25">
      <c r="B34" s="2">
        <v>46026</v>
      </c>
      <c r="D34" s="58">
        <v>7075467519</v>
      </c>
    </row>
    <row r="35" spans="2:10" x14ac:dyDescent="0.25">
      <c r="B35" s="2">
        <v>46027</v>
      </c>
    </row>
    <row r="36" spans="2:10" x14ac:dyDescent="0.25">
      <c r="B36" s="2">
        <v>46028</v>
      </c>
    </row>
    <row r="37" spans="2:10" x14ac:dyDescent="0.25">
      <c r="B37" s="2">
        <v>46029</v>
      </c>
      <c r="E37" s="56" t="s">
        <v>282</v>
      </c>
    </row>
    <row r="38" spans="2:10" x14ac:dyDescent="0.25">
      <c r="B38" s="2">
        <v>46030</v>
      </c>
    </row>
    <row r="39" spans="2:10" x14ac:dyDescent="0.25">
      <c r="B39" s="2">
        <v>46031</v>
      </c>
      <c r="E39" s="36">
        <v>515741</v>
      </c>
      <c r="F39" t="str">
        <f>TEXT(E39,"###-###")</f>
        <v>515-741</v>
      </c>
    </row>
    <row r="40" spans="2:10" x14ac:dyDescent="0.25">
      <c r="B40" s="2">
        <v>46032</v>
      </c>
      <c r="F40" t="s">
        <v>283</v>
      </c>
      <c r="H40" s="59">
        <v>700000</v>
      </c>
    </row>
    <row r="41" spans="2:10" x14ac:dyDescent="0.25">
      <c r="B41" s="2">
        <v>46033</v>
      </c>
      <c r="H41" s="59">
        <v>-100000</v>
      </c>
    </row>
    <row r="42" spans="2:10" x14ac:dyDescent="0.25">
      <c r="B42" s="2">
        <v>46034</v>
      </c>
      <c r="H42" s="59">
        <v>0</v>
      </c>
    </row>
    <row r="43" spans="2:10" x14ac:dyDescent="0.25">
      <c r="B43" s="2">
        <v>46035</v>
      </c>
    </row>
    <row r="44" spans="2:10" x14ac:dyDescent="0.25">
      <c r="B44" s="2">
        <v>46036</v>
      </c>
    </row>
    <row r="45" spans="2:10" x14ac:dyDescent="0.25">
      <c r="B45" s="2">
        <v>46037</v>
      </c>
    </row>
    <row r="46" spans="2:10" x14ac:dyDescent="0.25">
      <c r="B46" s="2">
        <v>46038</v>
      </c>
    </row>
    <row r="47" spans="2:10" x14ac:dyDescent="0.25">
      <c r="B47" s="2">
        <v>46039</v>
      </c>
      <c r="I47" s="60">
        <v>70000</v>
      </c>
      <c r="J47" s="61">
        <v>70000</v>
      </c>
    </row>
    <row r="48" spans="2:10" x14ac:dyDescent="0.25">
      <c r="B48" s="2">
        <v>46040</v>
      </c>
      <c r="E48" t="s">
        <v>126</v>
      </c>
      <c r="F48" t="s">
        <v>218</v>
      </c>
      <c r="G48" t="s">
        <v>219</v>
      </c>
      <c r="I48" s="60">
        <v>-100000</v>
      </c>
      <c r="J48" s="61">
        <v>-100000</v>
      </c>
    </row>
    <row r="49" spans="2:14" x14ac:dyDescent="0.25">
      <c r="B49" s="2">
        <v>46041</v>
      </c>
      <c r="E49">
        <v>1</v>
      </c>
      <c r="F49">
        <v>2000</v>
      </c>
      <c r="G49">
        <v>18</v>
      </c>
      <c r="I49" s="60">
        <v>0</v>
      </c>
      <c r="J49" s="61">
        <v>0</v>
      </c>
    </row>
    <row r="50" spans="2:14" x14ac:dyDescent="0.25">
      <c r="B50" s="2">
        <v>46042</v>
      </c>
      <c r="E50">
        <v>0</v>
      </c>
      <c r="F50">
        <v>5000</v>
      </c>
      <c r="G50">
        <v>20</v>
      </c>
    </row>
    <row r="51" spans="2:14" x14ac:dyDescent="0.25">
      <c r="E51">
        <v>1</v>
      </c>
      <c r="F51">
        <v>8000</v>
      </c>
      <c r="G51">
        <v>14</v>
      </c>
    </row>
    <row r="52" spans="2:14" x14ac:dyDescent="0.25">
      <c r="E52">
        <v>0</v>
      </c>
      <c r="F52">
        <v>7000</v>
      </c>
      <c r="G52">
        <v>8</v>
      </c>
    </row>
    <row r="53" spans="2:14" x14ac:dyDescent="0.25">
      <c r="E53">
        <v>1</v>
      </c>
      <c r="F53">
        <v>2000</v>
      </c>
      <c r="G53">
        <v>9</v>
      </c>
    </row>
    <row r="54" spans="2:14" x14ac:dyDescent="0.25">
      <c r="E54">
        <v>2</v>
      </c>
      <c r="F54">
        <v>2000</v>
      </c>
      <c r="G54">
        <v>10</v>
      </c>
    </row>
    <row r="55" spans="2:14" x14ac:dyDescent="0.25">
      <c r="E55">
        <v>2</v>
      </c>
      <c r="F55">
        <v>1000</v>
      </c>
      <c r="G55">
        <v>90</v>
      </c>
    </row>
    <row r="56" spans="2:14" x14ac:dyDescent="0.25">
      <c r="K56" t="s">
        <v>341</v>
      </c>
    </row>
    <row r="58" spans="2:14" x14ac:dyDescent="0.25">
      <c r="F58" t="s">
        <v>341</v>
      </c>
      <c r="K58" t="s">
        <v>306</v>
      </c>
      <c r="L58">
        <v>2000</v>
      </c>
      <c r="M58">
        <v>18</v>
      </c>
      <c r="N58" t="s">
        <v>321</v>
      </c>
    </row>
    <row r="59" spans="2:14" ht="15.75" thickBot="1" x14ac:dyDescent="0.3">
      <c r="K59" s="86">
        <v>0</v>
      </c>
      <c r="L59" s="86"/>
      <c r="M59" s="86"/>
      <c r="N59" s="86"/>
    </row>
    <row r="60" spans="2:14" x14ac:dyDescent="0.25">
      <c r="F60" t="s">
        <v>306</v>
      </c>
      <c r="G60">
        <v>2000</v>
      </c>
      <c r="H60">
        <v>18</v>
      </c>
      <c r="I60" t="s">
        <v>321</v>
      </c>
      <c r="K60" t="s">
        <v>308</v>
      </c>
      <c r="L60">
        <v>3</v>
      </c>
      <c r="M60">
        <v>3</v>
      </c>
      <c r="N60">
        <v>6</v>
      </c>
    </row>
    <row r="61" spans="2:14" ht="15.75" thickBot="1" x14ac:dyDescent="0.3">
      <c r="F61" s="86">
        <v>0</v>
      </c>
      <c r="G61" s="86"/>
      <c r="H61" s="86"/>
      <c r="I61" s="86"/>
      <c r="K61" t="s">
        <v>309</v>
      </c>
      <c r="L61">
        <v>20000</v>
      </c>
      <c r="M61">
        <v>42</v>
      </c>
      <c r="N61">
        <v>20042</v>
      </c>
    </row>
    <row r="62" spans="2:14" x14ac:dyDescent="0.25">
      <c r="F62" t="s">
        <v>308</v>
      </c>
      <c r="G62">
        <v>2</v>
      </c>
      <c r="H62">
        <v>2</v>
      </c>
      <c r="I62">
        <v>4</v>
      </c>
      <c r="K62" t="s">
        <v>310</v>
      </c>
      <c r="L62">
        <v>6666.666666666667</v>
      </c>
      <c r="M62">
        <v>14</v>
      </c>
      <c r="N62">
        <v>3340.3333333333335</v>
      </c>
    </row>
    <row r="63" spans="2:14" x14ac:dyDescent="0.25">
      <c r="F63" t="s">
        <v>309</v>
      </c>
      <c r="G63">
        <v>13000</v>
      </c>
      <c r="H63">
        <v>34</v>
      </c>
      <c r="I63">
        <v>13034</v>
      </c>
      <c r="K63" t="s">
        <v>311</v>
      </c>
      <c r="L63">
        <v>2333333.3333333358</v>
      </c>
      <c r="M63">
        <v>36</v>
      </c>
      <c r="N63">
        <v>14210739.866666669</v>
      </c>
    </row>
    <row r="64" spans="2:14" x14ac:dyDescent="0.25">
      <c r="F64" t="s">
        <v>310</v>
      </c>
      <c r="G64">
        <v>6500</v>
      </c>
      <c r="H64">
        <v>17</v>
      </c>
      <c r="I64">
        <v>3258.5</v>
      </c>
    </row>
    <row r="65" spans="6:17" ht="15.75" thickBot="1" x14ac:dyDescent="0.3">
      <c r="F65" t="s">
        <v>311</v>
      </c>
      <c r="G65">
        <v>4500000</v>
      </c>
      <c r="H65">
        <v>18</v>
      </c>
      <c r="I65">
        <v>15509769</v>
      </c>
      <c r="K65" s="86">
        <v>1</v>
      </c>
      <c r="L65" s="86"/>
      <c r="M65" s="86"/>
      <c r="N65" s="86"/>
    </row>
    <row r="66" spans="6:17" x14ac:dyDescent="0.25">
      <c r="K66" t="s">
        <v>308</v>
      </c>
      <c r="L66">
        <v>3</v>
      </c>
      <c r="M66">
        <v>3</v>
      </c>
      <c r="N66">
        <v>6</v>
      </c>
    </row>
    <row r="67" spans="6:17" ht="15.75" thickBot="1" x14ac:dyDescent="0.3">
      <c r="F67" s="86">
        <v>0</v>
      </c>
      <c r="G67" s="86"/>
      <c r="H67" s="86"/>
      <c r="I67" s="86"/>
      <c r="K67" t="s">
        <v>309</v>
      </c>
      <c r="L67">
        <v>5000</v>
      </c>
      <c r="M67">
        <v>109</v>
      </c>
      <c r="N67">
        <v>5109</v>
      </c>
    </row>
    <row r="68" spans="6:17" x14ac:dyDescent="0.25">
      <c r="F68" t="s">
        <v>308</v>
      </c>
      <c r="G68">
        <v>2</v>
      </c>
      <c r="H68">
        <v>2</v>
      </c>
      <c r="I68">
        <v>4</v>
      </c>
      <c r="K68" t="s">
        <v>310</v>
      </c>
      <c r="L68">
        <v>1666.6666666666667</v>
      </c>
      <c r="M68">
        <v>36.333333333333336</v>
      </c>
      <c r="N68">
        <v>851.5</v>
      </c>
    </row>
    <row r="69" spans="6:17" x14ac:dyDescent="0.25">
      <c r="F69" t="s">
        <v>309</v>
      </c>
      <c r="G69">
        <v>9000</v>
      </c>
      <c r="H69">
        <v>17</v>
      </c>
      <c r="I69">
        <v>9017</v>
      </c>
      <c r="K69" t="s">
        <v>311</v>
      </c>
      <c r="L69">
        <v>333333.33333333349</v>
      </c>
      <c r="M69">
        <v>2160.333333333333</v>
      </c>
      <c r="N69">
        <v>931593.5</v>
      </c>
    </row>
    <row r="70" spans="6:17" x14ac:dyDescent="0.25">
      <c r="F70" t="s">
        <v>310</v>
      </c>
      <c r="G70">
        <v>4500</v>
      </c>
      <c r="H70">
        <v>8.5</v>
      </c>
      <c r="I70">
        <v>2254.25</v>
      </c>
    </row>
    <row r="71" spans="6:17" ht="15.75" thickBot="1" x14ac:dyDescent="0.3">
      <c r="F71" t="s">
        <v>311</v>
      </c>
      <c r="G71">
        <v>12500000</v>
      </c>
      <c r="H71">
        <v>0.5</v>
      </c>
      <c r="I71">
        <v>10891190.916666666</v>
      </c>
      <c r="K71" s="86" t="s">
        <v>321</v>
      </c>
      <c r="L71" s="86"/>
      <c r="M71" s="86"/>
      <c r="N71" s="86"/>
    </row>
    <row r="72" spans="6:17" x14ac:dyDescent="0.25">
      <c r="K72" t="s">
        <v>308</v>
      </c>
      <c r="L72">
        <v>6</v>
      </c>
      <c r="M72">
        <v>6</v>
      </c>
    </row>
    <row r="73" spans="6:17" ht="15.75" thickBot="1" x14ac:dyDescent="0.3">
      <c r="F73" s="86" t="s">
        <v>321</v>
      </c>
      <c r="G73" s="86"/>
      <c r="H73" s="86"/>
      <c r="I73" s="86"/>
      <c r="K73" t="s">
        <v>309</v>
      </c>
      <c r="L73">
        <v>25000</v>
      </c>
      <c r="M73">
        <v>151</v>
      </c>
    </row>
    <row r="74" spans="6:17" x14ac:dyDescent="0.25">
      <c r="F74" t="s">
        <v>308</v>
      </c>
      <c r="G74">
        <v>4</v>
      </c>
      <c r="H74">
        <v>4</v>
      </c>
      <c r="K74" t="s">
        <v>310</v>
      </c>
      <c r="L74">
        <v>4166.666666666667</v>
      </c>
      <c r="M74">
        <v>25.166666666666668</v>
      </c>
    </row>
    <row r="75" spans="6:17" x14ac:dyDescent="0.25">
      <c r="F75" t="s">
        <v>309</v>
      </c>
      <c r="G75">
        <v>22000</v>
      </c>
      <c r="H75">
        <v>51</v>
      </c>
      <c r="K75" t="s">
        <v>311</v>
      </c>
      <c r="L75">
        <v>8566666.666666666</v>
      </c>
      <c r="M75">
        <v>1028.1666666666667</v>
      </c>
    </row>
    <row r="76" spans="6:17" x14ac:dyDescent="0.25">
      <c r="F76" t="s">
        <v>310</v>
      </c>
      <c r="G76">
        <v>5500</v>
      </c>
      <c r="H76">
        <v>12.75</v>
      </c>
    </row>
    <row r="77" spans="6:17" x14ac:dyDescent="0.25">
      <c r="F77" t="s">
        <v>311</v>
      </c>
      <c r="G77">
        <v>7000000</v>
      </c>
      <c r="H77">
        <v>30.25</v>
      </c>
    </row>
    <row r="78" spans="6:17" ht="15.75" thickBot="1" x14ac:dyDescent="0.3">
      <c r="K78" t="s">
        <v>304</v>
      </c>
    </row>
    <row r="79" spans="6:17" x14ac:dyDescent="0.25">
      <c r="K79" s="83" t="s">
        <v>312</v>
      </c>
      <c r="L79" s="83" t="s">
        <v>313</v>
      </c>
      <c r="M79" s="83" t="s">
        <v>314</v>
      </c>
      <c r="N79" s="83" t="s">
        <v>315</v>
      </c>
      <c r="O79" s="83" t="s">
        <v>316</v>
      </c>
      <c r="P79" s="83" t="s">
        <v>317</v>
      </c>
      <c r="Q79" s="83" t="s">
        <v>318</v>
      </c>
    </row>
    <row r="80" spans="6:17" ht="15.75" thickBot="1" x14ac:dyDescent="0.3">
      <c r="F80" t="s">
        <v>304</v>
      </c>
      <c r="K80" t="s">
        <v>342</v>
      </c>
      <c r="L80">
        <v>18582874.083333358</v>
      </c>
      <c r="M80">
        <v>1</v>
      </c>
      <c r="N80">
        <v>18582874.083333358</v>
      </c>
      <c r="O80">
        <v>27.851372038704653</v>
      </c>
      <c r="P80">
        <v>7.4852184399067643E-4</v>
      </c>
      <c r="Q80">
        <v>5.3176550715787174</v>
      </c>
    </row>
    <row r="81" spans="6:17" x14ac:dyDescent="0.25">
      <c r="F81" s="83" t="s">
        <v>312</v>
      </c>
      <c r="G81" s="83" t="s">
        <v>313</v>
      </c>
      <c r="H81" s="83" t="s">
        <v>314</v>
      </c>
      <c r="I81" s="83" t="s">
        <v>315</v>
      </c>
      <c r="J81" s="83" t="s">
        <v>316</v>
      </c>
      <c r="K81" t="s">
        <v>324</v>
      </c>
      <c r="L81">
        <v>51456066.750000007</v>
      </c>
      <c r="M81">
        <v>1</v>
      </c>
      <c r="N81">
        <v>51456066.750000007</v>
      </c>
      <c r="O81">
        <v>77.120581685908945</v>
      </c>
      <c r="P81">
        <v>2.2186922532363673E-5</v>
      </c>
      <c r="Q81">
        <v>5.3176550715787174</v>
      </c>
    </row>
    <row r="82" spans="6:17" x14ac:dyDescent="0.25">
      <c r="F82" t="s">
        <v>342</v>
      </c>
      <c r="G82">
        <v>2017036.125</v>
      </c>
      <c r="H82">
        <v>1</v>
      </c>
      <c r="I82">
        <v>2017036.125</v>
      </c>
      <c r="J82">
        <v>0.47459621882176189</v>
      </c>
      <c r="K82" t="s">
        <v>343</v>
      </c>
      <c r="L82">
        <v>18917874.083333321</v>
      </c>
      <c r="M82">
        <v>1</v>
      </c>
      <c r="N82">
        <v>18917874.083333321</v>
      </c>
      <c r="O82">
        <v>28.353458507736541</v>
      </c>
      <c r="P82">
        <v>7.0694201111088013E-4</v>
      </c>
      <c r="Q82">
        <v>5.3176550715787174</v>
      </c>
    </row>
    <row r="83" spans="6:17" x14ac:dyDescent="0.25">
      <c r="F83" t="s">
        <v>324</v>
      </c>
      <c r="G83">
        <v>60219825.125</v>
      </c>
      <c r="H83">
        <v>1</v>
      </c>
      <c r="I83">
        <v>60219825.125</v>
      </c>
      <c r="J83">
        <v>14.169355198054637</v>
      </c>
      <c r="K83" t="s">
        <v>344</v>
      </c>
      <c r="L83">
        <v>5337726.0000000009</v>
      </c>
      <c r="M83">
        <v>8</v>
      </c>
      <c r="N83">
        <v>667215.75000000012</v>
      </c>
    </row>
    <row r="84" spans="6:17" x14ac:dyDescent="0.25">
      <c r="F84" t="s">
        <v>343</v>
      </c>
      <c r="G84">
        <v>1983036.125</v>
      </c>
      <c r="H84">
        <v>1</v>
      </c>
      <c r="I84">
        <v>1983036.125</v>
      </c>
      <c r="J84">
        <v>0.46659622752763474</v>
      </c>
    </row>
    <row r="85" spans="6:17" ht="15.75" thickBot="1" x14ac:dyDescent="0.3">
      <c r="F85" t="s">
        <v>344</v>
      </c>
      <c r="G85">
        <v>17000018.5</v>
      </c>
      <c r="H85">
        <v>4</v>
      </c>
      <c r="I85">
        <v>4250004.625</v>
      </c>
      <c r="K85" s="82" t="s">
        <v>321</v>
      </c>
      <c r="L85" s="82">
        <v>94294540.916666687</v>
      </c>
      <c r="M85" s="82">
        <v>11</v>
      </c>
      <c r="N85" s="82"/>
      <c r="O85" s="82"/>
      <c r="P85" s="82"/>
      <c r="Q85" s="82"/>
    </row>
    <row r="87" spans="6:17" ht="15.75" thickBot="1" x14ac:dyDescent="0.3">
      <c r="F87" s="82" t="s">
        <v>321</v>
      </c>
      <c r="G87" s="82">
        <v>81219915.875</v>
      </c>
      <c r="H87" s="82">
        <v>7</v>
      </c>
      <c r="I87" s="82"/>
      <c r="J87" s="82"/>
      <c r="K87" s="82"/>
      <c r="L87" s="82"/>
    </row>
    <row r="88" spans="6:17" x14ac:dyDescent="0.25">
      <c r="F88" t="s">
        <v>310</v>
      </c>
      <c r="G88">
        <v>5500</v>
      </c>
      <c r="H88">
        <v>12.75</v>
      </c>
    </row>
    <row r="89" spans="6:17" x14ac:dyDescent="0.25">
      <c r="F89" t="s">
        <v>311</v>
      </c>
      <c r="G89">
        <v>7000000</v>
      </c>
      <c r="H89">
        <v>30.25</v>
      </c>
    </row>
    <row r="92" spans="6:17" ht="15.75" thickBot="1" x14ac:dyDescent="0.3">
      <c r="F92" t="s">
        <v>304</v>
      </c>
    </row>
    <row r="93" spans="6:17" x14ac:dyDescent="0.25">
      <c r="F93" s="83" t="s">
        <v>312</v>
      </c>
      <c r="G93" s="83" t="s">
        <v>313</v>
      </c>
      <c r="H93" s="83" t="s">
        <v>314</v>
      </c>
      <c r="I93" s="83" t="s">
        <v>315</v>
      </c>
      <c r="J93" s="83" t="s">
        <v>316</v>
      </c>
      <c r="K93" s="83" t="s">
        <v>317</v>
      </c>
      <c r="L93" s="83" t="s">
        <v>318</v>
      </c>
    </row>
    <row r="94" spans="6:17" x14ac:dyDescent="0.25">
      <c r="F94" t="s">
        <v>342</v>
      </c>
      <c r="G94">
        <v>10505545.375</v>
      </c>
      <c r="H94">
        <v>3</v>
      </c>
      <c r="I94">
        <v>3501848.4583333335</v>
      </c>
      <c r="J94">
        <v>65535</v>
      </c>
      <c r="K94" t="e">
        <v>#NUM!</v>
      </c>
      <c r="L94" t="e">
        <v>#NUM!</v>
      </c>
    </row>
    <row r="95" spans="6:17" x14ac:dyDescent="0.25">
      <c r="F95" t="s">
        <v>324</v>
      </c>
      <c r="G95">
        <v>60219825.125</v>
      </c>
      <c r="H95">
        <v>1</v>
      </c>
      <c r="I95">
        <v>60219825.125</v>
      </c>
      <c r="J95">
        <v>65535</v>
      </c>
      <c r="K95" t="e">
        <v>#NUM!</v>
      </c>
      <c r="L95" t="e">
        <v>#NUM!</v>
      </c>
    </row>
    <row r="96" spans="6:17" x14ac:dyDescent="0.25">
      <c r="F96" t="s">
        <v>343</v>
      </c>
      <c r="G96">
        <v>10494545.375</v>
      </c>
      <c r="H96">
        <v>3</v>
      </c>
      <c r="I96">
        <v>3498181.7916666665</v>
      </c>
      <c r="J96">
        <v>65535</v>
      </c>
      <c r="K96" t="e">
        <v>#NUM!</v>
      </c>
      <c r="L96" t="e">
        <v>#NUM!</v>
      </c>
    </row>
    <row r="97" spans="5:12" x14ac:dyDescent="0.25">
      <c r="F97" t="s">
        <v>344</v>
      </c>
      <c r="G97">
        <v>0</v>
      </c>
      <c r="H97">
        <v>0</v>
      </c>
      <c r="I97">
        <v>65535</v>
      </c>
    </row>
    <row r="99" spans="5:12" ht="15.75" thickBot="1" x14ac:dyDescent="0.3">
      <c r="F99" s="82" t="s">
        <v>321</v>
      </c>
      <c r="G99" s="82">
        <v>81219915.875</v>
      </c>
      <c r="H99" s="82">
        <v>7</v>
      </c>
      <c r="I99" s="82"/>
      <c r="J99" s="82"/>
      <c r="K99" s="82"/>
      <c r="L99" s="82"/>
    </row>
    <row r="109" spans="5:12" x14ac:dyDescent="0.25">
      <c r="E109">
        <v>1</v>
      </c>
      <c r="F109">
        <v>90</v>
      </c>
      <c r="G109">
        <v>100</v>
      </c>
    </row>
    <row r="110" spans="5:12" x14ac:dyDescent="0.25">
      <c r="E110">
        <v>0</v>
      </c>
      <c r="F110">
        <v>80</v>
      </c>
      <c r="G110">
        <v>900</v>
      </c>
    </row>
    <row r="113" spans="5:10" x14ac:dyDescent="0.25">
      <c r="H113" t="s">
        <v>341</v>
      </c>
    </row>
    <row r="115" spans="5:10" x14ac:dyDescent="0.25">
      <c r="E115" t="s">
        <v>345</v>
      </c>
    </row>
    <row r="116" spans="5:10" ht="15.75" thickBot="1" x14ac:dyDescent="0.3"/>
    <row r="117" spans="5:10" x14ac:dyDescent="0.25">
      <c r="E117" s="87" t="s">
        <v>346</v>
      </c>
      <c r="F117" s="87"/>
    </row>
    <row r="118" spans="5:10" x14ac:dyDescent="0.25">
      <c r="E118" t="s">
        <v>347</v>
      </c>
      <c r="F118">
        <v>0.79960496010893722</v>
      </c>
    </row>
    <row r="119" spans="5:10" x14ac:dyDescent="0.25">
      <c r="E119" t="s">
        <v>348</v>
      </c>
      <c r="F119">
        <v>0.63936809223081514</v>
      </c>
    </row>
    <row r="120" spans="5:10" x14ac:dyDescent="0.25">
      <c r="E120" t="s">
        <v>349</v>
      </c>
      <c r="F120">
        <v>-2</v>
      </c>
    </row>
    <row r="121" spans="5:10" x14ac:dyDescent="0.25">
      <c r="E121" t="s">
        <v>330</v>
      </c>
      <c r="F121">
        <v>80.792558633962358</v>
      </c>
    </row>
    <row r="122" spans="5:10" ht="15.75" thickBot="1" x14ac:dyDescent="0.3">
      <c r="E122" s="82" t="s">
        <v>350</v>
      </c>
      <c r="F122" s="82">
        <v>1</v>
      </c>
    </row>
    <row r="124" spans="5:10" ht="15.75" thickBot="1" x14ac:dyDescent="0.3">
      <c r="E124" t="s">
        <v>304</v>
      </c>
    </row>
    <row r="125" spans="5:10" x14ac:dyDescent="0.25">
      <c r="E125" s="83"/>
      <c r="F125" s="83" t="s">
        <v>314</v>
      </c>
      <c r="G125" s="83" t="s">
        <v>313</v>
      </c>
      <c r="H125" s="83" t="s">
        <v>315</v>
      </c>
      <c r="I125" s="83" t="s">
        <v>316</v>
      </c>
      <c r="J125" s="83" t="s">
        <v>354</v>
      </c>
    </row>
    <row r="126" spans="5:10" x14ac:dyDescent="0.25">
      <c r="E126" t="s">
        <v>351</v>
      </c>
      <c r="F126">
        <v>2</v>
      </c>
      <c r="G126">
        <v>11572.562469377754</v>
      </c>
      <c r="H126">
        <v>5786.2812346888768</v>
      </c>
      <c r="I126">
        <v>1.7729104897729397</v>
      </c>
      <c r="J126" t="e">
        <v>#NUM!</v>
      </c>
    </row>
    <row r="127" spans="5:10" x14ac:dyDescent="0.25">
      <c r="E127" t="s">
        <v>352</v>
      </c>
      <c r="F127">
        <v>1</v>
      </c>
      <c r="G127">
        <v>6527.4375306222455</v>
      </c>
      <c r="H127">
        <v>6527.4375306222455</v>
      </c>
    </row>
    <row r="128" spans="5:10" ht="15.75" thickBot="1" x14ac:dyDescent="0.3">
      <c r="E128" s="82" t="s">
        <v>321</v>
      </c>
      <c r="F128" s="82">
        <v>3</v>
      </c>
      <c r="G128" s="82">
        <v>18100</v>
      </c>
      <c r="H128" s="82"/>
      <c r="I128" s="82"/>
      <c r="J128" s="82"/>
    </row>
    <row r="129" spans="5:14" ht="15.75" thickBot="1" x14ac:dyDescent="0.3"/>
    <row r="130" spans="5:14" x14ac:dyDescent="0.25">
      <c r="E130" s="83"/>
      <c r="F130" s="83" t="s">
        <v>355</v>
      </c>
      <c r="G130" s="83" t="s">
        <v>330</v>
      </c>
      <c r="H130" s="83" t="s">
        <v>356</v>
      </c>
      <c r="I130" s="83" t="s">
        <v>317</v>
      </c>
      <c r="J130" s="83" t="s">
        <v>357</v>
      </c>
      <c r="K130" s="83" t="s">
        <v>358</v>
      </c>
      <c r="L130" s="83" t="s">
        <v>359</v>
      </c>
      <c r="M130" s="83" t="s">
        <v>360</v>
      </c>
      <c r="N130" s="83" t="s">
        <v>318</v>
      </c>
    </row>
    <row r="131" spans="5:14" x14ac:dyDescent="0.25">
      <c r="E131" t="s">
        <v>353</v>
      </c>
      <c r="L131">
        <v>-2.6076552502189503E-288</v>
      </c>
      <c r="M131">
        <v>2.6076552502189503E-288</v>
      </c>
      <c r="N131" t="e">
        <v>#NUM!</v>
      </c>
    </row>
    <row r="132" spans="5:14" x14ac:dyDescent="0.25">
      <c r="E132">
        <v>0</v>
      </c>
      <c r="F132">
        <v>0</v>
      </c>
      <c r="G132" t="e">
        <v>#N/A</v>
      </c>
      <c r="H132">
        <v>0</v>
      </c>
      <c r="I132">
        <v>1</v>
      </c>
      <c r="J132">
        <v>0</v>
      </c>
      <c r="K132">
        <v>0</v>
      </c>
      <c r="L132">
        <v>0</v>
      </c>
      <c r="M132">
        <v>0</v>
      </c>
      <c r="N132" t="e">
        <v>#NUM!</v>
      </c>
    </row>
    <row r="133" spans="5:14" ht="15.75" thickBot="1" x14ac:dyDescent="0.3">
      <c r="E133" s="82">
        <v>80</v>
      </c>
      <c r="F133" s="82">
        <v>0.11905928466438023</v>
      </c>
      <c r="G133" s="82">
        <v>8.9416952474277334E-2</v>
      </c>
      <c r="H133" s="82">
        <v>1.3315068493150686</v>
      </c>
      <c r="I133" s="82">
        <v>0.4100844959533565</v>
      </c>
      <c r="J133" s="82">
        <v>-1.0170908203585909</v>
      </c>
      <c r="K133" s="82">
        <v>1.2552093896873515</v>
      </c>
      <c r="L133" s="82">
        <v>-1.0170908203585909</v>
      </c>
      <c r="M133" s="82">
        <v>1.2552093896873515</v>
      </c>
      <c r="N133" t="e">
        <v>#NUM!</v>
      </c>
    </row>
    <row r="134" spans="5:14" x14ac:dyDescent="0.25">
      <c r="E134">
        <v>900</v>
      </c>
    </row>
    <row r="136" spans="5:14" ht="15.75" thickBot="1" x14ac:dyDescent="0.3">
      <c r="N136" s="82"/>
    </row>
    <row r="137" spans="5:14" x14ac:dyDescent="0.25">
      <c r="E137" t="s">
        <v>361</v>
      </c>
      <c r="I137" t="s">
        <v>365</v>
      </c>
    </row>
    <row r="138" spans="5:14" ht="15.75" thickBot="1" x14ac:dyDescent="0.3"/>
    <row r="139" spans="5:14" x14ac:dyDescent="0.25">
      <c r="E139" s="83" t="s">
        <v>362</v>
      </c>
      <c r="F139" s="83" t="s">
        <v>363</v>
      </c>
      <c r="G139" s="83" t="s">
        <v>364</v>
      </c>
      <c r="I139" s="83" t="s">
        <v>366</v>
      </c>
      <c r="J139" s="83">
        <v>1</v>
      </c>
    </row>
    <row r="140" spans="5:14" ht="15.75" thickBot="1" x14ac:dyDescent="0.3">
      <c r="E140" s="82">
        <v>1</v>
      </c>
      <c r="F140" s="82">
        <v>107.15335619794222</v>
      </c>
      <c r="G140" s="82">
        <v>-17.153356197942216</v>
      </c>
      <c r="I140" s="82">
        <v>50</v>
      </c>
      <c r="J140" s="82">
        <v>90</v>
      </c>
    </row>
    <row r="149" spans="6:9" x14ac:dyDescent="0.25">
      <c r="F149">
        <v>0</v>
      </c>
    </row>
    <row r="150" spans="6:9" x14ac:dyDescent="0.25">
      <c r="F150">
        <v>1</v>
      </c>
    </row>
    <row r="151" spans="6:9" x14ac:dyDescent="0.25">
      <c r="F151">
        <v>0</v>
      </c>
    </row>
    <row r="152" spans="6:9" x14ac:dyDescent="0.25">
      <c r="F152">
        <v>1</v>
      </c>
    </row>
    <row r="155" spans="6:9" x14ac:dyDescent="0.25">
      <c r="I155">
        <v>1</v>
      </c>
    </row>
    <row r="156" spans="6:9" x14ac:dyDescent="0.25">
      <c r="I156">
        <v>2</v>
      </c>
    </row>
    <row r="157" spans="6:9" x14ac:dyDescent="0.25">
      <c r="I157">
        <v>1</v>
      </c>
    </row>
    <row r="158" spans="6:9" x14ac:dyDescent="0.25">
      <c r="I158">
        <v>1</v>
      </c>
    </row>
    <row r="159" spans="6:9" x14ac:dyDescent="0.25">
      <c r="I159">
        <v>2</v>
      </c>
    </row>
    <row r="160" spans="6:9" x14ac:dyDescent="0.25">
      <c r="I160">
        <v>3</v>
      </c>
    </row>
    <row r="161" spans="4:21" x14ac:dyDescent="0.25">
      <c r="I161">
        <v>3</v>
      </c>
    </row>
    <row r="174" spans="4:21" x14ac:dyDescent="0.25">
      <c r="E174" s="90" t="s">
        <v>392</v>
      </c>
    </row>
    <row r="176" spans="4:21" x14ac:dyDescent="0.25">
      <c r="D176" t="s">
        <v>385</v>
      </c>
      <c r="E176" t="s">
        <v>372</v>
      </c>
      <c r="F176" t="s">
        <v>373</v>
      </c>
      <c r="G176" t="s">
        <v>374</v>
      </c>
      <c r="I176" s="15" t="s">
        <v>305</v>
      </c>
      <c r="J176" s="15"/>
      <c r="R176" s="15" t="s">
        <v>341</v>
      </c>
      <c r="S176" s="15"/>
      <c r="T176" s="15"/>
      <c r="U176" s="15"/>
    </row>
    <row r="177" spans="4:22" x14ac:dyDescent="0.25">
      <c r="D177" t="s">
        <v>85</v>
      </c>
      <c r="E177">
        <v>1000</v>
      </c>
      <c r="F177">
        <v>2000</v>
      </c>
      <c r="G177">
        <v>3000</v>
      </c>
    </row>
    <row r="178" spans="4:22" ht="15.75" thickBot="1" x14ac:dyDescent="0.3">
      <c r="D178" t="s">
        <v>85</v>
      </c>
      <c r="E178">
        <v>1001</v>
      </c>
      <c r="F178">
        <v>2001</v>
      </c>
      <c r="G178">
        <v>3001</v>
      </c>
      <c r="I178" t="s">
        <v>306</v>
      </c>
      <c r="R178" t="s">
        <v>306</v>
      </c>
      <c r="S178" t="s">
        <v>372</v>
      </c>
      <c r="T178" t="s">
        <v>373</v>
      </c>
      <c r="U178" t="s">
        <v>374</v>
      </c>
      <c r="V178" t="s">
        <v>321</v>
      </c>
    </row>
    <row r="179" spans="4:22" ht="15.75" thickBot="1" x14ac:dyDescent="0.3">
      <c r="D179" t="s">
        <v>85</v>
      </c>
      <c r="E179">
        <v>1002</v>
      </c>
      <c r="F179">
        <v>2002</v>
      </c>
      <c r="G179">
        <v>3002</v>
      </c>
      <c r="I179" s="83" t="s">
        <v>307</v>
      </c>
      <c r="J179" s="83" t="s">
        <v>308</v>
      </c>
      <c r="K179" s="83" t="s">
        <v>309</v>
      </c>
      <c r="L179" s="83" t="s">
        <v>310</v>
      </c>
      <c r="M179" s="83" t="s">
        <v>311</v>
      </c>
      <c r="R179" s="86" t="s">
        <v>85</v>
      </c>
      <c r="S179" s="86"/>
      <c r="T179" s="86"/>
      <c r="U179" s="86"/>
      <c r="V179" s="86"/>
    </row>
    <row r="180" spans="4:22" x14ac:dyDescent="0.25">
      <c r="D180" t="s">
        <v>85</v>
      </c>
      <c r="E180">
        <v>1003</v>
      </c>
      <c r="F180">
        <v>2003</v>
      </c>
      <c r="G180">
        <v>3003</v>
      </c>
      <c r="I180" t="s">
        <v>372</v>
      </c>
      <c r="J180">
        <v>10</v>
      </c>
      <c r="K180">
        <v>10045</v>
      </c>
      <c r="L180">
        <v>1004.5</v>
      </c>
      <c r="M180">
        <v>9.1666666666666661</v>
      </c>
      <c r="R180" t="s">
        <v>308</v>
      </c>
      <c r="S180">
        <v>5</v>
      </c>
      <c r="T180">
        <v>5</v>
      </c>
      <c r="U180">
        <v>5</v>
      </c>
      <c r="V180">
        <v>15</v>
      </c>
    </row>
    <row r="181" spans="4:22" x14ac:dyDescent="0.25">
      <c r="D181" t="s">
        <v>85</v>
      </c>
      <c r="E181">
        <v>1004</v>
      </c>
      <c r="F181">
        <v>2004</v>
      </c>
      <c r="G181">
        <v>3004</v>
      </c>
      <c r="I181" t="s">
        <v>373</v>
      </c>
      <c r="J181">
        <v>10</v>
      </c>
      <c r="K181">
        <v>20045</v>
      </c>
      <c r="L181">
        <v>2004.5</v>
      </c>
      <c r="M181">
        <v>9.1666666666666661</v>
      </c>
      <c r="R181" t="s">
        <v>309</v>
      </c>
      <c r="S181">
        <v>5010</v>
      </c>
      <c r="T181">
        <v>10010</v>
      </c>
      <c r="U181">
        <v>15010</v>
      </c>
      <c r="V181">
        <v>30030</v>
      </c>
    </row>
    <row r="182" spans="4:22" ht="15.75" thickBot="1" x14ac:dyDescent="0.3">
      <c r="D182" t="s">
        <v>87</v>
      </c>
      <c r="E182">
        <v>1005</v>
      </c>
      <c r="F182">
        <v>2005</v>
      </c>
      <c r="G182">
        <v>3005</v>
      </c>
      <c r="I182" s="82" t="s">
        <v>374</v>
      </c>
      <c r="J182" s="82">
        <v>10</v>
      </c>
      <c r="K182" s="82">
        <v>30045</v>
      </c>
      <c r="L182" s="82">
        <v>3004.5</v>
      </c>
      <c r="M182" s="82">
        <v>9.1666666666666661</v>
      </c>
      <c r="R182" t="s">
        <v>310</v>
      </c>
      <c r="S182">
        <v>1002</v>
      </c>
      <c r="T182">
        <v>2002</v>
      </c>
      <c r="U182">
        <v>3002</v>
      </c>
      <c r="V182">
        <v>2002</v>
      </c>
    </row>
    <row r="183" spans="4:22" x14ac:dyDescent="0.25">
      <c r="D183" t="s">
        <v>87</v>
      </c>
      <c r="E183">
        <v>1006</v>
      </c>
      <c r="F183">
        <v>2006</v>
      </c>
      <c r="G183">
        <v>3006</v>
      </c>
      <c r="R183" t="s">
        <v>311</v>
      </c>
      <c r="S183">
        <v>2.5</v>
      </c>
      <c r="T183">
        <v>2.5</v>
      </c>
      <c r="U183">
        <v>2.5</v>
      </c>
      <c r="V183">
        <v>714287.85714285716</v>
      </c>
    </row>
    <row r="184" spans="4:22" x14ac:dyDescent="0.25">
      <c r="D184" t="s">
        <v>87</v>
      </c>
      <c r="E184">
        <v>1007</v>
      </c>
      <c r="F184">
        <v>2007</v>
      </c>
      <c r="G184">
        <v>3007</v>
      </c>
    </row>
    <row r="185" spans="4:22" ht="15.75" thickBot="1" x14ac:dyDescent="0.3">
      <c r="D185" t="s">
        <v>87</v>
      </c>
      <c r="E185">
        <v>1008</v>
      </c>
      <c r="F185">
        <v>2008</v>
      </c>
      <c r="G185">
        <v>3008</v>
      </c>
      <c r="I185" t="s">
        <v>304</v>
      </c>
      <c r="R185" s="86" t="s">
        <v>87</v>
      </c>
      <c r="S185" s="86"/>
      <c r="T185" s="86"/>
      <c r="U185" s="86"/>
      <c r="V185" s="86"/>
    </row>
    <row r="186" spans="4:22" x14ac:dyDescent="0.25">
      <c r="D186" t="s">
        <v>87</v>
      </c>
      <c r="E186">
        <v>1009</v>
      </c>
      <c r="F186">
        <v>2009</v>
      </c>
      <c r="G186">
        <v>3009</v>
      </c>
      <c r="I186" s="83" t="s">
        <v>312</v>
      </c>
      <c r="J186" s="83" t="s">
        <v>313</v>
      </c>
      <c r="K186" s="83" t="s">
        <v>314</v>
      </c>
      <c r="L186" s="83" t="s">
        <v>315</v>
      </c>
      <c r="M186" s="83" t="s">
        <v>316</v>
      </c>
      <c r="N186" s="83" t="s">
        <v>317</v>
      </c>
      <c r="O186" s="83" t="s">
        <v>318</v>
      </c>
      <c r="R186" t="s">
        <v>308</v>
      </c>
      <c r="S186">
        <v>5</v>
      </c>
      <c r="T186">
        <v>5</v>
      </c>
      <c r="U186">
        <v>5</v>
      </c>
      <c r="V186">
        <v>15</v>
      </c>
    </row>
    <row r="187" spans="4:22" x14ac:dyDescent="0.25">
      <c r="I187" t="s">
        <v>319</v>
      </c>
      <c r="J187">
        <v>20000000</v>
      </c>
      <c r="K187">
        <v>2</v>
      </c>
      <c r="L187">
        <v>10000000</v>
      </c>
      <c r="M187">
        <v>1090909.0909090911</v>
      </c>
      <c r="N187" s="3">
        <v>5.6141983057943423E-67</v>
      </c>
      <c r="O187">
        <v>3.3541308285291991</v>
      </c>
      <c r="R187" t="s">
        <v>309</v>
      </c>
      <c r="S187">
        <v>5035</v>
      </c>
      <c r="T187">
        <v>10035</v>
      </c>
      <c r="U187">
        <v>15035</v>
      </c>
      <c r="V187">
        <v>30105</v>
      </c>
    </row>
    <row r="188" spans="4:22" x14ac:dyDescent="0.25">
      <c r="I188" t="s">
        <v>320</v>
      </c>
      <c r="J188">
        <v>247.5</v>
      </c>
      <c r="K188">
        <v>27</v>
      </c>
      <c r="L188">
        <v>9.1666666666666661</v>
      </c>
      <c r="R188" t="s">
        <v>310</v>
      </c>
      <c r="S188">
        <v>1007</v>
      </c>
      <c r="T188">
        <v>2007</v>
      </c>
      <c r="U188">
        <v>3007</v>
      </c>
      <c r="V188">
        <v>2007</v>
      </c>
    </row>
    <row r="189" spans="4:22" x14ac:dyDescent="0.25">
      <c r="R189" t="s">
        <v>311</v>
      </c>
      <c r="S189">
        <v>2.5</v>
      </c>
      <c r="T189">
        <v>2.5</v>
      </c>
      <c r="U189">
        <v>2.5</v>
      </c>
      <c r="V189">
        <v>714287.85714285716</v>
      </c>
    </row>
    <row r="190" spans="4:22" ht="15.75" thickBot="1" x14ac:dyDescent="0.3">
      <c r="I190" s="82" t="s">
        <v>321</v>
      </c>
      <c r="J190" s="82">
        <v>20000247.5</v>
      </c>
      <c r="K190" s="82">
        <v>29</v>
      </c>
      <c r="L190" s="82"/>
      <c r="M190" s="82"/>
      <c r="N190" s="82"/>
      <c r="O190" s="82"/>
    </row>
    <row r="191" spans="4:22" ht="15.75" thickBot="1" x14ac:dyDescent="0.3">
      <c r="R191" s="86" t="s">
        <v>321</v>
      </c>
      <c r="S191" s="86"/>
      <c r="T191" s="86"/>
      <c r="U191" s="86"/>
    </row>
    <row r="192" spans="4:22" x14ac:dyDescent="0.25">
      <c r="D192" t="s">
        <v>386</v>
      </c>
      <c r="E192" t="s">
        <v>372</v>
      </c>
      <c r="F192" t="s">
        <v>373</v>
      </c>
      <c r="G192" t="s">
        <v>374</v>
      </c>
      <c r="R192" t="s">
        <v>308</v>
      </c>
      <c r="S192">
        <v>10</v>
      </c>
      <c r="T192">
        <v>10</v>
      </c>
      <c r="U192">
        <v>10</v>
      </c>
    </row>
    <row r="193" spans="4:24" x14ac:dyDescent="0.25">
      <c r="D193" t="s">
        <v>375</v>
      </c>
      <c r="E193">
        <v>1000</v>
      </c>
      <c r="F193">
        <v>2000</v>
      </c>
      <c r="G193">
        <v>3000</v>
      </c>
      <c r="J193" s="15" t="s">
        <v>389</v>
      </c>
      <c r="K193" s="8" t="s">
        <v>390</v>
      </c>
      <c r="R193" t="s">
        <v>309</v>
      </c>
      <c r="S193">
        <v>10045</v>
      </c>
      <c r="T193">
        <v>20045</v>
      </c>
      <c r="U193">
        <v>30045</v>
      </c>
    </row>
    <row r="194" spans="4:24" x14ac:dyDescent="0.25">
      <c r="D194" t="s">
        <v>376</v>
      </c>
      <c r="E194">
        <v>1001</v>
      </c>
      <c r="F194">
        <v>2001</v>
      </c>
      <c r="G194">
        <v>3001</v>
      </c>
      <c r="R194" t="s">
        <v>310</v>
      </c>
      <c r="S194">
        <v>1004.5</v>
      </c>
      <c r="T194">
        <v>2004.5</v>
      </c>
      <c r="U194">
        <v>3004.5</v>
      </c>
    </row>
    <row r="195" spans="4:24" x14ac:dyDescent="0.25">
      <c r="D195" t="s">
        <v>377</v>
      </c>
      <c r="E195">
        <v>1002</v>
      </c>
      <c r="F195">
        <v>2002</v>
      </c>
      <c r="G195">
        <v>3002</v>
      </c>
      <c r="R195" t="s">
        <v>311</v>
      </c>
      <c r="S195">
        <v>9.1666666666666661</v>
      </c>
      <c r="T195">
        <v>9.1666666666666661</v>
      </c>
      <c r="U195">
        <v>9.1666666666666661</v>
      </c>
    </row>
    <row r="196" spans="4:24" x14ac:dyDescent="0.25">
      <c r="D196" t="s">
        <v>378</v>
      </c>
      <c r="E196">
        <v>1003</v>
      </c>
      <c r="F196">
        <v>2003</v>
      </c>
      <c r="G196">
        <v>3003</v>
      </c>
    </row>
    <row r="197" spans="4:24" x14ac:dyDescent="0.25">
      <c r="D197" t="s">
        <v>379</v>
      </c>
      <c r="E197">
        <v>1004</v>
      </c>
      <c r="F197">
        <v>2004</v>
      </c>
      <c r="G197">
        <v>3004</v>
      </c>
    </row>
    <row r="198" spans="4:24" ht="15.75" thickBot="1" x14ac:dyDescent="0.3">
      <c r="D198" t="s">
        <v>380</v>
      </c>
      <c r="E198">
        <v>1005</v>
      </c>
      <c r="F198">
        <v>2005</v>
      </c>
      <c r="G198">
        <v>3005</v>
      </c>
      <c r="R198" t="s">
        <v>304</v>
      </c>
    </row>
    <row r="199" spans="4:24" x14ac:dyDescent="0.25">
      <c r="D199" t="s">
        <v>381</v>
      </c>
      <c r="E199">
        <v>1006</v>
      </c>
      <c r="F199">
        <v>2006</v>
      </c>
      <c r="G199">
        <v>3006</v>
      </c>
      <c r="R199" s="83" t="s">
        <v>312</v>
      </c>
      <c r="S199" s="83" t="s">
        <v>313</v>
      </c>
      <c r="T199" s="83" t="s">
        <v>314</v>
      </c>
      <c r="U199" s="83" t="s">
        <v>315</v>
      </c>
      <c r="V199" s="83" t="s">
        <v>316</v>
      </c>
      <c r="W199" s="83" t="s">
        <v>317</v>
      </c>
      <c r="X199" s="83" t="s">
        <v>318</v>
      </c>
    </row>
    <row r="200" spans="4:24" x14ac:dyDescent="0.25">
      <c r="D200" t="s">
        <v>382</v>
      </c>
      <c r="E200">
        <v>1007</v>
      </c>
      <c r="F200">
        <v>2007</v>
      </c>
      <c r="G200">
        <v>3007</v>
      </c>
      <c r="R200" t="s">
        <v>342</v>
      </c>
      <c r="S200">
        <v>187.5</v>
      </c>
      <c r="T200">
        <v>1</v>
      </c>
      <c r="U200">
        <v>187.5</v>
      </c>
      <c r="V200">
        <v>75</v>
      </c>
      <c r="W200" s="3">
        <v>7.5389229108546023E-9</v>
      </c>
      <c r="X200">
        <v>4.2596772726902348</v>
      </c>
    </row>
    <row r="201" spans="4:24" x14ac:dyDescent="0.25">
      <c r="D201" t="s">
        <v>383</v>
      </c>
      <c r="E201">
        <v>1008</v>
      </c>
      <c r="F201">
        <v>2008</v>
      </c>
      <c r="G201">
        <v>3008</v>
      </c>
      <c r="R201" t="s">
        <v>324</v>
      </c>
      <c r="S201">
        <v>20000000</v>
      </c>
      <c r="T201">
        <v>2</v>
      </c>
      <c r="U201">
        <v>10000000</v>
      </c>
      <c r="V201">
        <v>4000000</v>
      </c>
      <c r="W201" s="3">
        <v>5.3142186849707316E-67</v>
      </c>
      <c r="X201">
        <v>3.4028261053501945</v>
      </c>
    </row>
    <row r="202" spans="4:24" x14ac:dyDescent="0.25">
      <c r="D202" t="s">
        <v>384</v>
      </c>
      <c r="E202">
        <v>1009</v>
      </c>
      <c r="F202">
        <v>2009</v>
      </c>
      <c r="G202">
        <v>3009</v>
      </c>
      <c r="R202" t="s">
        <v>343</v>
      </c>
      <c r="S202">
        <v>0</v>
      </c>
      <c r="T202">
        <v>2</v>
      </c>
      <c r="U202">
        <v>0</v>
      </c>
      <c r="V202">
        <v>0</v>
      </c>
      <c r="W202" s="3">
        <v>1</v>
      </c>
      <c r="X202">
        <v>3.4028261053501945</v>
      </c>
    </row>
    <row r="203" spans="4:24" x14ac:dyDescent="0.25">
      <c r="R203" t="s">
        <v>344</v>
      </c>
      <c r="S203">
        <v>60</v>
      </c>
      <c r="T203">
        <v>24</v>
      </c>
      <c r="U203">
        <v>2.5</v>
      </c>
    </row>
    <row r="205" spans="4:24" ht="15.75" thickBot="1" x14ac:dyDescent="0.3">
      <c r="E205" s="15" t="s">
        <v>322</v>
      </c>
      <c r="F205" s="15"/>
      <c r="R205" s="82" t="s">
        <v>321</v>
      </c>
      <c r="S205" s="82">
        <v>20000247.5</v>
      </c>
      <c r="T205" s="82">
        <v>29</v>
      </c>
      <c r="U205" s="82"/>
      <c r="V205" s="82"/>
      <c r="W205" s="82"/>
      <c r="X205" s="82"/>
    </row>
    <row r="206" spans="4:24" ht="15.75" thickBot="1" x14ac:dyDescent="0.3"/>
    <row r="207" spans="4:24" x14ac:dyDescent="0.25">
      <c r="E207" s="83" t="s">
        <v>306</v>
      </c>
      <c r="F207" s="83" t="s">
        <v>308</v>
      </c>
      <c r="G207" s="83" t="s">
        <v>309</v>
      </c>
      <c r="H207" s="83" t="s">
        <v>310</v>
      </c>
      <c r="I207" s="83" t="s">
        <v>311</v>
      </c>
    </row>
    <row r="208" spans="4:24" x14ac:dyDescent="0.25">
      <c r="E208" t="s">
        <v>375</v>
      </c>
      <c r="F208">
        <v>3</v>
      </c>
      <c r="G208">
        <v>6000</v>
      </c>
      <c r="H208">
        <v>2000</v>
      </c>
      <c r="I208">
        <v>1000000</v>
      </c>
    </row>
    <row r="209" spans="5:22" x14ac:dyDescent="0.25">
      <c r="E209" t="s">
        <v>376</v>
      </c>
      <c r="F209">
        <v>3</v>
      </c>
      <c r="G209">
        <v>6003</v>
      </c>
      <c r="H209">
        <v>2001</v>
      </c>
      <c r="I209">
        <v>1000000</v>
      </c>
    </row>
    <row r="210" spans="5:22" x14ac:dyDescent="0.25">
      <c r="E210" t="s">
        <v>377</v>
      </c>
      <c r="F210">
        <v>3</v>
      </c>
      <c r="G210">
        <v>6006</v>
      </c>
      <c r="H210">
        <v>2002</v>
      </c>
      <c r="I210">
        <v>1000000</v>
      </c>
    </row>
    <row r="211" spans="5:22" x14ac:dyDescent="0.25">
      <c r="E211" t="s">
        <v>378</v>
      </c>
      <c r="F211">
        <v>3</v>
      </c>
      <c r="G211">
        <v>6009</v>
      </c>
      <c r="H211">
        <v>2003</v>
      </c>
      <c r="I211">
        <v>1000000</v>
      </c>
      <c r="T211" s="15" t="s">
        <v>391</v>
      </c>
      <c r="U211" s="15"/>
      <c r="V211" s="8" t="s">
        <v>390</v>
      </c>
    </row>
    <row r="212" spans="5:22" x14ac:dyDescent="0.25">
      <c r="E212" t="s">
        <v>379</v>
      </c>
      <c r="F212">
        <v>3</v>
      </c>
      <c r="G212">
        <v>6012</v>
      </c>
      <c r="H212">
        <v>2004</v>
      </c>
      <c r="I212">
        <v>1000000</v>
      </c>
    </row>
    <row r="213" spans="5:22" x14ac:dyDescent="0.25">
      <c r="E213" t="s">
        <v>380</v>
      </c>
      <c r="F213">
        <v>3</v>
      </c>
      <c r="G213">
        <v>6015</v>
      </c>
      <c r="H213">
        <v>2005</v>
      </c>
      <c r="I213">
        <v>1000000</v>
      </c>
    </row>
    <row r="214" spans="5:22" x14ac:dyDescent="0.25">
      <c r="E214" t="s">
        <v>381</v>
      </c>
      <c r="F214">
        <v>3</v>
      </c>
      <c r="G214">
        <v>6018</v>
      </c>
      <c r="H214">
        <v>2006</v>
      </c>
      <c r="I214">
        <v>1000000</v>
      </c>
    </row>
    <row r="215" spans="5:22" x14ac:dyDescent="0.25">
      <c r="E215" t="s">
        <v>382</v>
      </c>
      <c r="F215">
        <v>3</v>
      </c>
      <c r="G215">
        <v>6021</v>
      </c>
      <c r="H215">
        <v>2007</v>
      </c>
      <c r="I215">
        <v>1000000</v>
      </c>
    </row>
    <row r="216" spans="5:22" x14ac:dyDescent="0.25">
      <c r="E216" t="s">
        <v>383</v>
      </c>
      <c r="F216">
        <v>3</v>
      </c>
      <c r="G216">
        <v>6024</v>
      </c>
      <c r="H216">
        <v>2008</v>
      </c>
      <c r="I216">
        <v>1000000</v>
      </c>
    </row>
    <row r="217" spans="5:22" x14ac:dyDescent="0.25">
      <c r="E217" t="s">
        <v>384</v>
      </c>
      <c r="F217">
        <v>3</v>
      </c>
      <c r="G217">
        <v>6027</v>
      </c>
      <c r="H217">
        <v>2009</v>
      </c>
      <c r="I217">
        <v>1000000</v>
      </c>
    </row>
    <row r="219" spans="5:22" x14ac:dyDescent="0.25">
      <c r="E219" t="s">
        <v>372</v>
      </c>
      <c r="F219">
        <v>10</v>
      </c>
      <c r="G219">
        <v>10045</v>
      </c>
      <c r="H219">
        <v>1004.5</v>
      </c>
      <c r="I219">
        <v>9.1666666666666661</v>
      </c>
    </row>
    <row r="220" spans="5:22" x14ac:dyDescent="0.25">
      <c r="E220" t="s">
        <v>373</v>
      </c>
      <c r="F220">
        <v>10</v>
      </c>
      <c r="G220">
        <v>20045</v>
      </c>
      <c r="H220">
        <v>2004.5</v>
      </c>
      <c r="I220">
        <v>9.1666666666666661</v>
      </c>
    </row>
    <row r="221" spans="5:22" ht="15.75" thickBot="1" x14ac:dyDescent="0.3">
      <c r="E221" s="82" t="s">
        <v>374</v>
      </c>
      <c r="F221" s="82">
        <v>10</v>
      </c>
      <c r="G221" s="82">
        <v>30045</v>
      </c>
      <c r="H221" s="82">
        <v>3004.5</v>
      </c>
      <c r="I221" s="82">
        <v>9.1666666666666661</v>
      </c>
    </row>
    <row r="224" spans="5:22" ht="15.75" thickBot="1" x14ac:dyDescent="0.3">
      <c r="E224" t="s">
        <v>304</v>
      </c>
    </row>
    <row r="225" spans="3:13" x14ac:dyDescent="0.25">
      <c r="E225" s="83" t="s">
        <v>312</v>
      </c>
      <c r="F225" s="83" t="s">
        <v>313</v>
      </c>
      <c r="G225" s="83" t="s">
        <v>314</v>
      </c>
      <c r="H225" s="83" t="s">
        <v>315</v>
      </c>
      <c r="I225" s="83" t="s">
        <v>316</v>
      </c>
      <c r="J225" s="83" t="s">
        <v>317</v>
      </c>
      <c r="K225" s="83" t="s">
        <v>318</v>
      </c>
    </row>
    <row r="226" spans="3:13" x14ac:dyDescent="0.25">
      <c r="E226" t="s">
        <v>323</v>
      </c>
      <c r="F226">
        <v>247.5</v>
      </c>
      <c r="G226">
        <v>9</v>
      </c>
      <c r="H226">
        <v>27.5</v>
      </c>
      <c r="I226" s="3">
        <v>65535</v>
      </c>
      <c r="J226" t="e">
        <v>#DIV/0!</v>
      </c>
      <c r="K226" s="3">
        <v>2.4562811491592669</v>
      </c>
      <c r="M226" t="s">
        <v>388</v>
      </c>
    </row>
    <row r="227" spans="3:13" x14ac:dyDescent="0.25">
      <c r="E227" t="s">
        <v>324</v>
      </c>
      <c r="F227">
        <v>20000000</v>
      </c>
      <c r="G227">
        <v>2</v>
      </c>
      <c r="H227">
        <v>10000000</v>
      </c>
      <c r="I227" s="3">
        <v>65535</v>
      </c>
      <c r="J227" t="e">
        <v>#DIV/0!</v>
      </c>
      <c r="K227" s="3">
        <v>3.5545571456617879</v>
      </c>
      <c r="M227" t="s">
        <v>388</v>
      </c>
    </row>
    <row r="228" spans="3:13" x14ac:dyDescent="0.25">
      <c r="E228" t="s">
        <v>325</v>
      </c>
      <c r="F228">
        <v>0</v>
      </c>
      <c r="G228">
        <v>18</v>
      </c>
      <c r="H228">
        <v>0</v>
      </c>
    </row>
    <row r="230" spans="3:13" ht="15.75" thickBot="1" x14ac:dyDescent="0.3">
      <c r="E230" s="82" t="s">
        <v>321</v>
      </c>
      <c r="F230" s="82">
        <v>20000247.5</v>
      </c>
      <c r="G230" s="82">
        <v>29</v>
      </c>
      <c r="H230" s="82"/>
      <c r="I230" s="82"/>
      <c r="J230" s="82"/>
      <c r="K230" s="82"/>
    </row>
    <row r="232" spans="3:13" x14ac:dyDescent="0.25">
      <c r="I232" s="15" t="s">
        <v>387</v>
      </c>
      <c r="J232" s="8" t="s">
        <v>388</v>
      </c>
    </row>
    <row r="240" spans="3:13" x14ac:dyDescent="0.25">
      <c r="C240" t="s">
        <v>386</v>
      </c>
      <c r="D240" t="s">
        <v>372</v>
      </c>
      <c r="E240" t="s">
        <v>373</v>
      </c>
      <c r="F240" t="s">
        <v>374</v>
      </c>
    </row>
    <row r="241" spans="3:10" x14ac:dyDescent="0.25">
      <c r="C241" t="s">
        <v>375</v>
      </c>
      <c r="D241">
        <v>1000</v>
      </c>
      <c r="E241">
        <v>2000</v>
      </c>
      <c r="F241">
        <v>3000</v>
      </c>
    </row>
    <row r="242" spans="3:10" x14ac:dyDescent="0.25">
      <c r="C242" t="s">
        <v>376</v>
      </c>
      <c r="D242">
        <v>1001</v>
      </c>
      <c r="E242">
        <v>2001</v>
      </c>
      <c r="F242">
        <v>3001</v>
      </c>
    </row>
    <row r="243" spans="3:10" x14ac:dyDescent="0.25">
      <c r="C243" t="s">
        <v>377</v>
      </c>
      <c r="D243">
        <v>1002</v>
      </c>
      <c r="E243">
        <v>2002</v>
      </c>
      <c r="F243">
        <v>3002</v>
      </c>
    </row>
    <row r="244" spans="3:10" x14ac:dyDescent="0.25">
      <c r="C244" t="s">
        <v>378</v>
      </c>
      <c r="D244">
        <v>1003</v>
      </c>
      <c r="E244">
        <v>2003</v>
      </c>
      <c r="F244">
        <v>3003</v>
      </c>
      <c r="H244">
        <f>FTEST(Table1719[p2],Table1719[p3])</f>
        <v>0.99999999999999978</v>
      </c>
    </row>
    <row r="245" spans="3:10" x14ac:dyDescent="0.25">
      <c r="C245" t="s">
        <v>379</v>
      </c>
      <c r="D245">
        <v>1004</v>
      </c>
      <c r="E245">
        <v>2004</v>
      </c>
      <c r="F245">
        <v>3004</v>
      </c>
    </row>
    <row r="246" spans="3:10" x14ac:dyDescent="0.25">
      <c r="C246" t="s">
        <v>380</v>
      </c>
      <c r="D246">
        <v>1005</v>
      </c>
      <c r="E246">
        <v>2005</v>
      </c>
      <c r="F246">
        <v>3005</v>
      </c>
    </row>
    <row r="247" spans="3:10" x14ac:dyDescent="0.25">
      <c r="C247" t="s">
        <v>381</v>
      </c>
      <c r="D247">
        <v>1006</v>
      </c>
      <c r="E247">
        <v>2006</v>
      </c>
      <c r="F247">
        <v>3006</v>
      </c>
    </row>
    <row r="248" spans="3:10" x14ac:dyDescent="0.25">
      <c r="C248" t="s">
        <v>382</v>
      </c>
      <c r="D248">
        <v>1007</v>
      </c>
      <c r="E248">
        <v>2007</v>
      </c>
      <c r="F248">
        <v>3007</v>
      </c>
    </row>
    <row r="249" spans="3:10" x14ac:dyDescent="0.25">
      <c r="C249" t="s">
        <v>383</v>
      </c>
      <c r="D249">
        <v>1008</v>
      </c>
      <c r="E249">
        <v>2008</v>
      </c>
      <c r="F249">
        <v>3008</v>
      </c>
    </row>
    <row r="250" spans="3:10" ht="18.75" x14ac:dyDescent="0.25">
      <c r="C250" t="s">
        <v>384</v>
      </c>
      <c r="D250">
        <v>1009</v>
      </c>
      <c r="E250">
        <v>2009</v>
      </c>
      <c r="F250">
        <v>3009</v>
      </c>
      <c r="J250" s="91" t="s">
        <v>396</v>
      </c>
    </row>
    <row r="251" spans="3:10" x14ac:dyDescent="0.25">
      <c r="J251" s="92" t="s">
        <v>397</v>
      </c>
    </row>
    <row r="252" spans="3:10" x14ac:dyDescent="0.25">
      <c r="J252" s="94" t="s">
        <v>398</v>
      </c>
    </row>
    <row r="253" spans="3:10" x14ac:dyDescent="0.25">
      <c r="J253" s="93" t="s">
        <v>399</v>
      </c>
    </row>
    <row r="258" spans="5:10" x14ac:dyDescent="0.25">
      <c r="H258">
        <f>TTEST(E260:E263,F260:F263,1,1)</f>
        <v>4.4617921888664668E-2</v>
      </c>
    </row>
    <row r="259" spans="5:10" x14ac:dyDescent="0.25">
      <c r="E259" t="s">
        <v>393</v>
      </c>
      <c r="F259" t="s">
        <v>394</v>
      </c>
    </row>
    <row r="260" spans="5:10" x14ac:dyDescent="0.25">
      <c r="E260">
        <v>2000</v>
      </c>
      <c r="F260">
        <v>8000</v>
      </c>
      <c r="H260" t="s">
        <v>395</v>
      </c>
    </row>
    <row r="261" spans="5:10" x14ac:dyDescent="0.25">
      <c r="E261">
        <v>4000</v>
      </c>
      <c r="F261">
        <v>6000</v>
      </c>
    </row>
    <row r="262" spans="5:10" x14ac:dyDescent="0.25">
      <c r="E262">
        <v>5000</v>
      </c>
      <c r="F262">
        <v>7000</v>
      </c>
    </row>
    <row r="263" spans="5:10" x14ac:dyDescent="0.25">
      <c r="E263">
        <v>1000</v>
      </c>
      <c r="F263">
        <v>2000</v>
      </c>
    </row>
    <row r="265" spans="5:10" x14ac:dyDescent="0.25">
      <c r="H265">
        <f>TTEST(E260:E263,F260:F263,2,1)</f>
        <v>8.9235843777329335E-2</v>
      </c>
    </row>
    <row r="269" spans="5:10" x14ac:dyDescent="0.25">
      <c r="J269">
        <f>TTEST(E260:E263,F260:F263,2,2)</f>
        <v>0.13661808225505406</v>
      </c>
    </row>
  </sheetData>
  <sortState xmlns:xlrd2="http://schemas.microsoft.com/office/spreadsheetml/2017/richdata2" ref="I139:J140">
    <sortCondition ref="J140"/>
  </sortState>
  <phoneticPr fontId="3" type="noConversion"/>
  <hyperlinks>
    <hyperlink ref="J252" r:id="rId1" display="https://www.cliffsnotes.com/study-notes/23698395" xr:uid="{E3BEBB0E-48CE-4BFE-BB2E-162576D1BE94}"/>
  </hyperlinks>
  <pageMargins left="0.7" right="0.7" top="0.75" bottom="0.75" header="0.3" footer="0.3"/>
  <drawing r:id="rId2"/>
  <tableParts count="6">
    <tablePart r:id="rId3"/>
    <tablePart r:id="rId4"/>
    <tablePart r:id="rId5"/>
    <tablePart r:id="rId6"/>
    <tablePart r:id="rId7"/>
    <tablePart r:id="rId8"/>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E75A7-8149-466F-B525-0779DD12CAC1}">
  <sheetPr codeName="Sheet23"/>
  <dimension ref="H44:N84"/>
  <sheetViews>
    <sheetView topLeftCell="A58" workbookViewId="0">
      <selection activeCell="O75" sqref="O75"/>
    </sheetView>
  </sheetViews>
  <sheetFormatPr defaultRowHeight="15" x14ac:dyDescent="0.25"/>
  <sheetData>
    <row r="44" spans="8:8" x14ac:dyDescent="0.25">
      <c r="H44" t="s">
        <v>469</v>
      </c>
    </row>
    <row r="76" spans="13:14" x14ac:dyDescent="0.25">
      <c r="M76" s="3" t="s">
        <v>471</v>
      </c>
      <c r="N76" s="3" t="s">
        <v>270</v>
      </c>
    </row>
    <row r="77" spans="13:14" x14ac:dyDescent="0.25">
      <c r="M77" t="str" cm="1">
        <f t="array" ref="M77:M84">_xlfn.UNIQUE(Table22[Category])</f>
        <v>Footwear</v>
      </c>
      <c r="N77">
        <f>SUMIF(Table22[Category],M77,Table22[Sales])</f>
        <v>6962</v>
      </c>
    </row>
    <row r="78" spans="13:14" x14ac:dyDescent="0.25">
      <c r="M78" t="str">
        <v>Clothing</v>
      </c>
      <c r="N78">
        <f>SUMIF(Table22[Category],M78,Table22[Sales])</f>
        <v>6904</v>
      </c>
    </row>
    <row r="79" spans="13:14" x14ac:dyDescent="0.25">
      <c r="M79" t="str">
        <v>Appliances</v>
      </c>
      <c r="N79">
        <f>SUMIF(Table22[Category],M79,Table22[Sales])</f>
        <v>3678</v>
      </c>
    </row>
    <row r="80" spans="13:14" x14ac:dyDescent="0.25">
      <c r="M80" t="str">
        <v>Electronics</v>
      </c>
      <c r="N80">
        <f>SUMIF(Table22[Category],M80,Table22[Sales])</f>
        <v>3921</v>
      </c>
    </row>
    <row r="81" spans="13:14" x14ac:dyDescent="0.25">
      <c r="M81" t="str">
        <v>Laptop</v>
      </c>
      <c r="N81">
        <f>SUMIF(Table22[Category],M81,Table22[Sales])</f>
        <v>110000</v>
      </c>
    </row>
    <row r="82" spans="13:14" x14ac:dyDescent="0.25">
      <c r="M82" t="str">
        <v>Mobile</v>
      </c>
      <c r="N82">
        <f>SUMIF(Table22[Category],M82,Table22[Sales])</f>
        <v>2000</v>
      </c>
    </row>
    <row r="83" spans="13:14" x14ac:dyDescent="0.25">
      <c r="M83" t="str">
        <v>Cell</v>
      </c>
    </row>
    <row r="84" spans="13:14" x14ac:dyDescent="0.25">
      <c r="M84" t="str">
        <v>z</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723C943E-CD2B-4C97-A031-009B85B49A04}">
  <ds:schemaRefs/>
</ds:datastoreItem>
</file>

<file path=customXml/itemProps2.xml><?xml version="1.0" encoding="utf-8"?>
<ds:datastoreItem xmlns:ds="http://schemas.openxmlformats.org/officeDocument/2006/customXml" ds:itemID="{8D919DB2-3E06-4C92-907B-2CBABA7A7F6E}">
  <ds:schemaRefs/>
</ds:datastoreItem>
</file>

<file path=customXml/itemProps3.xml><?xml version="1.0" encoding="utf-8"?>
<ds:datastoreItem xmlns:ds="http://schemas.openxmlformats.org/officeDocument/2006/customXml" ds:itemID="{75360F36-787F-43DC-9E90-8B003061A329}">
  <ds:schemaRefs/>
</ds:datastoreItem>
</file>

<file path=customXml/itemProps4.xml><?xml version="1.0" encoding="utf-8"?>
<ds:datastoreItem xmlns:ds="http://schemas.openxmlformats.org/officeDocument/2006/customXml" ds:itemID="{D7F515EB-98CE-4705-8421-D6D7BBCF76C1}">
  <ds:schemaRefs/>
</ds:datastoreItem>
</file>

<file path=customXml/itemProps5.xml><?xml version="1.0" encoding="utf-8"?>
<ds:datastoreItem xmlns:ds="http://schemas.openxmlformats.org/officeDocument/2006/customXml" ds:itemID="{FDD7633F-8FCB-4172-BEBC-1FF014A11528}">
  <ds:schemaRefs/>
</ds:datastoreItem>
</file>

<file path=customXml/itemProps6.xml><?xml version="1.0" encoding="utf-8"?>
<ds:datastoreItem xmlns:ds="http://schemas.openxmlformats.org/officeDocument/2006/customXml" ds:itemID="{0571559B-05A5-4A69-85D2-AE116BC0783C}">
  <ds:schemaRefs/>
</ds:datastoreItem>
</file>

<file path=customXml/itemProps7.xml><?xml version="1.0" encoding="utf-8"?>
<ds:datastoreItem xmlns:ds="http://schemas.openxmlformats.org/officeDocument/2006/customXml" ds:itemID="{78610FCF-F227-417C-9E72-5C438DDAF87E}">
  <ds:schemaRefs/>
</ds:datastoreItem>
</file>

<file path=customXml/itemProps8.xml><?xml version="1.0" encoding="utf-8"?>
<ds:datastoreItem xmlns:ds="http://schemas.openxmlformats.org/officeDocument/2006/customXml" ds:itemID="{8A2D9BA2-2C42-46F0-87AC-6900C30403B9}">
  <ds:schemaRefs/>
</ds:datastoreItem>
</file>

<file path=customXml/itemProps9.xml><?xml version="1.0" encoding="utf-8"?>
<ds:datastoreItem xmlns:ds="http://schemas.openxmlformats.org/officeDocument/2006/customXml" ds:itemID="{3BEC293D-4BE0-429F-91FE-9805776DD101}">
  <ds:schemaRefs/>
</ds:datastoreItem>
</file>

<file path=customXml/itemProps10.xml><?xml version="1.0" encoding="utf-8"?>
<ds:datastoreItem xmlns:ds="http://schemas.openxmlformats.org/officeDocument/2006/customXml" ds:itemID="{96F6E1EE-604E-43F6-B3B1-D3CA7EF6E020}">
  <ds:schemaRefs/>
</ds:datastoreItem>
</file>

<file path=customXml/itemProps11.xml><?xml version="1.0" encoding="utf-8"?>
<ds:datastoreItem xmlns:ds="http://schemas.openxmlformats.org/officeDocument/2006/customXml" ds:itemID="{9B0386DF-AFDB-4126-8C61-ABE918FBE660}">
  <ds:schemaRefs/>
</ds:datastoreItem>
</file>

<file path=customXml/itemProps12.xml><?xml version="1.0" encoding="utf-8"?>
<ds:datastoreItem xmlns:ds="http://schemas.openxmlformats.org/officeDocument/2006/customXml" ds:itemID="{C34B3418-3734-4545-A502-0D159EA83A61}">
  <ds:schemaRefs/>
</ds:datastoreItem>
</file>

<file path=customXml/itemProps13.xml><?xml version="1.0" encoding="utf-8"?>
<ds:datastoreItem xmlns:ds="http://schemas.openxmlformats.org/officeDocument/2006/customXml" ds:itemID="{5B8CD5CD-1042-4FF6-8214-D5932E0293F4}">
  <ds:schemaRefs/>
</ds:datastoreItem>
</file>

<file path=customXml/itemProps14.xml><?xml version="1.0" encoding="utf-8"?>
<ds:datastoreItem xmlns:ds="http://schemas.openxmlformats.org/officeDocument/2006/customXml" ds:itemID="{E4DDE4FA-4A16-415E-9C74-5BA0A6F16C5F}">
  <ds:schemaRefs/>
</ds:datastoreItem>
</file>

<file path=customXml/itemProps15.xml><?xml version="1.0" encoding="utf-8"?>
<ds:datastoreItem xmlns:ds="http://schemas.openxmlformats.org/officeDocument/2006/customXml" ds:itemID="{5A31D1AE-EAF5-47D1-B318-8D31096694BE}">
  <ds:schemaRefs/>
</ds:datastoreItem>
</file>

<file path=customXml/itemProps16.xml><?xml version="1.0" encoding="utf-8"?>
<ds:datastoreItem xmlns:ds="http://schemas.openxmlformats.org/officeDocument/2006/customXml" ds:itemID="{FC2762E0-DC40-4952-B4A2-00E91DFF98B3}">
  <ds:schemaRefs/>
</ds:datastoreItem>
</file>

<file path=customXml/itemProps17.xml><?xml version="1.0" encoding="utf-8"?>
<ds:datastoreItem xmlns:ds="http://schemas.openxmlformats.org/officeDocument/2006/customXml" ds:itemID="{D1FA3A6A-82DF-4D5C-ACE3-4FC8871A2FA5}">
  <ds:schemaRefs/>
</ds:datastoreItem>
</file>

<file path=customXml/itemProps18.xml><?xml version="1.0" encoding="utf-8"?>
<ds:datastoreItem xmlns:ds="http://schemas.openxmlformats.org/officeDocument/2006/customXml" ds:itemID="{9CFF88BD-4777-401E-82EF-AFC7F5D4E57A}">
  <ds:schemaRefs/>
</ds:datastoreItem>
</file>

<file path=customXml/itemProps19.xml><?xml version="1.0" encoding="utf-8"?>
<ds:datastoreItem xmlns:ds="http://schemas.openxmlformats.org/officeDocument/2006/customXml" ds:itemID="{0C2B52F0-47B7-426D-A81C-E16FFE21BF35}">
  <ds:schemaRefs/>
</ds:datastoreItem>
</file>

<file path=customXml/itemProps20.xml><?xml version="1.0" encoding="utf-8"?>
<ds:datastoreItem xmlns:ds="http://schemas.openxmlformats.org/officeDocument/2006/customXml" ds:itemID="{4E1839F9-87A6-4303-AA51-331DC39D9E7D}">
  <ds:schemaRefs/>
</ds:datastoreItem>
</file>

<file path=customXml/itemProps21.xml><?xml version="1.0" encoding="utf-8"?>
<ds:datastoreItem xmlns:ds="http://schemas.openxmlformats.org/officeDocument/2006/customXml" ds:itemID="{D35F00F1-7A54-4A2E-876B-50B66E0A235B}">
  <ds:schemaRefs/>
</ds:datastoreItem>
</file>

<file path=customXml/itemProps22.xml><?xml version="1.0" encoding="utf-8"?>
<ds:datastoreItem xmlns:ds="http://schemas.openxmlformats.org/officeDocument/2006/customXml" ds:itemID="{2E9E9ECF-E5A4-4F58-8618-6E9193BAABA7}">
  <ds:schemaRefs/>
</ds:datastoreItem>
</file>

<file path=customXml/itemProps23.xml><?xml version="1.0" encoding="utf-8"?>
<ds:datastoreItem xmlns:ds="http://schemas.openxmlformats.org/officeDocument/2006/customXml" ds:itemID="{B1C2DC80-098A-4726-B908-48CC2BBD149E}">
  <ds:schemaRefs/>
</ds:datastoreItem>
</file>

<file path=customXml/itemProps24.xml><?xml version="1.0" encoding="utf-8"?>
<ds:datastoreItem xmlns:ds="http://schemas.openxmlformats.org/officeDocument/2006/customXml" ds:itemID="{0E23F700-B724-4C9A-9354-FCFB60B296C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formulasbasic</vt:lpstr>
      <vt:lpstr>Sheet2</vt:lpstr>
      <vt:lpstr>datefunctions</vt:lpstr>
      <vt:lpstr>stringfunctions</vt:lpstr>
      <vt:lpstr>mathfunctions</vt:lpstr>
      <vt:lpstr>lookups</vt:lpstr>
      <vt:lpstr>logical and error</vt:lpstr>
      <vt:lpstr>stats functions</vt:lpstr>
      <vt:lpstr>Formatting</vt:lpstr>
      <vt:lpstr>charts</vt:lpstr>
      <vt:lpstr>Sheet4</vt:lpstr>
      <vt:lpstr>ANOVA</vt:lpstr>
      <vt:lpstr>Sheet3</vt:lpstr>
      <vt:lpstr>Sheet5</vt:lpstr>
      <vt:lpstr>Sheet9</vt:lpstr>
      <vt:lpstr>Sheet10</vt:lpstr>
      <vt:lpstr>DashBoard</vt:lpstr>
      <vt:lpstr>Sheet7</vt:lpstr>
      <vt:lpstr>Sheet8</vt:lpstr>
      <vt:lpstr>Sheet1</vt:lpstr>
      <vt:lpstr>Report</vt:lpstr>
      <vt:lpstr>Sheet6</vt:lpstr>
      <vt:lpstr>Sheet13</vt:lpstr>
      <vt:lpstr>ANOVA1</vt:lpstr>
      <vt:lpstr>Sheet11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MITS</cp:lastModifiedBy>
  <dcterms:created xsi:type="dcterms:W3CDTF">2025-06-05T17:27:55Z</dcterms:created>
  <dcterms:modified xsi:type="dcterms:W3CDTF">2026-06-08T11:32:54Z</dcterms:modified>
</cp:coreProperties>
</file>