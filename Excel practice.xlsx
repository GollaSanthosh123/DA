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4F3D8361-F604-4DC1-9972-C937DAB616C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formulasbasic" sheetId="2" r:id="rId1"/>
    <sheet name="Sheet2" sheetId="3" r:id="rId2"/>
    <sheet name="datefunctions" sheetId="4" r:id="rId3"/>
    <sheet name="stringfunctions" sheetId="5" r:id="rId4"/>
    <sheet name="mathfunctions" sheetId="6" r:id="rId5"/>
    <sheet name="Sheet1" sheetId="1" r:id="rId6"/>
  </sheets>
  <definedNames>
    <definedName name="ExternalData_1" localSheetId="2" hidden="1">datefunctions!$A$1:$F$101</definedName>
    <definedName name="ExternalData_1" localSheetId="0" hidden="1">formulasbasic!$A$1:$F$101</definedName>
    <definedName name="ExternalData_1" localSheetId="4" hidden="1">mathfunctions!$A$1:$F$101</definedName>
    <definedName name="ExternalData_1" localSheetId="3" hidden="1">stringfunctions!$A$1:$F$101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" i="6" l="1"/>
  <c r="Q34" i="6"/>
  <c r="Q35" i="6"/>
  <c r="Q36" i="6"/>
  <c r="Q33" i="6"/>
  <c r="O34" i="6"/>
  <c r="O35" i="6"/>
  <c r="O36" i="6"/>
  <c r="O33" i="6"/>
  <c r="K34" i="6"/>
  <c r="K35" i="6"/>
  <c r="K36" i="6"/>
  <c r="K33" i="6"/>
  <c r="I34" i="6"/>
  <c r="I35" i="6"/>
  <c r="I36" i="6"/>
  <c r="I33" i="6"/>
  <c r="I38" i="6" s="1"/>
  <c r="J30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9" i="6"/>
  <c r="L10" i="6"/>
  <c r="R10" i="6" s="1"/>
  <c r="L11" i="6"/>
  <c r="R11" i="6" s="1"/>
  <c r="L12" i="6"/>
  <c r="R12" i="6" s="1"/>
  <c r="L13" i="6"/>
  <c r="R13" i="6" s="1"/>
  <c r="L14" i="6"/>
  <c r="R14" i="6" s="1"/>
  <c r="L15" i="6"/>
  <c r="P15" i="6" s="1"/>
  <c r="L16" i="6"/>
  <c r="P16" i="6" s="1"/>
  <c r="L17" i="6"/>
  <c r="P17" i="6" s="1"/>
  <c r="L18" i="6"/>
  <c r="R18" i="6" s="1"/>
  <c r="L19" i="6"/>
  <c r="R19" i="6" s="1"/>
  <c r="L20" i="6"/>
  <c r="R20" i="6" s="1"/>
  <c r="L21" i="6"/>
  <c r="R21" i="6" s="1"/>
  <c r="L22" i="6"/>
  <c r="R22" i="6" s="1"/>
  <c r="L23" i="6"/>
  <c r="R23" i="6" s="1"/>
  <c r="L24" i="6"/>
  <c r="R24" i="6" s="1"/>
  <c r="L9" i="6"/>
  <c r="R9" i="6" s="1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9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H9" i="5"/>
  <c r="J25" i="5"/>
  <c r="J26" i="5"/>
  <c r="J27" i="5"/>
  <c r="T15" i="5"/>
  <c r="T14" i="5"/>
  <c r="T13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12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H13" i="5"/>
  <c r="H14" i="5"/>
  <c r="H15" i="5"/>
  <c r="H16" i="5"/>
  <c r="H17" i="5"/>
  <c r="H18" i="5"/>
  <c r="H19" i="5"/>
  <c r="H20" i="5"/>
  <c r="H21" i="5"/>
  <c r="H12" i="5"/>
  <c r="J9" i="5"/>
  <c r="L9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12" i="5"/>
  <c r="R9" i="5"/>
  <c r="P10" i="5"/>
  <c r="P9" i="5"/>
  <c r="N9" i="5"/>
  <c r="H10" i="5"/>
  <c r="K15" i="2"/>
  <c r="N10" i="3" a="1"/>
  <c r="N10" i="3" s="1"/>
  <c r="R18" i="4"/>
  <c r="Q18" i="4"/>
  <c r="P18" i="4"/>
  <c r="O18" i="4"/>
  <c r="I25" i="4"/>
  <c r="M18" i="4"/>
  <c r="M10" i="4" s="1"/>
  <c r="K18" i="4"/>
  <c r="I18" i="4"/>
  <c r="K20" i="4" s="1"/>
  <c r="M12" i="4"/>
  <c r="I10" i="4"/>
  <c r="N11" i="3" a="1"/>
  <c r="N11" i="3" s="1"/>
  <c r="N12" i="3" a="1"/>
  <c r="N12" i="3" s="1"/>
  <c r="N13" i="3" a="1"/>
  <c r="N13" i="3"/>
  <c r="N14" i="3" a="1"/>
  <c r="N14" i="3" s="1"/>
  <c r="N15" i="3" a="1"/>
  <c r="N15" i="3" s="1"/>
  <c r="N16" i="3" a="1"/>
  <c r="N16" i="3"/>
  <c r="N17" i="3" a="1"/>
  <c r="N17" i="3" s="1"/>
  <c r="K10" i="3" a="1"/>
  <c r="K10" i="3" s="1"/>
  <c r="K11" i="3" a="1"/>
  <c r="K11" i="3"/>
  <c r="K12" i="3" a="1"/>
  <c r="K12" i="3" s="1"/>
  <c r="K13" i="3" a="1"/>
  <c r="K13" i="3"/>
  <c r="K14" i="3" a="1"/>
  <c r="K14" i="3"/>
  <c r="K15" i="3" a="1"/>
  <c r="K15" i="3"/>
  <c r="K16" i="3" a="1"/>
  <c r="K16" i="3"/>
  <c r="K17" i="3" a="1"/>
  <c r="K17" i="3" s="1"/>
  <c r="G23" i="3"/>
  <c r="G11" i="3"/>
  <c r="G12" i="3"/>
  <c r="G13" i="3"/>
  <c r="G14" i="3"/>
  <c r="G15" i="3"/>
  <c r="G16" i="3"/>
  <c r="G17" i="3"/>
  <c r="G10" i="3"/>
  <c r="U170" i="2"/>
  <c r="U166" i="2"/>
  <c r="U167" i="2"/>
  <c r="U168" i="2"/>
  <c r="U169" i="2"/>
  <c r="U165" i="2"/>
  <c r="W7" i="2"/>
  <c r="W6" i="2"/>
  <c r="W22" i="2"/>
  <c r="L2" i="2"/>
  <c r="T25" i="2" a="1"/>
  <c r="T25" i="2"/>
  <c r="U21" i="2"/>
  <c r="Y10" i="2"/>
  <c r="Y9" i="2"/>
  <c r="Y6" i="2"/>
  <c r="Y7" i="2"/>
  <c r="Y8" i="2"/>
  <c r="Y5" i="2"/>
  <c r="Y14" i="2"/>
  <c r="Y15" i="2"/>
  <c r="Y16" i="2"/>
  <c r="Y17" i="2"/>
  <c r="Y13" i="2"/>
  <c r="X14" i="2"/>
  <c r="X15" i="2"/>
  <c r="X16" i="2"/>
  <c r="X17" i="2"/>
  <c r="X13" i="2"/>
  <c r="U15" i="2"/>
  <c r="U14" i="2"/>
  <c r="U16" i="2" s="1"/>
  <c r="U18" i="2" s="1"/>
  <c r="U13" i="2"/>
  <c r="U12" i="2"/>
  <c r="W10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G2" i="2"/>
  <c r="H2" i="2" s="1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I38" i="2" s="1"/>
  <c r="G39" i="2"/>
  <c r="H39" i="2" s="1"/>
  <c r="I39" i="2" s="1"/>
  <c r="G40" i="2"/>
  <c r="H40" i="2" s="1"/>
  <c r="I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I49" i="2" s="1"/>
  <c r="G50" i="2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G63" i="2"/>
  <c r="H63" i="2" s="1"/>
  <c r="I63" i="2" s="1"/>
  <c r="G64" i="2"/>
  <c r="H64" i="2" s="1"/>
  <c r="I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I73" i="2" s="1"/>
  <c r="G74" i="2"/>
  <c r="G75" i="2"/>
  <c r="H75" i="2" s="1"/>
  <c r="G76" i="2"/>
  <c r="H76" i="2" s="1"/>
  <c r="I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I86" i="2" s="1"/>
  <c r="G87" i="2"/>
  <c r="H87" i="2" s="1"/>
  <c r="I87" i="2" s="1"/>
  <c r="G88" i="2"/>
  <c r="H88" i="2" s="1"/>
  <c r="I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I97" i="2" s="1"/>
  <c r="G98" i="2"/>
  <c r="G99" i="2"/>
  <c r="H99" i="2" s="1"/>
  <c r="G100" i="2"/>
  <c r="H100" i="2" s="1"/>
  <c r="I100" i="2" s="1"/>
  <c r="G101" i="2"/>
  <c r="H101" i="2" s="1"/>
  <c r="R17" i="6" l="1"/>
  <c r="R15" i="6"/>
  <c r="P14" i="6"/>
  <c r="P10" i="6"/>
  <c r="P9" i="6"/>
  <c r="P24" i="6"/>
  <c r="P23" i="6"/>
  <c r="P13" i="6"/>
  <c r="P12" i="6"/>
  <c r="P11" i="6"/>
  <c r="R16" i="6"/>
  <c r="P22" i="6"/>
  <c r="P21" i="6"/>
  <c r="P20" i="6"/>
  <c r="P19" i="6"/>
  <c r="P18" i="6"/>
  <c r="P19" i="4"/>
  <c r="O19" i="4"/>
  <c r="R19" i="4"/>
  <c r="W9" i="2"/>
  <c r="W8" i="2"/>
  <c r="I92" i="2"/>
  <c r="I93" i="2"/>
  <c r="I91" i="2"/>
  <c r="I90" i="2"/>
  <c r="I95" i="2"/>
  <c r="I94" i="2"/>
  <c r="I67" i="2"/>
  <c r="I66" i="2"/>
  <c r="I43" i="2"/>
  <c r="I42" i="2"/>
  <c r="I36" i="2"/>
  <c r="I35" i="2"/>
  <c r="I34" i="2"/>
  <c r="I33" i="2"/>
  <c r="I13" i="2"/>
  <c r="I12" i="2"/>
  <c r="I11" i="2"/>
  <c r="I10" i="2"/>
  <c r="I9" i="2"/>
  <c r="I81" i="2"/>
  <c r="I70" i="2"/>
  <c r="I69" i="2"/>
  <c r="I68" i="2"/>
  <c r="I24" i="2"/>
  <c r="I23" i="2"/>
  <c r="I22" i="2"/>
  <c r="I21" i="2"/>
  <c r="I20" i="2"/>
  <c r="I19" i="2"/>
  <c r="I71" i="2"/>
  <c r="I18" i="2"/>
  <c r="I59" i="2"/>
  <c r="I58" i="2"/>
  <c r="I57" i="2"/>
  <c r="I44" i="2"/>
  <c r="I60" i="2"/>
  <c r="I37" i="2"/>
  <c r="I54" i="2"/>
  <c r="I53" i="2"/>
  <c r="I89" i="2"/>
  <c r="I52" i="2"/>
  <c r="I85" i="2"/>
  <c r="I48" i="2"/>
  <c r="I17" i="2"/>
  <c r="I84" i="2"/>
  <c r="I47" i="2"/>
  <c r="I16" i="2"/>
  <c r="I83" i="2"/>
  <c r="I46" i="2"/>
  <c r="I15" i="2"/>
  <c r="I82" i="2"/>
  <c r="I45" i="2"/>
  <c r="I14" i="2"/>
  <c r="I77" i="2"/>
  <c r="I72" i="2"/>
  <c r="I41" i="2"/>
  <c r="I5" i="2"/>
  <c r="I78" i="2"/>
  <c r="I4" i="2"/>
  <c r="I30" i="2"/>
  <c r="I6" i="2"/>
  <c r="H62" i="2"/>
  <c r="I62" i="2" s="1"/>
  <c r="I65" i="2"/>
  <c r="I29" i="2"/>
  <c r="I101" i="2"/>
  <c r="I28" i="2"/>
  <c r="I2" i="2"/>
  <c r="I96" i="2"/>
  <c r="I61" i="2"/>
  <c r="I25" i="2"/>
  <c r="I80" i="2"/>
  <c r="I56" i="2"/>
  <c r="I32" i="2"/>
  <c r="I8" i="2"/>
  <c r="I79" i="2"/>
  <c r="I55" i="2"/>
  <c r="I31" i="2"/>
  <c r="I7" i="2"/>
  <c r="H74" i="2"/>
  <c r="I74" i="2" s="1"/>
  <c r="H50" i="2"/>
  <c r="I50" i="2" s="1"/>
  <c r="H26" i="2"/>
  <c r="I26" i="2" s="1"/>
  <c r="H98" i="2"/>
  <c r="I98" i="2" s="1"/>
  <c r="I99" i="2"/>
  <c r="I75" i="2"/>
  <c r="I51" i="2"/>
  <c r="I27" i="2"/>
  <c r="I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986FCC-966B-4066-BE8B-C53EF16BC12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23EE8F3-2F37-4C8F-8F10-6F93AC1EE02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72A973B9-89AA-4E05-97E8-AC60E2F0BF8C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C222DA3D-69DE-4A9D-A070-83AF71163895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<sst xmlns="http://schemas.openxmlformats.org/spreadsheetml/2006/main" count="1770" uniqueCount="190">
  <si>
    <t>Date</t>
  </si>
  <si>
    <t>Product</t>
  </si>
  <si>
    <t>Category</t>
  </si>
  <si>
    <t>Region</t>
  </si>
  <si>
    <t>Sales Amount</t>
  </si>
  <si>
    <t>Quantity Sold</t>
  </si>
  <si>
    <t>2025-02-09</t>
  </si>
  <si>
    <t>2025-03-18</t>
  </si>
  <si>
    <t>2025-01-19</t>
  </si>
  <si>
    <t>2025-02-06</t>
  </si>
  <si>
    <t>2025-02-05</t>
  </si>
  <si>
    <t>2025-04-28</t>
  </si>
  <si>
    <t>2025-03-04</t>
  </si>
  <si>
    <t>2025-04-17</t>
  </si>
  <si>
    <t>2025-03-19</t>
  </si>
  <si>
    <t>2025-05-01</t>
  </si>
  <si>
    <t>2025-01-20</t>
  </si>
  <si>
    <t>2025-03-23</t>
  </si>
  <si>
    <t>2025-02-11</t>
  </si>
  <si>
    <t>2025-04-20</t>
  </si>
  <si>
    <t>2025-03-06</t>
  </si>
  <si>
    <t>2025-03-25</t>
  </si>
  <si>
    <t>2025-03-16</t>
  </si>
  <si>
    <t>2025-03-05</t>
  </si>
  <si>
    <t>2025-02-15</t>
  </si>
  <si>
    <t>2025-01-24</t>
  </si>
  <si>
    <t>2025-01-06</t>
  </si>
  <si>
    <t>2025-01-03</t>
  </si>
  <si>
    <t>2025-02-13</t>
  </si>
  <si>
    <t>2025-01-22</t>
  </si>
  <si>
    <t>2025-03-28</t>
  </si>
  <si>
    <t>2025-01-13</t>
  </si>
  <si>
    <t>2025-02-28</t>
  </si>
  <si>
    <t>2025-04-15</t>
  </si>
  <si>
    <t>2025-02-04</t>
  </si>
  <si>
    <t>2025-03-31</t>
  </si>
  <si>
    <t>2025-02-26</t>
  </si>
  <si>
    <t>2025-04-01</t>
  </si>
  <si>
    <t>2025-04-02</t>
  </si>
  <si>
    <t>2025-02-16</t>
  </si>
  <si>
    <t>2025-03-09</t>
  </si>
  <si>
    <t>2025-02-07</t>
  </si>
  <si>
    <t>2025-02-17</t>
  </si>
  <si>
    <t>2025-03-12</t>
  </si>
  <si>
    <t>2025-03-03</t>
  </si>
  <si>
    <t>2025-03-30</t>
  </si>
  <si>
    <t>2025-02-19</t>
  </si>
  <si>
    <t>2025-04-07</t>
  </si>
  <si>
    <t>2025-04-19</t>
  </si>
  <si>
    <t>2025-01-01</t>
  </si>
  <si>
    <t>2025-02-25</t>
  </si>
  <si>
    <t>2025-01-12</t>
  </si>
  <si>
    <t>2025-02-14</t>
  </si>
  <si>
    <t>2025-01-29</t>
  </si>
  <si>
    <t>2025-02-18</t>
  </si>
  <si>
    <t>2025-03-08</t>
  </si>
  <si>
    <t>2025-01-02</t>
  </si>
  <si>
    <t>2025-01-23</t>
  </si>
  <si>
    <t>2025-02-01</t>
  </si>
  <si>
    <t>2025-03-11</t>
  </si>
  <si>
    <t>2025-02-22</t>
  </si>
  <si>
    <t>2025-04-14</t>
  </si>
  <si>
    <t>2025-01-09</t>
  </si>
  <si>
    <t>2025-04-09</t>
  </si>
  <si>
    <t>2025-01-08</t>
  </si>
  <si>
    <t>2025-02-02</t>
  </si>
  <si>
    <t>2025-01-10</t>
  </si>
  <si>
    <t>2025-02-24</t>
  </si>
  <si>
    <t>2025-01-11</t>
  </si>
  <si>
    <t>2025-04-30</t>
  </si>
  <si>
    <t>2025-03-15</t>
  </si>
  <si>
    <t>2025-04-18</t>
  </si>
  <si>
    <t>2025-02-23</t>
  </si>
  <si>
    <t>Sneakers</t>
  </si>
  <si>
    <t>Smartphone</t>
  </si>
  <si>
    <t>Shirt</t>
  </si>
  <si>
    <t>Microwave</t>
  </si>
  <si>
    <t>Trousers</t>
  </si>
  <si>
    <t>Blender</t>
  </si>
  <si>
    <t>Boots</t>
  </si>
  <si>
    <t>Laptop</t>
  </si>
  <si>
    <t>Footwear</t>
  </si>
  <si>
    <t>Electronics</t>
  </si>
  <si>
    <t>Clothing</t>
  </si>
  <si>
    <t>Appliances</t>
  </si>
  <si>
    <t>East</t>
  </si>
  <si>
    <t>South</t>
  </si>
  <si>
    <t>West</t>
  </si>
  <si>
    <t>North</t>
  </si>
  <si>
    <t>sum</t>
  </si>
  <si>
    <t>sqrt</t>
  </si>
  <si>
    <t>roung</t>
  </si>
  <si>
    <t>left</t>
  </si>
  <si>
    <t>right</t>
  </si>
  <si>
    <t>average</t>
  </si>
  <si>
    <t>min</t>
  </si>
  <si>
    <t>max</t>
  </si>
  <si>
    <t>median</t>
  </si>
  <si>
    <t>rank</t>
  </si>
  <si>
    <t>len</t>
  </si>
  <si>
    <t>santhosh</t>
  </si>
  <si>
    <t>vicky</t>
  </si>
  <si>
    <t>nandha</t>
  </si>
  <si>
    <t>uday</t>
  </si>
  <si>
    <t>vignesh</t>
  </si>
  <si>
    <t>meadian</t>
  </si>
  <si>
    <t>round avg</t>
  </si>
  <si>
    <t>first letter</t>
  </si>
  <si>
    <t>lastletter</t>
  </si>
  <si>
    <t>len of names</t>
  </si>
  <si>
    <t>rank avg</t>
  </si>
  <si>
    <t>dense rank</t>
  </si>
  <si>
    <t>filter by firstletter</t>
  </si>
  <si>
    <t>5+1</t>
  </si>
  <si>
    <t>networkdays</t>
  </si>
  <si>
    <t>today</t>
  </si>
  <si>
    <t>eomonth</t>
  </si>
  <si>
    <t>NETWORKDAYS</t>
  </si>
  <si>
    <t>EOMONTH</t>
  </si>
  <si>
    <t>YEAR</t>
  </si>
  <si>
    <t>MONTH</t>
  </si>
  <si>
    <t>DAY</t>
  </si>
  <si>
    <t>TODAY()</t>
  </si>
  <si>
    <t>WEEKDAY</t>
  </si>
  <si>
    <t>DATE</t>
  </si>
  <si>
    <t>find</t>
  </si>
  <si>
    <t>A</t>
  </si>
  <si>
    <t>P</t>
  </si>
  <si>
    <t>L</t>
  </si>
  <si>
    <t>E</t>
  </si>
  <si>
    <t>APPLE</t>
  </si>
  <si>
    <t>replace</t>
  </si>
  <si>
    <t>substitute</t>
  </si>
  <si>
    <t>mid</t>
  </si>
  <si>
    <t>search</t>
  </si>
  <si>
    <t>CONCAT</t>
  </si>
  <si>
    <t>ABC-2026-001</t>
  </si>
  <si>
    <t>SANTHOSH</t>
  </si>
  <si>
    <t xml:space="preserve"> SANTHU</t>
  </si>
  <si>
    <t>FIRSTNAME</t>
  </si>
  <si>
    <t>LASTNAME</t>
  </si>
  <si>
    <t>SHIV</t>
  </si>
  <si>
    <t>KESHAV</t>
  </si>
  <si>
    <t>ASHOK</t>
  </si>
  <si>
    <t>G</t>
  </si>
  <si>
    <t>FULLNAME</t>
  </si>
  <si>
    <t>UDAY</t>
  </si>
  <si>
    <t>KIRAN</t>
  </si>
  <si>
    <t>find--&gt; Case Sensitive</t>
  </si>
  <si>
    <t>Search--&gt;Not Case Sensitive</t>
  </si>
  <si>
    <t>sub</t>
  </si>
  <si>
    <t>product</t>
  </si>
  <si>
    <t>fact</t>
  </si>
  <si>
    <t>roundup</t>
  </si>
  <si>
    <t>roungdown</t>
  </si>
  <si>
    <t>sumifs</t>
  </si>
  <si>
    <t>mod</t>
  </si>
  <si>
    <t>sumif</t>
  </si>
  <si>
    <t>total sum</t>
  </si>
  <si>
    <t>tt sum</t>
  </si>
  <si>
    <t>total avg</t>
  </si>
  <si>
    <t>avgif</t>
  </si>
  <si>
    <t>avgifs</t>
  </si>
  <si>
    <t>Basic Formulas</t>
  </si>
  <si>
    <t>Median</t>
  </si>
  <si>
    <t>Left</t>
  </si>
  <si>
    <t>Right</t>
  </si>
  <si>
    <t>round</t>
  </si>
  <si>
    <t>Date Functions</t>
  </si>
  <si>
    <t>Date()</t>
  </si>
  <si>
    <t>NERWORDAYS()</t>
  </si>
  <si>
    <t>YEAR()</t>
  </si>
  <si>
    <t>MONTH()</t>
  </si>
  <si>
    <t>DAY()</t>
  </si>
  <si>
    <t>WEEKDAY()</t>
  </si>
  <si>
    <t>EOMONTH()</t>
  </si>
  <si>
    <t>String Funcitons</t>
  </si>
  <si>
    <t>Find</t>
  </si>
  <si>
    <t>Search</t>
  </si>
  <si>
    <t>Replace</t>
  </si>
  <si>
    <t>Sustitute</t>
  </si>
  <si>
    <t>Concat</t>
  </si>
  <si>
    <t>Mid</t>
  </si>
  <si>
    <t>math functions</t>
  </si>
  <si>
    <t>SQRT</t>
  </si>
  <si>
    <t>Fact</t>
  </si>
  <si>
    <t>MOD</t>
  </si>
  <si>
    <t>Roundup</t>
  </si>
  <si>
    <t>Rounddown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</si>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</sst>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4009]dd\ mmmm\ yy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3" borderId="0" xfId="0" applyFill="1"/>
    <xf numFmtId="0" fontId="2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4" fontId="0" fillId="2" borderId="2" xfId="0" applyNumberFormat="1" applyFill="1" applyBorder="1"/>
    <xf numFmtId="0" fontId="0" fillId="0" borderId="0" xfId="0" applyNumberFormat="1"/>
    <xf numFmtId="0" fontId="4" fillId="4" borderId="3" xfId="0" applyFont="1" applyFill="1" applyBorder="1"/>
    <xf numFmtId="0" fontId="0" fillId="5" borderId="0" xfId="0" applyFill="1"/>
    <xf numFmtId="0" fontId="0" fillId="6" borderId="0" xfId="0" applyFill="1"/>
    <xf numFmtId="0" fontId="4" fillId="7" borderId="3" xfId="0" applyFont="1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</cellXfs>
  <cellStyles count="1"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[$-14009]dd\ mmmm\ yyyy;@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1" defaultTableStyle="TableStyleMedium9" defaultPivotStyle="PivotStyleLight16">
    <tableStyle name="Table Style 1" pivot="0" count="0" xr9:uid="{F8A1E16F-AEC3-4B32-BC44-73CAF9F832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8FC826C-5FA7-457F-AE9F-20627B287DA7}" autoFormatId="16" applyNumberFormats="0" applyBorderFormats="0" applyFontFormats="0" applyPatternFormats="0" applyAlignmentFormats="0" applyWidthHeightFormats="0">
  <queryTableRefresh nextId="20" unboundColumnsRight="11">
    <queryTableFields count="17">
      <queryTableField id="1" name="Date" tableColumnId="1"/>
      <queryTableField id="2" name="Product" tableColumnId="2"/>
      <queryTableField id="3" name="Category" tableColumnId="3"/>
      <queryTableField id="4" name="Region" tableColumnId="4"/>
      <queryTableField id="5" name="Sales Amount" tableColumnId="5"/>
      <queryTableField id="6" name="Quantity Sold" tableColumnId="6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9" dataBound="0" tableColumnId="1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85B55FC-0183-4EF1-BD2C-F585055E7F62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roduct" tableColumnId="2"/>
      <queryTableField id="3" name="Category" tableColumnId="3"/>
      <queryTableField id="4" name="Region" tableColumnId="4"/>
      <queryTableField id="5" name="Sales Amount" tableColumnId="5"/>
      <queryTableField id="6" name="Quantity Sold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3F95441-E4E3-4512-A6D3-B208C7E8C22F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Date" tableColumnId="1"/>
      <queryTableField id="2" name="Product" tableColumnId="2"/>
      <queryTableField id="3" name="Category" tableColumnId="3"/>
      <queryTableField id="4" name="Region" tableColumnId="4"/>
      <queryTableField id="5" name="Sales Amount" tableColumnId="5"/>
      <queryTableField id="6" name="Quantity Sold" tableColumnId="6"/>
      <queryTableField id="7" dataBound="0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AB13CDB-D9DE-44AA-9CD0-298FEC244D64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roduct" tableColumnId="2"/>
      <queryTableField id="3" name="Category" tableColumnId="3"/>
      <queryTableField id="4" name="Region" tableColumnId="4"/>
      <queryTableField id="5" name="Sales Amount" tableColumnId="5"/>
      <queryTableField id="6" name="Quantity Sol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5616A1-A8DD-417F-BE4D-4E10C08C59A6}" name="basicformulas" displayName="basicformulas" ref="A1:Q101" tableType="queryTable" totalsRowShown="0">
  <autoFilter ref="A1:Q101" xr:uid="{BF5616A1-A8DD-417F-BE4D-4E10C08C59A6}"/>
  <tableColumns count="17">
    <tableColumn id="1" xr3:uid="{5E98949C-2599-40FE-A2A6-5C2890E31BDB}" uniqueName="1" name="Date" queryTableFieldId="1" dataDxfId="33"/>
    <tableColumn id="2" xr3:uid="{5CF231B3-6BCB-47CE-83D0-932E0C05B4B2}" uniqueName="2" name="Product" queryTableFieldId="2" dataDxfId="32"/>
    <tableColumn id="3" xr3:uid="{0288502D-0128-4E8A-ABB9-74CE33CD1DE4}" uniqueName="3" name="Category" queryTableFieldId="3" dataDxfId="31"/>
    <tableColumn id="4" xr3:uid="{8E1AED89-F49A-4E93-BEC8-0687B5FF4693}" uniqueName="4" name="Region" queryTableFieldId="4" dataDxfId="30"/>
    <tableColumn id="5" xr3:uid="{56DAF4E1-D791-441D-8A7B-07B20E94E0DC}" uniqueName="5" name="Sales Amount" queryTableFieldId="5"/>
    <tableColumn id="6" xr3:uid="{DF27BC26-351F-4FB6-8801-CA7A35CE13D0}" uniqueName="6" name="Quantity Sold" queryTableFieldId="6"/>
    <tableColumn id="8" xr3:uid="{93984C7C-9FCB-41BE-B39E-54645B18BA3B}" uniqueName="8" name="sqrt" queryTableFieldId="8" dataDxfId="29">
      <calculatedColumnFormula>SQRT(F:F)</calculatedColumnFormula>
    </tableColumn>
    <tableColumn id="9" xr3:uid="{592AB1A7-A7F2-451F-BB4B-FF3D08998CFA}" uniqueName="9" name="roung" queryTableFieldId="9" dataDxfId="28">
      <calculatedColumnFormula>ROUND(G:G,1)</calculatedColumnFormula>
    </tableColumn>
    <tableColumn id="10" xr3:uid="{8B23A83D-361D-4C4A-A8B3-CC853B9D4E70}" uniqueName="10" name="sum" queryTableFieldId="10" dataDxfId="27">
      <calculatedColumnFormula>SUM(basicformulas[[#This Row],[sqrt]:[roung]])</calculatedColumnFormula>
    </tableColumn>
    <tableColumn id="11" xr3:uid="{5AD4CAD3-237F-4F64-B4D4-E15F1A1BFB85}" uniqueName="11" name="left" queryTableFieldId="11" dataDxfId="26">
      <calculatedColumnFormula>LEFT(B:B,1)</calculatedColumnFormula>
    </tableColumn>
    <tableColumn id="12" xr3:uid="{79E5487C-7EF0-431E-8311-DB3D5C275D8B}" uniqueName="12" name="right" queryTableFieldId="12" dataDxfId="25">
      <calculatedColumnFormula>RIGHT(basicformulas[[#This Row],[Product]],5)</calculatedColumnFormula>
    </tableColumn>
    <tableColumn id="13" xr3:uid="{46D041DB-1946-4036-AD95-9763BFC4289F}" uniqueName="13" name="average" queryTableFieldId="13" dataDxfId="24">
      <calculatedColumnFormula>AVERAGE(F:F)</calculatedColumnFormula>
    </tableColumn>
    <tableColumn id="14" xr3:uid="{D73049D0-6C53-4182-8C13-C2675DB95CBB}" uniqueName="14" name="min" queryTableFieldId="14" dataDxfId="23">
      <calculatedColumnFormula>MIN(F:F)</calculatedColumnFormula>
    </tableColumn>
    <tableColumn id="15" xr3:uid="{40952FF9-9DB9-4B63-A929-D80C6AD9EA9C}" uniqueName="15" name="max" queryTableFieldId="15" dataDxfId="22">
      <calculatedColumnFormula>MAX(F:F)</calculatedColumnFormula>
    </tableColumn>
    <tableColumn id="16" xr3:uid="{60901457-AAED-482D-B8E8-8D68D558F736}" uniqueName="16" name="median" queryTableFieldId="16" dataDxfId="21">
      <calculatedColumnFormula>MEDIAN(E:E)</calculatedColumnFormula>
    </tableColumn>
    <tableColumn id="17" xr3:uid="{203734F2-FFD2-48C9-B35E-D5045FE2B5DE}" uniqueName="17" name="rank" queryTableFieldId="17" dataDxfId="20">
      <calculatedColumnFormula>RANK(basicformulas[[#This Row],[Quantity Sold]],F:F)</calculatedColumnFormula>
    </tableColumn>
    <tableColumn id="19" xr3:uid="{F682B332-4543-42B7-94F5-5B49A47D1499}" uniqueName="19" name="len" queryTableFieldId="19" dataDxfId="19">
      <calculatedColumnFormula>LEN(B:B)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DD8A4B-A31B-4301-A4EB-AAF21E8B3229}" name="Table1__2" displayName="Table1__2" ref="A1:F101" tableType="queryTable" totalsRowShown="0">
  <autoFilter ref="A1:F101" xr:uid="{93DD8A4B-A31B-4301-A4EB-AAF21E8B3229}"/>
  <tableColumns count="6">
    <tableColumn id="1" xr3:uid="{B4740CF7-434E-48C8-9B64-880D47B3384E}" uniqueName="1" name="Date" queryTableFieldId="1" dataDxfId="18"/>
    <tableColumn id="2" xr3:uid="{B606ED23-8447-4EEF-AAA9-300372F92C36}" uniqueName="2" name="Product" queryTableFieldId="2" dataDxfId="17"/>
    <tableColumn id="3" xr3:uid="{4F793CC9-24BD-4948-832A-EFA4328BD7AC}" uniqueName="3" name="Category" queryTableFieldId="3" dataDxfId="16"/>
    <tableColumn id="4" xr3:uid="{F3B2D610-330E-4135-88C3-7A4D75D02CA6}" uniqueName="4" name="Region" queryTableFieldId="4" dataDxfId="15"/>
    <tableColumn id="5" xr3:uid="{D5D55EBB-7A9A-4E69-BD15-2F28BD2393EB}" uniqueName="5" name="Sales Amount" queryTableFieldId="5"/>
    <tableColumn id="6" xr3:uid="{2F1B9427-6220-40F1-8F9B-5B5949455176}" uniqueName="6" name="Quantity Sold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EDA177-1437-4533-8F0E-621C4836CAD7}" name="Table1__3" displayName="Table1__3" ref="A1:G101" tableType="queryTable" totalsRowShown="0">
  <autoFilter ref="A1:G101" xr:uid="{3DEDA177-1437-4533-8F0E-621C4836CAD7}"/>
  <tableColumns count="7">
    <tableColumn id="1" xr3:uid="{3A008B78-FA59-4D0F-BE56-98A608EAC47D}" uniqueName="1" name="Date" queryTableFieldId="1" dataDxfId="10"/>
    <tableColumn id="2" xr3:uid="{60FDBE76-0D23-4145-A02C-7E6A33425F51}" uniqueName="2" name="Product" queryTableFieldId="2" dataDxfId="9"/>
    <tableColumn id="3" xr3:uid="{F43A21B0-8146-4847-86D7-36F8C01994A7}" uniqueName="3" name="Category" queryTableFieldId="3" dataDxfId="8"/>
    <tableColumn id="4" xr3:uid="{051E61B2-5345-4821-BAD9-93398864EB13}" uniqueName="4" name="Region" queryTableFieldId="4" dataDxfId="7"/>
    <tableColumn id="5" xr3:uid="{B78F6F64-78F7-467F-97EC-DA8E654197D4}" uniqueName="5" name="Sales Amount" queryTableFieldId="5"/>
    <tableColumn id="6" xr3:uid="{7A5617EB-D333-4016-A085-E1194ADE5A7D}" uniqueName="6" name="Quantity Sold" queryTableFieldId="6"/>
    <tableColumn id="7" xr3:uid="{ABF996B4-2E1C-41D9-A161-5A42FC51CDE9}" uniqueName="7" name="sub" queryTableFieldId="7" dataDxfId="4">
      <calculatedColumnFormula>SUBSTITUTE(C:C,"ing","s")</calculatedColumnFormula>
    </tableColumn>
  </tableColumns>
  <tableStyleInfo name="TableStyleMedium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C911D6C-DAF1-4601-A352-C75DCCE1BB81}" name="Table57" displayName="Table57" ref="R12:T15" totalsRowShown="0" headerRowDxfId="5">
  <autoFilter ref="R12:T15" xr:uid="{4C911D6C-DAF1-4601-A352-C75DCCE1BB81}"/>
  <tableColumns count="3">
    <tableColumn id="1" xr3:uid="{E3C646DB-61AD-4575-A1AE-94EF888C3E27}" name="FIRSTNAME"/>
    <tableColumn id="2" xr3:uid="{F9A0A712-EE8B-4FD8-BDBD-0B738CB92562}" name="LASTNAME"/>
    <tableColumn id="3" xr3:uid="{EC0CF226-A905-4CB0-A59D-7128345ECB29}" name="FULLNAME">
      <calculatedColumnFormula>_xlfn.CONCAT(R13," ",S13)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CC1EF04-2588-4D99-8AFD-C9BF2A9F2FB8}" name="Table5" displayName="Table5" ref="H24:J27" totalsRowShown="0" headerRowDxfId="6">
  <autoFilter ref="H24:J27" xr:uid="{ECC1EF04-2588-4D99-8AFD-C9BF2A9F2FB8}"/>
  <tableColumns count="3">
    <tableColumn id="1" xr3:uid="{CF141DA7-5C4C-49B3-935A-AF69D9D68762}" name="FIRSTNAME"/>
    <tableColumn id="2" xr3:uid="{FFC4B82D-19A4-46C3-A061-436B8D2881A2}" name="LASTNAME"/>
    <tableColumn id="3" xr3:uid="{BDC0A170-A791-454D-98FF-FFEEE640C7F6}" name="FULLNAME">
      <calculatedColumnFormula>_xlfn.CONCAT(H25," ",I25)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490585-E70B-4ECA-A267-471DB644206C}" name="Table1__4" displayName="Table1__4" ref="A1:F101" tableType="queryTable" totalsRowShown="0">
  <autoFilter ref="A1:F101" xr:uid="{B0490585-E70B-4ECA-A267-471DB644206C}"/>
  <tableColumns count="6">
    <tableColumn id="1" xr3:uid="{3B3973B3-FA73-4ED1-B64E-CA8DCCF6148C}" uniqueName="1" name="Date" queryTableFieldId="1" dataDxfId="3"/>
    <tableColumn id="2" xr3:uid="{AC10CA4F-E793-46CD-98CB-FB3C8896B684}" uniqueName="2" name="Product" queryTableFieldId="2" dataDxfId="2"/>
    <tableColumn id="3" xr3:uid="{290031EF-4229-4934-85B0-E00F20AC499F}" uniqueName="3" name="Category" queryTableFieldId="3" dataDxfId="1"/>
    <tableColumn id="4" xr3:uid="{36365261-CC3B-4BAC-90C2-5FB6FBBB0A15}" uniqueName="4" name="Region" queryTableFieldId="4" dataDxfId="0"/>
    <tableColumn id="5" xr3:uid="{3A7646DE-0448-4852-969E-D5FEFDB5368E}" uniqueName="5" name="Sales Amount" queryTableFieldId="5"/>
    <tableColumn id="6" xr3:uid="{0EE31715-483A-4192-9E98-14E634614076}" uniqueName="6" name="Quantity Sold" queryTableFieldId="6"/>
  </tableColumns>
  <tableStyleInfo name="TableStyleMedium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1" totalsRowShown="0" headerRowDxfId="14" headerRowBorderDxfId="13" tableBorderDxfId="12">
  <autoFilter ref="A1:F101" xr:uid="{00000000-0009-0000-0100-000001000000}"/>
  <tableColumns count="6">
    <tableColumn id="1" xr3:uid="{00000000-0010-0000-0000-000001000000}" name="Date" dataDxfId="11"/>
    <tableColumn id="2" xr3:uid="{00000000-0010-0000-0000-000002000000}" name="Product"/>
    <tableColumn id="3" xr3:uid="{00000000-0010-0000-0000-000003000000}" name="Category"/>
    <tableColumn id="4" xr3:uid="{00000000-0010-0000-0000-000004000000}" name="Region"/>
    <tableColumn id="5" xr3:uid="{00000000-0010-0000-0000-000005000000}" name="Sales Amount"/>
    <tableColumn id="6" xr3:uid="{00000000-0010-0000-0000-000006000000}" name="Quantity Sol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B623C-4BC8-4F59-84AB-18B517E314AA}">
  <dimension ref="A1:Y170"/>
  <sheetViews>
    <sheetView topLeftCell="G7" zoomScale="130" zoomScaleNormal="130" workbookViewId="0">
      <selection activeCell="S4" sqref="S4"/>
    </sheetView>
  </sheetViews>
  <sheetFormatPr defaultRowHeight="15" x14ac:dyDescent="0.25"/>
  <cols>
    <col min="1" max="1" width="11.140625" bestFit="1" customWidth="1"/>
    <col min="2" max="2" width="11.85546875" bestFit="1" customWidth="1"/>
    <col min="3" max="3" width="11.140625" bestFit="1" customWidth="1"/>
    <col min="4" max="4" width="9.42578125" bestFit="1" customWidth="1"/>
    <col min="5" max="5" width="15.5703125" bestFit="1" customWidth="1"/>
    <col min="6" max="6" width="15.42578125" bestFit="1" customWidth="1"/>
    <col min="15" max="15" width="14.5703125" customWidth="1"/>
    <col min="19" max="19" width="17.28515625" bestFit="1" customWidth="1"/>
    <col min="25" max="25" width="12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91</v>
      </c>
      <c r="I1" t="s">
        <v>89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</row>
    <row r="2" spans="1:25" x14ac:dyDescent="0.25">
      <c r="A2" s="2">
        <v>45697</v>
      </c>
      <c r="B2" t="s">
        <v>73</v>
      </c>
      <c r="C2" t="s">
        <v>81</v>
      </c>
      <c r="D2" t="s">
        <v>85</v>
      </c>
      <c r="E2">
        <v>4050</v>
      </c>
      <c r="F2">
        <v>18</v>
      </c>
      <c r="G2">
        <f t="shared" ref="G2:G33" si="0">SQRT(F:F)</f>
        <v>4.2426406871192848</v>
      </c>
      <c r="H2">
        <f t="shared" ref="H2:H33" si="1">ROUND(G:G,1)</f>
        <v>4.2</v>
      </c>
      <c r="I2">
        <f>SUM(basicformulas[[#This Row],[sqrt]:[roung]])</f>
        <v>8.4426406871192849</v>
      </c>
      <c r="J2" t="str">
        <f>LEFT(B:B,1)</f>
        <v>S</v>
      </c>
      <c r="K2" t="str">
        <f>RIGHT(basicformulas[[#This Row],[Product]],5)</f>
        <v>akers</v>
      </c>
      <c r="L2">
        <f>AVERAGE(F:F)</f>
        <v>9.9700000000000006</v>
      </c>
      <c r="M2">
        <f t="shared" ref="M2:M33" si="2">MIN(F:F)</f>
        <v>1</v>
      </c>
      <c r="N2">
        <f t="shared" ref="N2:N33" si="3">MAX(F:F)</f>
        <v>20</v>
      </c>
      <c r="O2">
        <f t="shared" ref="O2:O33" si="4">MEDIAN(E:E)</f>
        <v>4299</v>
      </c>
      <c r="P2">
        <f>RANK(basicformulas[[#This Row],[Quantity Sold]],F:F)</f>
        <v>10</v>
      </c>
      <c r="Q2">
        <f t="shared" ref="Q2:Q33" si="5">LEN(B:B)</f>
        <v>8</v>
      </c>
    </row>
    <row r="3" spans="1:25" x14ac:dyDescent="0.25">
      <c r="A3" s="2">
        <v>45734</v>
      </c>
      <c r="B3" t="s">
        <v>74</v>
      </c>
      <c r="C3" t="s">
        <v>82</v>
      </c>
      <c r="D3" t="s">
        <v>86</v>
      </c>
      <c r="E3">
        <v>7875</v>
      </c>
      <c r="F3">
        <v>15</v>
      </c>
      <c r="G3">
        <f t="shared" si="0"/>
        <v>3.872983346207417</v>
      </c>
      <c r="H3">
        <f t="shared" si="1"/>
        <v>3.9</v>
      </c>
      <c r="I3">
        <f>SUM(basicformulas[[#This Row],[sqrt]:[roung]])</f>
        <v>7.7729833462074165</v>
      </c>
      <c r="J3" t="str">
        <f t="shared" ref="J3:J33" si="6">LEFT(B:B,1)</f>
        <v>S</v>
      </c>
      <c r="K3" t="str">
        <f>RIGHT(basicformulas[[#This Row],[Product]],5)</f>
        <v>phone</v>
      </c>
      <c r="L3">
        <f t="shared" ref="L3:L33" si="7">AVERAGE(F:F)</f>
        <v>9.9700000000000006</v>
      </c>
      <c r="M3">
        <f t="shared" si="2"/>
        <v>1</v>
      </c>
      <c r="N3">
        <f t="shared" si="3"/>
        <v>20</v>
      </c>
      <c r="O3">
        <f t="shared" si="4"/>
        <v>4299</v>
      </c>
      <c r="P3">
        <f>RANK(basicformulas[[#This Row],[Quantity Sold]],F:F)</f>
        <v>21</v>
      </c>
      <c r="Q3">
        <f t="shared" si="5"/>
        <v>10</v>
      </c>
    </row>
    <row r="4" spans="1:25" x14ac:dyDescent="0.25">
      <c r="A4" s="2">
        <v>45676</v>
      </c>
      <c r="B4" t="s">
        <v>75</v>
      </c>
      <c r="C4" t="s">
        <v>83</v>
      </c>
      <c r="D4" t="s">
        <v>85</v>
      </c>
      <c r="E4">
        <v>5832</v>
      </c>
      <c r="F4">
        <v>6</v>
      </c>
      <c r="G4">
        <f t="shared" si="0"/>
        <v>2.4494897427831779</v>
      </c>
      <c r="H4">
        <f t="shared" si="1"/>
        <v>2.4</v>
      </c>
      <c r="I4">
        <f>SUM(basicformulas[[#This Row],[sqrt]:[roung]])</f>
        <v>4.8494897427831773</v>
      </c>
      <c r="J4" t="str">
        <f t="shared" si="6"/>
        <v>S</v>
      </c>
      <c r="K4" t="str">
        <f>RIGHT(basicformulas[[#This Row],[Product]],5)</f>
        <v>Shirt</v>
      </c>
      <c r="L4">
        <f t="shared" si="7"/>
        <v>9.9700000000000006</v>
      </c>
      <c r="M4">
        <f t="shared" si="2"/>
        <v>1</v>
      </c>
      <c r="N4">
        <f t="shared" si="3"/>
        <v>20</v>
      </c>
      <c r="O4">
        <f t="shared" si="4"/>
        <v>4299</v>
      </c>
      <c r="P4">
        <f>RANK(basicformulas[[#This Row],[Quantity Sold]],F:F)</f>
        <v>68</v>
      </c>
      <c r="Q4">
        <f t="shared" si="5"/>
        <v>5</v>
      </c>
      <c r="Y4" s="3" t="s">
        <v>109</v>
      </c>
    </row>
    <row r="5" spans="1:25" x14ac:dyDescent="0.25">
      <c r="A5" s="2">
        <v>45694</v>
      </c>
      <c r="B5" t="s">
        <v>76</v>
      </c>
      <c r="C5" t="s">
        <v>84</v>
      </c>
      <c r="D5" t="s">
        <v>85</v>
      </c>
      <c r="E5">
        <v>676</v>
      </c>
      <c r="F5">
        <v>4</v>
      </c>
      <c r="G5">
        <f t="shared" si="0"/>
        <v>2</v>
      </c>
      <c r="H5">
        <f t="shared" si="1"/>
        <v>2</v>
      </c>
      <c r="I5">
        <f>SUM(basicformulas[[#This Row],[sqrt]:[roung]])</f>
        <v>4</v>
      </c>
      <c r="J5" t="str">
        <f t="shared" si="6"/>
        <v>M</v>
      </c>
      <c r="K5" t="str">
        <f>RIGHT(basicformulas[[#This Row],[Product]],5)</f>
        <v>owave</v>
      </c>
      <c r="L5">
        <f t="shared" si="7"/>
        <v>9.9700000000000006</v>
      </c>
      <c r="M5">
        <f t="shared" si="2"/>
        <v>1</v>
      </c>
      <c r="N5">
        <f t="shared" si="3"/>
        <v>20</v>
      </c>
      <c r="O5">
        <f t="shared" si="4"/>
        <v>4299</v>
      </c>
      <c r="P5">
        <f>RANK(basicformulas[[#This Row],[Quantity Sold]],F:F)</f>
        <v>82</v>
      </c>
      <c r="Q5">
        <f t="shared" si="5"/>
        <v>9</v>
      </c>
      <c r="W5" s="3" t="s">
        <v>98</v>
      </c>
      <c r="Y5">
        <f>LEN(T6)</f>
        <v>8</v>
      </c>
    </row>
    <row r="6" spans="1:25" x14ac:dyDescent="0.25">
      <c r="A6" s="2">
        <v>45693</v>
      </c>
      <c r="B6" t="s">
        <v>74</v>
      </c>
      <c r="C6" t="s">
        <v>82</v>
      </c>
      <c r="D6" t="s">
        <v>87</v>
      </c>
      <c r="E6">
        <v>6560</v>
      </c>
      <c r="F6">
        <v>10</v>
      </c>
      <c r="G6">
        <f t="shared" si="0"/>
        <v>3.1622776601683795</v>
      </c>
      <c r="H6">
        <f t="shared" si="1"/>
        <v>3.2</v>
      </c>
      <c r="I6">
        <f>SUM(basicformulas[[#This Row],[sqrt]:[roung]])</f>
        <v>6.3622776601683793</v>
      </c>
      <c r="J6" t="str">
        <f t="shared" si="6"/>
        <v>S</v>
      </c>
      <c r="K6" t="str">
        <f>RIGHT(basicformulas[[#This Row],[Product]],5)</f>
        <v>phone</v>
      </c>
      <c r="L6">
        <f t="shared" si="7"/>
        <v>9.9700000000000006</v>
      </c>
      <c r="M6">
        <f t="shared" si="2"/>
        <v>1</v>
      </c>
      <c r="N6">
        <f t="shared" si="3"/>
        <v>20</v>
      </c>
      <c r="O6">
        <f t="shared" si="4"/>
        <v>4299</v>
      </c>
      <c r="P6">
        <f>RANK(basicformulas[[#This Row],[Quantity Sold]],F:F)</f>
        <v>43</v>
      </c>
      <c r="Q6">
        <f t="shared" si="5"/>
        <v>10</v>
      </c>
      <c r="T6" t="s">
        <v>100</v>
      </c>
      <c r="U6">
        <v>10</v>
      </c>
      <c r="W6">
        <f>RANK(U6,U6:U10)</f>
        <v>5</v>
      </c>
      <c r="Y6">
        <f>LEN(T7)</f>
        <v>5</v>
      </c>
    </row>
    <row r="7" spans="1:25" x14ac:dyDescent="0.25">
      <c r="A7" s="2">
        <v>45775</v>
      </c>
      <c r="B7" t="s">
        <v>76</v>
      </c>
      <c r="C7" t="s">
        <v>84</v>
      </c>
      <c r="D7" t="s">
        <v>87</v>
      </c>
      <c r="E7">
        <v>1905</v>
      </c>
      <c r="F7">
        <v>5</v>
      </c>
      <c r="G7">
        <f t="shared" si="0"/>
        <v>2.2360679774997898</v>
      </c>
      <c r="H7">
        <f t="shared" si="1"/>
        <v>2.2000000000000002</v>
      </c>
      <c r="I7">
        <f>SUM(basicformulas[[#This Row],[sqrt]:[roung]])</f>
        <v>4.43606797749979</v>
      </c>
      <c r="J7" t="str">
        <f t="shared" si="6"/>
        <v>M</v>
      </c>
      <c r="K7" t="str">
        <f>RIGHT(basicformulas[[#This Row],[Product]],5)</f>
        <v>owave</v>
      </c>
      <c r="L7">
        <f t="shared" si="7"/>
        <v>9.9700000000000006</v>
      </c>
      <c r="M7">
        <f t="shared" si="2"/>
        <v>1</v>
      </c>
      <c r="N7">
        <f t="shared" si="3"/>
        <v>20</v>
      </c>
      <c r="O7">
        <f t="shared" si="4"/>
        <v>4299</v>
      </c>
      <c r="P7">
        <f>RANK(basicformulas[[#This Row],[Quantity Sold]],F:F)</f>
        <v>72</v>
      </c>
      <c r="Q7">
        <f t="shared" si="5"/>
        <v>9</v>
      </c>
      <c r="T7" t="s">
        <v>101</v>
      </c>
      <c r="U7">
        <v>20</v>
      </c>
      <c r="W7">
        <f t="shared" ref="W7:W9" si="8">RANK(U7,U7:U11)</f>
        <v>4</v>
      </c>
      <c r="Y7">
        <f t="shared" ref="Y7:Y8" si="9">LEN(T8)</f>
        <v>6</v>
      </c>
    </row>
    <row r="8" spans="1:25" x14ac:dyDescent="0.25">
      <c r="A8" s="2">
        <v>45720</v>
      </c>
      <c r="B8" t="s">
        <v>77</v>
      </c>
      <c r="C8" t="s">
        <v>83</v>
      </c>
      <c r="D8" t="s">
        <v>86</v>
      </c>
      <c r="E8">
        <v>6948</v>
      </c>
      <c r="F8">
        <v>18</v>
      </c>
      <c r="G8">
        <f t="shared" si="0"/>
        <v>4.2426406871192848</v>
      </c>
      <c r="H8">
        <f t="shared" si="1"/>
        <v>4.2</v>
      </c>
      <c r="I8">
        <f>SUM(basicformulas[[#This Row],[sqrt]:[roung]])</f>
        <v>8.4426406871192849</v>
      </c>
      <c r="J8" t="str">
        <f t="shared" si="6"/>
        <v>T</v>
      </c>
      <c r="K8" t="str">
        <f>RIGHT(basicformulas[[#This Row],[Product]],5)</f>
        <v>users</v>
      </c>
      <c r="L8">
        <f t="shared" si="7"/>
        <v>9.9700000000000006</v>
      </c>
      <c r="M8">
        <f t="shared" si="2"/>
        <v>1</v>
      </c>
      <c r="N8">
        <f t="shared" si="3"/>
        <v>20</v>
      </c>
      <c r="O8">
        <f t="shared" si="4"/>
        <v>4299</v>
      </c>
      <c r="P8">
        <f>RANK(basicformulas[[#This Row],[Quantity Sold]],F:F)</f>
        <v>10</v>
      </c>
      <c r="Q8">
        <f t="shared" si="5"/>
        <v>8</v>
      </c>
      <c r="T8" t="s">
        <v>102</v>
      </c>
      <c r="U8">
        <v>35.5</v>
      </c>
      <c r="W8">
        <f t="shared" si="8"/>
        <v>3</v>
      </c>
      <c r="Y8">
        <f t="shared" si="9"/>
        <v>4</v>
      </c>
    </row>
    <row r="9" spans="1:25" x14ac:dyDescent="0.25">
      <c r="A9" s="2">
        <v>45764</v>
      </c>
      <c r="B9" t="s">
        <v>77</v>
      </c>
      <c r="C9" t="s">
        <v>83</v>
      </c>
      <c r="D9" t="s">
        <v>85</v>
      </c>
      <c r="E9">
        <v>1944</v>
      </c>
      <c r="F9">
        <v>18</v>
      </c>
      <c r="G9">
        <f t="shared" si="0"/>
        <v>4.2426406871192848</v>
      </c>
      <c r="H9">
        <f t="shared" si="1"/>
        <v>4.2</v>
      </c>
      <c r="I9">
        <f>SUM(basicformulas[[#This Row],[sqrt]:[roung]])</f>
        <v>8.4426406871192849</v>
      </c>
      <c r="J9" t="str">
        <f t="shared" si="6"/>
        <v>T</v>
      </c>
      <c r="K9" t="str">
        <f>RIGHT(basicformulas[[#This Row],[Product]],5)</f>
        <v>users</v>
      </c>
      <c r="L9">
        <f t="shared" si="7"/>
        <v>9.9700000000000006</v>
      </c>
      <c r="M9">
        <f t="shared" si="2"/>
        <v>1</v>
      </c>
      <c r="N9">
        <f t="shared" si="3"/>
        <v>20</v>
      </c>
      <c r="O9">
        <f t="shared" si="4"/>
        <v>4299</v>
      </c>
      <c r="P9">
        <f>RANK(basicformulas[[#This Row],[Quantity Sold]],F:F)</f>
        <v>10</v>
      </c>
      <c r="Q9">
        <f t="shared" si="5"/>
        <v>8</v>
      </c>
      <c r="T9" t="s">
        <v>103</v>
      </c>
      <c r="U9">
        <v>50</v>
      </c>
      <c r="W9">
        <f t="shared" si="8"/>
        <v>1</v>
      </c>
      <c r="Y9">
        <f>LEN(T9)</f>
        <v>4</v>
      </c>
    </row>
    <row r="10" spans="1:25" x14ac:dyDescent="0.25">
      <c r="A10" s="2">
        <v>45735</v>
      </c>
      <c r="B10" t="s">
        <v>78</v>
      </c>
      <c r="C10" t="s">
        <v>84</v>
      </c>
      <c r="D10" t="s">
        <v>85</v>
      </c>
      <c r="E10">
        <v>7776</v>
      </c>
      <c r="F10">
        <v>8</v>
      </c>
      <c r="G10">
        <f t="shared" si="0"/>
        <v>2.8284271247461903</v>
      </c>
      <c r="H10">
        <f t="shared" si="1"/>
        <v>2.8</v>
      </c>
      <c r="I10">
        <f>SUM(basicformulas[[#This Row],[sqrt]:[roung]])</f>
        <v>5.6284271247461906</v>
      </c>
      <c r="J10" t="str">
        <f t="shared" si="6"/>
        <v>B</v>
      </c>
      <c r="K10" t="str">
        <f>RIGHT(basicformulas[[#This Row],[Product]],5)</f>
        <v>ender</v>
      </c>
      <c r="L10">
        <f t="shared" si="7"/>
        <v>9.9700000000000006</v>
      </c>
      <c r="M10">
        <f t="shared" si="2"/>
        <v>1</v>
      </c>
      <c r="N10">
        <f t="shared" si="3"/>
        <v>20</v>
      </c>
      <c r="O10">
        <f t="shared" si="4"/>
        <v>4299</v>
      </c>
      <c r="P10">
        <f>RANK(basicformulas[[#This Row],[Quantity Sold]],F:F)</f>
        <v>56</v>
      </c>
      <c r="Q10">
        <f t="shared" si="5"/>
        <v>7</v>
      </c>
      <c r="T10" t="s">
        <v>104</v>
      </c>
      <c r="U10">
        <v>50</v>
      </c>
      <c r="W10">
        <f>RANK(U10,U10:U14)</f>
        <v>1</v>
      </c>
      <c r="Y10">
        <f>LEN(T10)</f>
        <v>7</v>
      </c>
    </row>
    <row r="11" spans="1:25" x14ac:dyDescent="0.25">
      <c r="A11" s="2">
        <v>45778</v>
      </c>
      <c r="B11" t="s">
        <v>74</v>
      </c>
      <c r="C11" t="s">
        <v>82</v>
      </c>
      <c r="D11" t="s">
        <v>86</v>
      </c>
      <c r="E11">
        <v>2790</v>
      </c>
      <c r="F11">
        <v>18</v>
      </c>
      <c r="G11">
        <f t="shared" si="0"/>
        <v>4.2426406871192848</v>
      </c>
      <c r="H11">
        <f t="shared" si="1"/>
        <v>4.2</v>
      </c>
      <c r="I11">
        <f>SUM(basicformulas[[#This Row],[sqrt]:[roung]])</f>
        <v>8.4426406871192849</v>
      </c>
      <c r="J11" t="str">
        <f t="shared" si="6"/>
        <v>S</v>
      </c>
      <c r="K11" t="str">
        <f>RIGHT(basicformulas[[#This Row],[Product]],5)</f>
        <v>phone</v>
      </c>
      <c r="L11">
        <f t="shared" si="7"/>
        <v>9.9700000000000006</v>
      </c>
      <c r="M11">
        <f t="shared" si="2"/>
        <v>1</v>
      </c>
      <c r="N11">
        <f t="shared" si="3"/>
        <v>20</v>
      </c>
      <c r="O11">
        <f t="shared" si="4"/>
        <v>4299</v>
      </c>
      <c r="P11">
        <f>RANK(basicformulas[[#This Row],[Quantity Sold]],F:F)</f>
        <v>10</v>
      </c>
      <c r="Q11">
        <f t="shared" si="5"/>
        <v>10</v>
      </c>
    </row>
    <row r="12" spans="1:25" x14ac:dyDescent="0.25">
      <c r="A12" s="2">
        <v>45693</v>
      </c>
      <c r="B12" t="s">
        <v>75</v>
      </c>
      <c r="C12" t="s">
        <v>83</v>
      </c>
      <c r="D12" t="s">
        <v>86</v>
      </c>
      <c r="E12">
        <v>7995</v>
      </c>
      <c r="F12">
        <v>13</v>
      </c>
      <c r="G12">
        <f t="shared" si="0"/>
        <v>3.6055512754639891</v>
      </c>
      <c r="H12">
        <f t="shared" si="1"/>
        <v>3.6</v>
      </c>
      <c r="I12">
        <f>SUM(basicformulas[[#This Row],[sqrt]:[roung]])</f>
        <v>7.2055512754639892</v>
      </c>
      <c r="J12" t="str">
        <f t="shared" si="6"/>
        <v>S</v>
      </c>
      <c r="K12" t="str">
        <f>RIGHT(basicformulas[[#This Row],[Product]],5)</f>
        <v>Shirt</v>
      </c>
      <c r="L12">
        <f t="shared" si="7"/>
        <v>9.9700000000000006</v>
      </c>
      <c r="M12">
        <f t="shared" si="2"/>
        <v>1</v>
      </c>
      <c r="N12">
        <f t="shared" si="3"/>
        <v>20</v>
      </c>
      <c r="O12">
        <f t="shared" si="4"/>
        <v>4299</v>
      </c>
      <c r="P12">
        <f>RANK(basicformulas[[#This Row],[Quantity Sold]],F:F)</f>
        <v>29</v>
      </c>
      <c r="Q12">
        <f t="shared" si="5"/>
        <v>5</v>
      </c>
      <c r="T12" s="3" t="s">
        <v>95</v>
      </c>
      <c r="U12">
        <f>MIN(U6:U10)</f>
        <v>10</v>
      </c>
      <c r="X12" s="3" t="s">
        <v>107</v>
      </c>
      <c r="Y12" s="3" t="s">
        <v>108</v>
      </c>
    </row>
    <row r="13" spans="1:25" x14ac:dyDescent="0.25">
      <c r="A13" s="2">
        <v>45677</v>
      </c>
      <c r="B13" t="s">
        <v>75</v>
      </c>
      <c r="C13" t="s">
        <v>83</v>
      </c>
      <c r="D13" t="s">
        <v>85</v>
      </c>
      <c r="E13">
        <v>9984</v>
      </c>
      <c r="F13">
        <v>13</v>
      </c>
      <c r="G13">
        <f t="shared" si="0"/>
        <v>3.6055512754639891</v>
      </c>
      <c r="H13">
        <f t="shared" si="1"/>
        <v>3.6</v>
      </c>
      <c r="I13">
        <f>SUM(basicformulas[[#This Row],[sqrt]:[roung]])</f>
        <v>7.2055512754639892</v>
      </c>
      <c r="J13" t="str">
        <f t="shared" si="6"/>
        <v>S</v>
      </c>
      <c r="K13" t="str">
        <f>RIGHT(basicformulas[[#This Row],[Product]],5)</f>
        <v>Shirt</v>
      </c>
      <c r="L13">
        <f t="shared" si="7"/>
        <v>9.9700000000000006</v>
      </c>
      <c r="M13">
        <f t="shared" si="2"/>
        <v>1</v>
      </c>
      <c r="N13">
        <f t="shared" si="3"/>
        <v>20</v>
      </c>
      <c r="O13">
        <f t="shared" si="4"/>
        <v>4299</v>
      </c>
      <c r="P13">
        <f>RANK(basicformulas[[#This Row],[Quantity Sold]],F:F)</f>
        <v>29</v>
      </c>
      <c r="Q13">
        <f t="shared" si="5"/>
        <v>5</v>
      </c>
      <c r="T13" s="3" t="s">
        <v>96</v>
      </c>
      <c r="U13">
        <f>MAX(U6:U10)</f>
        <v>50</v>
      </c>
      <c r="X13" t="str">
        <f>LEFT(T6,1)</f>
        <v>s</v>
      </c>
      <c r="Y13" t="str">
        <f>RIGHT(T6,1)</f>
        <v>h</v>
      </c>
    </row>
    <row r="14" spans="1:25" x14ac:dyDescent="0.25">
      <c r="A14" s="2">
        <v>45739</v>
      </c>
      <c r="B14" t="s">
        <v>75</v>
      </c>
      <c r="C14" t="s">
        <v>83</v>
      </c>
      <c r="D14" t="s">
        <v>87</v>
      </c>
      <c r="E14">
        <v>7683</v>
      </c>
      <c r="F14">
        <v>13</v>
      </c>
      <c r="G14">
        <f t="shared" si="0"/>
        <v>3.6055512754639891</v>
      </c>
      <c r="H14">
        <f t="shared" si="1"/>
        <v>3.6</v>
      </c>
      <c r="I14">
        <f>SUM(basicformulas[[#This Row],[sqrt]:[roung]])</f>
        <v>7.2055512754639892</v>
      </c>
      <c r="J14" t="str">
        <f t="shared" si="6"/>
        <v>S</v>
      </c>
      <c r="K14" t="str">
        <f>RIGHT(basicformulas[[#This Row],[Product]],5)</f>
        <v>Shirt</v>
      </c>
      <c r="L14">
        <f t="shared" si="7"/>
        <v>9.9700000000000006</v>
      </c>
      <c r="M14">
        <f t="shared" si="2"/>
        <v>1</v>
      </c>
      <c r="N14">
        <f t="shared" si="3"/>
        <v>20</v>
      </c>
      <c r="O14">
        <f t="shared" si="4"/>
        <v>4299</v>
      </c>
      <c r="P14">
        <f>RANK(basicformulas[[#This Row],[Quantity Sold]],F:F)</f>
        <v>29</v>
      </c>
      <c r="Q14">
        <f t="shared" si="5"/>
        <v>5</v>
      </c>
      <c r="T14" s="3" t="s">
        <v>94</v>
      </c>
      <c r="U14">
        <f>AVERAGE(U6:U10)</f>
        <v>33.1</v>
      </c>
      <c r="X14" t="str">
        <f t="shared" ref="X14:X17" si="10">LEFT(T7,1)</f>
        <v>v</v>
      </c>
      <c r="Y14" t="str">
        <f t="shared" ref="Y14:Y17" si="11">RIGHT(T7,1)</f>
        <v>y</v>
      </c>
    </row>
    <row r="15" spans="1:25" x14ac:dyDescent="0.25">
      <c r="A15" s="2">
        <v>45699</v>
      </c>
      <c r="B15" t="s">
        <v>76</v>
      </c>
      <c r="C15" t="s">
        <v>84</v>
      </c>
      <c r="D15" t="s">
        <v>88</v>
      </c>
      <c r="E15">
        <v>6885</v>
      </c>
      <c r="F15">
        <v>9</v>
      </c>
      <c r="G15">
        <f t="shared" si="0"/>
        <v>3</v>
      </c>
      <c r="H15">
        <f t="shared" si="1"/>
        <v>3</v>
      </c>
      <c r="I15">
        <f>SUM(basicformulas[[#This Row],[sqrt]:[roung]])</f>
        <v>6</v>
      </c>
      <c r="J15" t="str">
        <f t="shared" si="6"/>
        <v>M</v>
      </c>
      <c r="K15" t="str">
        <f>RIGHT(basicformulas[[#This Row],[Product]],5)</f>
        <v>owave</v>
      </c>
      <c r="L15">
        <f t="shared" si="7"/>
        <v>9.9700000000000006</v>
      </c>
      <c r="M15">
        <f t="shared" si="2"/>
        <v>1</v>
      </c>
      <c r="N15">
        <f t="shared" si="3"/>
        <v>20</v>
      </c>
      <c r="O15">
        <f t="shared" si="4"/>
        <v>4299</v>
      </c>
      <c r="P15">
        <f>RANK(basicformulas[[#This Row],[Quantity Sold]],F:F)</f>
        <v>49</v>
      </c>
      <c r="Q15">
        <f t="shared" si="5"/>
        <v>9</v>
      </c>
      <c r="T15" s="3" t="s">
        <v>105</v>
      </c>
      <c r="U15">
        <f>MEDIAN(U6:U10)</f>
        <v>35.5</v>
      </c>
      <c r="X15" t="str">
        <f t="shared" si="10"/>
        <v>n</v>
      </c>
      <c r="Y15" t="str">
        <f t="shared" si="11"/>
        <v>a</v>
      </c>
    </row>
    <row r="16" spans="1:25" x14ac:dyDescent="0.25">
      <c r="A16" s="2">
        <v>45767</v>
      </c>
      <c r="B16" t="s">
        <v>79</v>
      </c>
      <c r="C16" t="s">
        <v>81</v>
      </c>
      <c r="D16" t="s">
        <v>87</v>
      </c>
      <c r="E16">
        <v>229</v>
      </c>
      <c r="F16">
        <v>1</v>
      </c>
      <c r="G16">
        <f t="shared" si="0"/>
        <v>1</v>
      </c>
      <c r="H16">
        <f t="shared" si="1"/>
        <v>1</v>
      </c>
      <c r="I16">
        <f>SUM(basicformulas[[#This Row],[sqrt]:[roung]])</f>
        <v>2</v>
      </c>
      <c r="J16" t="str">
        <f t="shared" si="6"/>
        <v>B</v>
      </c>
      <c r="K16" t="str">
        <f>RIGHT(basicformulas[[#This Row],[Product]],5)</f>
        <v>Boots</v>
      </c>
      <c r="L16">
        <f t="shared" si="7"/>
        <v>9.9700000000000006</v>
      </c>
      <c r="M16">
        <f t="shared" si="2"/>
        <v>1</v>
      </c>
      <c r="N16">
        <f t="shared" si="3"/>
        <v>20</v>
      </c>
      <c r="O16">
        <f t="shared" si="4"/>
        <v>4299</v>
      </c>
      <c r="P16">
        <f>RANK(basicformulas[[#This Row],[Quantity Sold]],F:F)</f>
        <v>97</v>
      </c>
      <c r="Q16">
        <f t="shared" si="5"/>
        <v>5</v>
      </c>
      <c r="T16" s="3" t="s">
        <v>106</v>
      </c>
      <c r="U16">
        <f>ROUND(U14,0)</f>
        <v>33</v>
      </c>
      <c r="X16" t="str">
        <f t="shared" si="10"/>
        <v>u</v>
      </c>
      <c r="Y16" t="str">
        <f t="shared" si="11"/>
        <v>y</v>
      </c>
    </row>
    <row r="17" spans="1:25" x14ac:dyDescent="0.25">
      <c r="A17" s="2">
        <v>45735</v>
      </c>
      <c r="B17" t="s">
        <v>80</v>
      </c>
      <c r="C17" t="s">
        <v>82</v>
      </c>
      <c r="D17" t="s">
        <v>87</v>
      </c>
      <c r="E17">
        <v>6104</v>
      </c>
      <c r="F17">
        <v>7</v>
      </c>
      <c r="G17">
        <f t="shared" si="0"/>
        <v>2.6457513110645907</v>
      </c>
      <c r="H17">
        <f t="shared" si="1"/>
        <v>2.6</v>
      </c>
      <c r="I17">
        <f>SUM(basicformulas[[#This Row],[sqrt]:[roung]])</f>
        <v>5.2457513110645912</v>
      </c>
      <c r="J17" t="str">
        <f t="shared" si="6"/>
        <v>L</v>
      </c>
      <c r="K17" t="str">
        <f>RIGHT(basicformulas[[#This Row],[Product]],5)</f>
        <v>aptop</v>
      </c>
      <c r="L17">
        <f t="shared" si="7"/>
        <v>9.9700000000000006</v>
      </c>
      <c r="M17">
        <f t="shared" si="2"/>
        <v>1</v>
      </c>
      <c r="N17">
        <f t="shared" si="3"/>
        <v>20</v>
      </c>
      <c r="O17">
        <f t="shared" si="4"/>
        <v>4299</v>
      </c>
      <c r="P17">
        <f>RANK(basicformulas[[#This Row],[Quantity Sold]],F:F)</f>
        <v>63</v>
      </c>
      <c r="Q17">
        <f t="shared" si="5"/>
        <v>6</v>
      </c>
      <c r="X17" t="str">
        <f t="shared" si="10"/>
        <v>v</v>
      </c>
      <c r="Y17" t="str">
        <f t="shared" si="11"/>
        <v>h</v>
      </c>
    </row>
    <row r="18" spans="1:25" x14ac:dyDescent="0.25">
      <c r="A18" s="2">
        <v>45722</v>
      </c>
      <c r="B18" t="s">
        <v>78</v>
      </c>
      <c r="C18" t="s">
        <v>84</v>
      </c>
      <c r="D18" t="s">
        <v>85</v>
      </c>
      <c r="E18">
        <v>558</v>
      </c>
      <c r="F18">
        <v>1</v>
      </c>
      <c r="G18">
        <f t="shared" si="0"/>
        <v>1</v>
      </c>
      <c r="H18">
        <f t="shared" si="1"/>
        <v>1</v>
      </c>
      <c r="I18">
        <f>SUM(basicformulas[[#This Row],[sqrt]:[roung]])</f>
        <v>2</v>
      </c>
      <c r="J18" t="str">
        <f t="shared" si="6"/>
        <v>B</v>
      </c>
      <c r="K18" t="str">
        <f>RIGHT(basicformulas[[#This Row],[Product]],5)</f>
        <v>ender</v>
      </c>
      <c r="L18">
        <f t="shared" si="7"/>
        <v>9.9700000000000006</v>
      </c>
      <c r="M18">
        <f t="shared" si="2"/>
        <v>1</v>
      </c>
      <c r="N18">
        <f t="shared" si="3"/>
        <v>20</v>
      </c>
      <c r="O18">
        <f t="shared" si="4"/>
        <v>4299</v>
      </c>
      <c r="P18">
        <f>RANK(basicformulas[[#This Row],[Quantity Sold]],F:F)</f>
        <v>97</v>
      </c>
      <c r="Q18">
        <f t="shared" si="5"/>
        <v>7</v>
      </c>
      <c r="T18" s="3" t="s">
        <v>90</v>
      </c>
      <c r="U18">
        <f>SQRT(U16)</f>
        <v>5.7445626465380286</v>
      </c>
    </row>
    <row r="19" spans="1:25" x14ac:dyDescent="0.25">
      <c r="A19" s="2">
        <v>45741</v>
      </c>
      <c r="B19" t="s">
        <v>76</v>
      </c>
      <c r="C19" t="s">
        <v>84</v>
      </c>
      <c r="D19" t="s">
        <v>85</v>
      </c>
      <c r="E19">
        <v>6413</v>
      </c>
      <c r="F19">
        <v>11</v>
      </c>
      <c r="G19">
        <f t="shared" si="0"/>
        <v>3.3166247903553998</v>
      </c>
      <c r="H19">
        <f t="shared" si="1"/>
        <v>3.3</v>
      </c>
      <c r="I19">
        <f>SUM(basicformulas[[#This Row],[sqrt]:[roung]])</f>
        <v>6.6166247903553996</v>
      </c>
      <c r="J19" t="str">
        <f t="shared" si="6"/>
        <v>M</v>
      </c>
      <c r="K19" t="str">
        <f>RIGHT(basicformulas[[#This Row],[Product]],5)</f>
        <v>owave</v>
      </c>
      <c r="L19">
        <f t="shared" si="7"/>
        <v>9.9700000000000006</v>
      </c>
      <c r="M19">
        <f t="shared" si="2"/>
        <v>1</v>
      </c>
      <c r="N19">
        <f t="shared" si="3"/>
        <v>20</v>
      </c>
      <c r="O19">
        <f t="shared" si="4"/>
        <v>4299</v>
      </c>
      <c r="P19">
        <f>RANK(basicformulas[[#This Row],[Quantity Sold]],F:F)</f>
        <v>39</v>
      </c>
      <c r="Q19">
        <f t="shared" si="5"/>
        <v>9</v>
      </c>
    </row>
    <row r="20" spans="1:25" x14ac:dyDescent="0.25">
      <c r="A20" s="2">
        <v>45732</v>
      </c>
      <c r="B20" t="s">
        <v>74</v>
      </c>
      <c r="C20" t="s">
        <v>82</v>
      </c>
      <c r="D20" t="s">
        <v>88</v>
      </c>
      <c r="E20">
        <v>1017</v>
      </c>
      <c r="F20">
        <v>9</v>
      </c>
      <c r="G20">
        <f t="shared" si="0"/>
        <v>3</v>
      </c>
      <c r="H20">
        <f t="shared" si="1"/>
        <v>3</v>
      </c>
      <c r="I20">
        <f>SUM(basicformulas[[#This Row],[sqrt]:[roung]])</f>
        <v>6</v>
      </c>
      <c r="J20" t="str">
        <f t="shared" si="6"/>
        <v>S</v>
      </c>
      <c r="K20" t="str">
        <f>RIGHT(basicformulas[[#This Row],[Product]],5)</f>
        <v>phone</v>
      </c>
      <c r="L20">
        <f t="shared" si="7"/>
        <v>9.9700000000000006</v>
      </c>
      <c r="M20">
        <f t="shared" si="2"/>
        <v>1</v>
      </c>
      <c r="N20">
        <f t="shared" si="3"/>
        <v>20</v>
      </c>
      <c r="O20">
        <f t="shared" si="4"/>
        <v>4299</v>
      </c>
      <c r="P20">
        <f>RANK(basicformulas[[#This Row],[Quantity Sold]],F:F)</f>
        <v>49</v>
      </c>
      <c r="Q20">
        <f t="shared" si="5"/>
        <v>10</v>
      </c>
    </row>
    <row r="21" spans="1:25" x14ac:dyDescent="0.25">
      <c r="A21" s="2">
        <v>45721</v>
      </c>
      <c r="B21" t="s">
        <v>80</v>
      </c>
      <c r="C21" t="s">
        <v>82</v>
      </c>
      <c r="D21" t="s">
        <v>86</v>
      </c>
      <c r="E21">
        <v>9310</v>
      </c>
      <c r="F21">
        <v>10</v>
      </c>
      <c r="G21">
        <f t="shared" si="0"/>
        <v>3.1622776601683795</v>
      </c>
      <c r="H21">
        <f t="shared" si="1"/>
        <v>3.2</v>
      </c>
      <c r="I21">
        <f>SUM(basicformulas[[#This Row],[sqrt]:[roung]])</f>
        <v>6.3622776601683793</v>
      </c>
      <c r="J21" t="str">
        <f t="shared" si="6"/>
        <v>L</v>
      </c>
      <c r="K21" t="str">
        <f>RIGHT(basicformulas[[#This Row],[Product]],5)</f>
        <v>aptop</v>
      </c>
      <c r="L21">
        <f t="shared" si="7"/>
        <v>9.9700000000000006</v>
      </c>
      <c r="M21">
        <f t="shared" si="2"/>
        <v>1</v>
      </c>
      <c r="N21">
        <f t="shared" si="3"/>
        <v>20</v>
      </c>
      <c r="O21">
        <f t="shared" si="4"/>
        <v>4299</v>
      </c>
      <c r="P21">
        <f>RANK(basicformulas[[#This Row],[Quantity Sold]],F:F)</f>
        <v>43</v>
      </c>
      <c r="Q21">
        <f t="shared" si="5"/>
        <v>6</v>
      </c>
      <c r="T21" s="3" t="s">
        <v>89</v>
      </c>
      <c r="U21">
        <f>SUM(U6:U10)</f>
        <v>165.5</v>
      </c>
      <c r="W21" t="s">
        <v>110</v>
      </c>
    </row>
    <row r="22" spans="1:25" x14ac:dyDescent="0.25">
      <c r="A22" s="2">
        <v>45703</v>
      </c>
      <c r="B22" t="s">
        <v>75</v>
      </c>
      <c r="C22" t="s">
        <v>83</v>
      </c>
      <c r="D22" t="s">
        <v>87</v>
      </c>
      <c r="E22">
        <v>2560</v>
      </c>
      <c r="F22">
        <v>4</v>
      </c>
      <c r="G22">
        <f t="shared" si="0"/>
        <v>2</v>
      </c>
      <c r="H22">
        <f t="shared" si="1"/>
        <v>2</v>
      </c>
      <c r="I22">
        <f>SUM(basicformulas[[#This Row],[sqrt]:[roung]])</f>
        <v>4</v>
      </c>
      <c r="J22" t="str">
        <f t="shared" si="6"/>
        <v>S</v>
      </c>
      <c r="K22" t="str">
        <f>RIGHT(basicformulas[[#This Row],[Product]],5)</f>
        <v>Shirt</v>
      </c>
      <c r="L22">
        <f t="shared" si="7"/>
        <v>9.9700000000000006</v>
      </c>
      <c r="M22">
        <f t="shared" si="2"/>
        <v>1</v>
      </c>
      <c r="N22">
        <f t="shared" si="3"/>
        <v>20</v>
      </c>
      <c r="O22">
        <f t="shared" si="4"/>
        <v>4299</v>
      </c>
      <c r="P22">
        <f>RANK(basicformulas[[#This Row],[Quantity Sold]],F:F)</f>
        <v>82</v>
      </c>
      <c r="Q22">
        <f t="shared" si="5"/>
        <v>5</v>
      </c>
      <c r="W22" t="b">
        <f>V6=_xlfn.RANK.AVG(U6,U6:U10)</f>
        <v>0</v>
      </c>
    </row>
    <row r="23" spans="1:25" x14ac:dyDescent="0.25">
      <c r="A23" s="2">
        <v>45681</v>
      </c>
      <c r="B23" t="s">
        <v>76</v>
      </c>
      <c r="C23" t="s">
        <v>84</v>
      </c>
      <c r="D23" t="s">
        <v>86</v>
      </c>
      <c r="E23">
        <v>6855</v>
      </c>
      <c r="F23">
        <v>15</v>
      </c>
      <c r="G23">
        <f t="shared" si="0"/>
        <v>3.872983346207417</v>
      </c>
      <c r="H23">
        <f t="shared" si="1"/>
        <v>3.9</v>
      </c>
      <c r="I23">
        <f>SUM(basicformulas[[#This Row],[sqrt]:[roung]])</f>
        <v>7.7729833462074165</v>
      </c>
      <c r="J23" t="str">
        <f t="shared" si="6"/>
        <v>M</v>
      </c>
      <c r="K23" t="str">
        <f>RIGHT(basicformulas[[#This Row],[Product]],5)</f>
        <v>owave</v>
      </c>
      <c r="L23">
        <f t="shared" si="7"/>
        <v>9.9700000000000006</v>
      </c>
      <c r="M23">
        <f t="shared" si="2"/>
        <v>1</v>
      </c>
      <c r="N23">
        <f t="shared" si="3"/>
        <v>20</v>
      </c>
      <c r="O23">
        <f t="shared" si="4"/>
        <v>4299</v>
      </c>
      <c r="P23">
        <f>RANK(basicformulas[[#This Row],[Quantity Sold]],F:F)</f>
        <v>21</v>
      </c>
      <c r="Q23">
        <f t="shared" si="5"/>
        <v>9</v>
      </c>
    </row>
    <row r="24" spans="1:25" x14ac:dyDescent="0.25">
      <c r="A24" s="2">
        <v>45663</v>
      </c>
      <c r="B24" t="s">
        <v>78</v>
      </c>
      <c r="C24" t="s">
        <v>84</v>
      </c>
      <c r="D24" t="s">
        <v>86</v>
      </c>
      <c r="E24">
        <v>7398</v>
      </c>
      <c r="F24">
        <v>9</v>
      </c>
      <c r="G24">
        <f t="shared" si="0"/>
        <v>3</v>
      </c>
      <c r="H24">
        <f t="shared" si="1"/>
        <v>3</v>
      </c>
      <c r="I24">
        <f>SUM(basicformulas[[#This Row],[sqrt]:[roung]])</f>
        <v>6</v>
      </c>
      <c r="J24" t="str">
        <f t="shared" si="6"/>
        <v>B</v>
      </c>
      <c r="K24" t="str">
        <f>RIGHT(basicformulas[[#This Row],[Product]],5)</f>
        <v>ender</v>
      </c>
      <c r="L24">
        <f t="shared" si="7"/>
        <v>9.9700000000000006</v>
      </c>
      <c r="M24">
        <f t="shared" si="2"/>
        <v>1</v>
      </c>
      <c r="N24">
        <f t="shared" si="3"/>
        <v>20</v>
      </c>
      <c r="O24">
        <f t="shared" si="4"/>
        <v>4299</v>
      </c>
      <c r="P24">
        <f>RANK(basicformulas[[#This Row],[Quantity Sold]],F:F)</f>
        <v>49</v>
      </c>
      <c r="Q24">
        <f t="shared" si="5"/>
        <v>7</v>
      </c>
    </row>
    <row r="25" spans="1:25" x14ac:dyDescent="0.25">
      <c r="A25" s="2">
        <v>45660</v>
      </c>
      <c r="B25" t="s">
        <v>74</v>
      </c>
      <c r="C25" t="s">
        <v>82</v>
      </c>
      <c r="D25" t="s">
        <v>85</v>
      </c>
      <c r="E25">
        <v>2094</v>
      </c>
      <c r="F25">
        <v>6</v>
      </c>
      <c r="G25">
        <f t="shared" si="0"/>
        <v>2.4494897427831779</v>
      </c>
      <c r="H25">
        <f t="shared" si="1"/>
        <v>2.4</v>
      </c>
      <c r="I25">
        <f>SUM(basicformulas[[#This Row],[sqrt]:[roung]])</f>
        <v>4.8494897427831773</v>
      </c>
      <c r="J25" t="str">
        <f t="shared" si="6"/>
        <v>S</v>
      </c>
      <c r="K25" t="str">
        <f>RIGHT(basicformulas[[#This Row],[Product]],5)</f>
        <v>phone</v>
      </c>
      <c r="L25">
        <f t="shared" si="7"/>
        <v>9.9700000000000006</v>
      </c>
      <c r="M25">
        <f t="shared" si="2"/>
        <v>1</v>
      </c>
      <c r="N25">
        <f t="shared" si="3"/>
        <v>20</v>
      </c>
      <c r="O25">
        <f t="shared" si="4"/>
        <v>4299</v>
      </c>
      <c r="P25">
        <f>RANK(basicformulas[[#This Row],[Quantity Sold]],F:F)</f>
        <v>68</v>
      </c>
      <c r="Q25">
        <f t="shared" si="5"/>
        <v>10</v>
      </c>
      <c r="S25" s="3" t="s">
        <v>112</v>
      </c>
      <c r="T25" t="str" cm="1">
        <f t="array" ref="T25">_xlfn._xlws.FILTER(T6:T10,LEFT(T6:T10,1)="n")</f>
        <v>nandha</v>
      </c>
    </row>
    <row r="26" spans="1:25" x14ac:dyDescent="0.25">
      <c r="A26" s="2">
        <v>45701</v>
      </c>
      <c r="B26" t="s">
        <v>74</v>
      </c>
      <c r="C26" t="s">
        <v>82</v>
      </c>
      <c r="D26" t="s">
        <v>88</v>
      </c>
      <c r="E26">
        <v>3996</v>
      </c>
      <c r="F26">
        <v>4</v>
      </c>
      <c r="G26">
        <f t="shared" si="0"/>
        <v>2</v>
      </c>
      <c r="H26">
        <f t="shared" si="1"/>
        <v>2</v>
      </c>
      <c r="I26">
        <f>SUM(basicformulas[[#This Row],[sqrt]:[roung]])</f>
        <v>4</v>
      </c>
      <c r="J26" t="str">
        <f t="shared" si="6"/>
        <v>S</v>
      </c>
      <c r="K26" t="str">
        <f>RIGHT(basicformulas[[#This Row],[Product]],5)</f>
        <v>phone</v>
      </c>
      <c r="L26">
        <f t="shared" si="7"/>
        <v>9.9700000000000006</v>
      </c>
      <c r="M26">
        <f t="shared" si="2"/>
        <v>1</v>
      </c>
      <c r="N26">
        <f t="shared" si="3"/>
        <v>20</v>
      </c>
      <c r="O26">
        <f t="shared" si="4"/>
        <v>4299</v>
      </c>
      <c r="P26">
        <f>RANK(basicformulas[[#This Row],[Quantity Sold]],F:F)</f>
        <v>82</v>
      </c>
      <c r="Q26">
        <f t="shared" si="5"/>
        <v>10</v>
      </c>
    </row>
    <row r="27" spans="1:25" x14ac:dyDescent="0.25">
      <c r="A27" s="2">
        <v>45679</v>
      </c>
      <c r="B27" t="s">
        <v>78</v>
      </c>
      <c r="C27" t="s">
        <v>84</v>
      </c>
      <c r="D27" t="s">
        <v>87</v>
      </c>
      <c r="E27">
        <v>4884</v>
      </c>
      <c r="F27">
        <v>6</v>
      </c>
      <c r="G27">
        <f t="shared" si="0"/>
        <v>2.4494897427831779</v>
      </c>
      <c r="H27">
        <f t="shared" si="1"/>
        <v>2.4</v>
      </c>
      <c r="I27">
        <f>SUM(basicformulas[[#This Row],[sqrt]:[roung]])</f>
        <v>4.8494897427831773</v>
      </c>
      <c r="J27" t="str">
        <f t="shared" si="6"/>
        <v>B</v>
      </c>
      <c r="K27" t="str">
        <f>RIGHT(basicformulas[[#This Row],[Product]],5)</f>
        <v>ender</v>
      </c>
      <c r="L27">
        <f t="shared" si="7"/>
        <v>9.9700000000000006</v>
      </c>
      <c r="M27">
        <f t="shared" si="2"/>
        <v>1</v>
      </c>
      <c r="N27">
        <f t="shared" si="3"/>
        <v>20</v>
      </c>
      <c r="O27">
        <f t="shared" si="4"/>
        <v>4299</v>
      </c>
      <c r="P27">
        <f>RANK(basicformulas[[#This Row],[Quantity Sold]],F:F)</f>
        <v>68</v>
      </c>
      <c r="Q27">
        <f t="shared" si="5"/>
        <v>7</v>
      </c>
    </row>
    <row r="28" spans="1:25" x14ac:dyDescent="0.25">
      <c r="A28" s="2">
        <v>45693</v>
      </c>
      <c r="B28" t="s">
        <v>77</v>
      </c>
      <c r="C28" t="s">
        <v>83</v>
      </c>
      <c r="D28" t="s">
        <v>88</v>
      </c>
      <c r="E28">
        <v>1767</v>
      </c>
      <c r="F28">
        <v>3</v>
      </c>
      <c r="G28">
        <f t="shared" si="0"/>
        <v>1.7320508075688772</v>
      </c>
      <c r="H28">
        <f t="shared" si="1"/>
        <v>1.7</v>
      </c>
      <c r="I28">
        <f>SUM(basicformulas[[#This Row],[sqrt]:[roung]])</f>
        <v>3.4320508075688769</v>
      </c>
      <c r="J28" t="str">
        <f t="shared" si="6"/>
        <v>T</v>
      </c>
      <c r="K28" t="str">
        <f>RIGHT(basicformulas[[#This Row],[Product]],5)</f>
        <v>users</v>
      </c>
      <c r="L28">
        <f t="shared" si="7"/>
        <v>9.9700000000000006</v>
      </c>
      <c r="M28">
        <f t="shared" si="2"/>
        <v>1</v>
      </c>
      <c r="N28">
        <f t="shared" si="3"/>
        <v>20</v>
      </c>
      <c r="O28">
        <f t="shared" si="4"/>
        <v>4299</v>
      </c>
      <c r="P28">
        <f>RANK(basicformulas[[#This Row],[Quantity Sold]],F:F)</f>
        <v>88</v>
      </c>
      <c r="Q28">
        <f t="shared" si="5"/>
        <v>8</v>
      </c>
    </row>
    <row r="29" spans="1:25" x14ac:dyDescent="0.25">
      <c r="A29" s="2">
        <v>45744</v>
      </c>
      <c r="B29" t="s">
        <v>78</v>
      </c>
      <c r="C29" t="s">
        <v>84</v>
      </c>
      <c r="D29" t="s">
        <v>85</v>
      </c>
      <c r="E29">
        <v>7840</v>
      </c>
      <c r="F29">
        <v>14</v>
      </c>
      <c r="G29">
        <f t="shared" si="0"/>
        <v>3.7416573867739413</v>
      </c>
      <c r="H29">
        <f t="shared" si="1"/>
        <v>3.7</v>
      </c>
      <c r="I29">
        <f>SUM(basicformulas[[#This Row],[sqrt]:[roung]])</f>
        <v>7.441657386773942</v>
      </c>
      <c r="J29" t="str">
        <f t="shared" si="6"/>
        <v>B</v>
      </c>
      <c r="K29" t="str">
        <f>RIGHT(basicformulas[[#This Row],[Product]],5)</f>
        <v>ender</v>
      </c>
      <c r="L29">
        <f t="shared" si="7"/>
        <v>9.9700000000000006</v>
      </c>
      <c r="M29">
        <f t="shared" si="2"/>
        <v>1</v>
      </c>
      <c r="N29">
        <f t="shared" si="3"/>
        <v>20</v>
      </c>
      <c r="O29">
        <f t="shared" si="4"/>
        <v>4299</v>
      </c>
      <c r="P29">
        <f>RANK(basicformulas[[#This Row],[Quantity Sold]],F:F)</f>
        <v>27</v>
      </c>
      <c r="Q29">
        <f t="shared" si="5"/>
        <v>7</v>
      </c>
    </row>
    <row r="30" spans="1:25" x14ac:dyDescent="0.25">
      <c r="A30" s="2">
        <v>45670</v>
      </c>
      <c r="B30" t="s">
        <v>78</v>
      </c>
      <c r="C30" t="s">
        <v>84</v>
      </c>
      <c r="D30" t="s">
        <v>86</v>
      </c>
      <c r="E30">
        <v>4806</v>
      </c>
      <c r="F30">
        <v>6</v>
      </c>
      <c r="G30">
        <f t="shared" si="0"/>
        <v>2.4494897427831779</v>
      </c>
      <c r="H30">
        <f t="shared" si="1"/>
        <v>2.4</v>
      </c>
      <c r="I30">
        <f>SUM(basicformulas[[#This Row],[sqrt]:[roung]])</f>
        <v>4.8494897427831773</v>
      </c>
      <c r="J30" t="str">
        <f t="shared" si="6"/>
        <v>B</v>
      </c>
      <c r="K30" t="str">
        <f>RIGHT(basicformulas[[#This Row],[Product]],5)</f>
        <v>ender</v>
      </c>
      <c r="L30">
        <f t="shared" si="7"/>
        <v>9.9700000000000006</v>
      </c>
      <c r="M30">
        <f t="shared" si="2"/>
        <v>1</v>
      </c>
      <c r="N30">
        <f t="shared" si="3"/>
        <v>20</v>
      </c>
      <c r="O30">
        <f t="shared" si="4"/>
        <v>4299</v>
      </c>
      <c r="P30">
        <f>RANK(basicformulas[[#This Row],[Quantity Sold]],F:F)</f>
        <v>68</v>
      </c>
      <c r="Q30">
        <f t="shared" si="5"/>
        <v>7</v>
      </c>
    </row>
    <row r="31" spans="1:25" x14ac:dyDescent="0.25">
      <c r="A31" s="2">
        <v>45716</v>
      </c>
      <c r="B31" t="s">
        <v>78</v>
      </c>
      <c r="C31" t="s">
        <v>84</v>
      </c>
      <c r="D31" t="s">
        <v>88</v>
      </c>
      <c r="E31">
        <v>2598</v>
      </c>
      <c r="F31">
        <v>3</v>
      </c>
      <c r="G31">
        <f t="shared" si="0"/>
        <v>1.7320508075688772</v>
      </c>
      <c r="H31">
        <f t="shared" si="1"/>
        <v>1.7</v>
      </c>
      <c r="I31">
        <f>SUM(basicformulas[[#This Row],[sqrt]:[roung]])</f>
        <v>3.4320508075688769</v>
      </c>
      <c r="J31" t="str">
        <f t="shared" si="6"/>
        <v>B</v>
      </c>
      <c r="K31" t="str">
        <f>RIGHT(basicformulas[[#This Row],[Product]],5)</f>
        <v>ender</v>
      </c>
      <c r="L31">
        <f t="shared" si="7"/>
        <v>9.9700000000000006</v>
      </c>
      <c r="M31">
        <f t="shared" si="2"/>
        <v>1</v>
      </c>
      <c r="N31">
        <f t="shared" si="3"/>
        <v>20</v>
      </c>
      <c r="O31">
        <f t="shared" si="4"/>
        <v>4299</v>
      </c>
      <c r="P31">
        <f>RANK(basicformulas[[#This Row],[Quantity Sold]],F:F)</f>
        <v>88</v>
      </c>
      <c r="Q31">
        <f t="shared" si="5"/>
        <v>7</v>
      </c>
    </row>
    <row r="32" spans="1:25" x14ac:dyDescent="0.25">
      <c r="A32" s="2">
        <v>45762</v>
      </c>
      <c r="B32" t="s">
        <v>73</v>
      </c>
      <c r="C32" t="s">
        <v>81</v>
      </c>
      <c r="D32" t="s">
        <v>88</v>
      </c>
      <c r="E32">
        <v>12920</v>
      </c>
      <c r="F32">
        <v>17</v>
      </c>
      <c r="G32">
        <f t="shared" si="0"/>
        <v>4.1231056256176606</v>
      </c>
      <c r="H32">
        <f t="shared" si="1"/>
        <v>4.0999999999999996</v>
      </c>
      <c r="I32">
        <f>SUM(basicformulas[[#This Row],[sqrt]:[roung]])</f>
        <v>8.2231056256176593</v>
      </c>
      <c r="J32" t="str">
        <f t="shared" si="6"/>
        <v>S</v>
      </c>
      <c r="K32" t="str">
        <f>RIGHT(basicformulas[[#This Row],[Product]],5)</f>
        <v>akers</v>
      </c>
      <c r="L32">
        <f t="shared" si="7"/>
        <v>9.9700000000000006</v>
      </c>
      <c r="M32">
        <f t="shared" si="2"/>
        <v>1</v>
      </c>
      <c r="N32">
        <f t="shared" si="3"/>
        <v>20</v>
      </c>
      <c r="O32">
        <f t="shared" si="4"/>
        <v>4299</v>
      </c>
      <c r="P32">
        <f>RANK(basicformulas[[#This Row],[Quantity Sold]],F:F)</f>
        <v>16</v>
      </c>
      <c r="Q32">
        <f t="shared" si="5"/>
        <v>8</v>
      </c>
    </row>
    <row r="33" spans="1:17" x14ac:dyDescent="0.25">
      <c r="A33" s="2">
        <v>45692</v>
      </c>
      <c r="B33" t="s">
        <v>77</v>
      </c>
      <c r="C33" t="s">
        <v>83</v>
      </c>
      <c r="D33" t="s">
        <v>85</v>
      </c>
      <c r="E33">
        <v>2134</v>
      </c>
      <c r="F33">
        <v>11</v>
      </c>
      <c r="G33">
        <f t="shared" si="0"/>
        <v>3.3166247903553998</v>
      </c>
      <c r="H33">
        <f t="shared" si="1"/>
        <v>3.3</v>
      </c>
      <c r="I33">
        <f>SUM(basicformulas[[#This Row],[sqrt]:[roung]])</f>
        <v>6.6166247903553996</v>
      </c>
      <c r="J33" t="str">
        <f t="shared" si="6"/>
        <v>T</v>
      </c>
      <c r="K33" t="str">
        <f>RIGHT(basicformulas[[#This Row],[Product]],5)</f>
        <v>users</v>
      </c>
      <c r="L33">
        <f t="shared" si="7"/>
        <v>9.9700000000000006</v>
      </c>
      <c r="M33">
        <f t="shared" si="2"/>
        <v>1</v>
      </c>
      <c r="N33">
        <f t="shared" si="3"/>
        <v>20</v>
      </c>
      <c r="O33">
        <f t="shared" si="4"/>
        <v>4299</v>
      </c>
      <c r="P33">
        <f>RANK(basicformulas[[#This Row],[Quantity Sold]],F:F)</f>
        <v>39</v>
      </c>
      <c r="Q33">
        <f t="shared" si="5"/>
        <v>8</v>
      </c>
    </row>
    <row r="34" spans="1:17" x14ac:dyDescent="0.25">
      <c r="A34" s="2">
        <v>45747</v>
      </c>
      <c r="B34" t="s">
        <v>79</v>
      </c>
      <c r="C34" t="s">
        <v>81</v>
      </c>
      <c r="D34" t="s">
        <v>86</v>
      </c>
      <c r="E34">
        <v>311</v>
      </c>
      <c r="F34">
        <v>1</v>
      </c>
      <c r="G34">
        <f t="shared" ref="G34:G65" si="12">SQRT(F:F)</f>
        <v>1</v>
      </c>
      <c r="H34">
        <f t="shared" ref="H34:H65" si="13">ROUND(G:G,1)</f>
        <v>1</v>
      </c>
      <c r="I34">
        <f>SUM(basicformulas[[#This Row],[sqrt]:[roung]])</f>
        <v>2</v>
      </c>
      <c r="J34" t="str">
        <f t="shared" ref="J34:J65" si="14">LEFT(B:B,1)</f>
        <v>B</v>
      </c>
      <c r="K34" t="str">
        <f>RIGHT(basicformulas[[#This Row],[Product]],5)</f>
        <v>Boots</v>
      </c>
      <c r="L34">
        <f t="shared" ref="L34:L65" si="15">AVERAGE(F:F)</f>
        <v>9.9700000000000006</v>
      </c>
      <c r="M34">
        <f t="shared" ref="M34:M65" si="16">MIN(F:F)</f>
        <v>1</v>
      </c>
      <c r="N34">
        <f t="shared" ref="N34:N65" si="17">MAX(F:F)</f>
        <v>20</v>
      </c>
      <c r="O34">
        <f t="shared" ref="O34:O65" si="18">MEDIAN(E:E)</f>
        <v>4299</v>
      </c>
      <c r="P34">
        <f>RANK(basicformulas[[#This Row],[Quantity Sold]],F:F)</f>
        <v>97</v>
      </c>
      <c r="Q34">
        <f t="shared" ref="Q34:Q65" si="19">LEN(B:B)</f>
        <v>5</v>
      </c>
    </row>
    <row r="35" spans="1:17" x14ac:dyDescent="0.25">
      <c r="A35" s="2">
        <v>45714</v>
      </c>
      <c r="B35" t="s">
        <v>73</v>
      </c>
      <c r="C35" t="s">
        <v>81</v>
      </c>
      <c r="D35" t="s">
        <v>85</v>
      </c>
      <c r="E35">
        <v>2388</v>
      </c>
      <c r="F35">
        <v>3</v>
      </c>
      <c r="G35">
        <f t="shared" si="12"/>
        <v>1.7320508075688772</v>
      </c>
      <c r="H35">
        <f t="shared" si="13"/>
        <v>1.7</v>
      </c>
      <c r="I35">
        <f>SUM(basicformulas[[#This Row],[sqrt]:[roung]])</f>
        <v>3.4320508075688769</v>
      </c>
      <c r="J35" t="str">
        <f t="shared" si="14"/>
        <v>S</v>
      </c>
      <c r="K35" t="str">
        <f>RIGHT(basicformulas[[#This Row],[Product]],5)</f>
        <v>akers</v>
      </c>
      <c r="L35">
        <f t="shared" si="15"/>
        <v>9.9700000000000006</v>
      </c>
      <c r="M35">
        <f t="shared" si="16"/>
        <v>1</v>
      </c>
      <c r="N35">
        <f t="shared" si="17"/>
        <v>20</v>
      </c>
      <c r="O35">
        <f t="shared" si="18"/>
        <v>4299</v>
      </c>
      <c r="P35">
        <f>RANK(basicformulas[[#This Row],[Quantity Sold]],F:F)</f>
        <v>88</v>
      </c>
      <c r="Q35">
        <f t="shared" si="19"/>
        <v>8</v>
      </c>
    </row>
    <row r="36" spans="1:17" x14ac:dyDescent="0.25">
      <c r="A36" s="2">
        <v>45748</v>
      </c>
      <c r="B36" t="s">
        <v>76</v>
      </c>
      <c r="C36" t="s">
        <v>84</v>
      </c>
      <c r="D36" t="s">
        <v>85</v>
      </c>
      <c r="E36">
        <v>2853</v>
      </c>
      <c r="F36">
        <v>9</v>
      </c>
      <c r="G36">
        <f t="shared" si="12"/>
        <v>3</v>
      </c>
      <c r="H36">
        <f t="shared" si="13"/>
        <v>3</v>
      </c>
      <c r="I36">
        <f>SUM(basicformulas[[#This Row],[sqrt]:[roung]])</f>
        <v>6</v>
      </c>
      <c r="J36" t="str">
        <f t="shared" si="14"/>
        <v>M</v>
      </c>
      <c r="K36" t="str">
        <f>RIGHT(basicformulas[[#This Row],[Product]],5)</f>
        <v>owave</v>
      </c>
      <c r="L36">
        <f t="shared" si="15"/>
        <v>9.9700000000000006</v>
      </c>
      <c r="M36">
        <f t="shared" si="16"/>
        <v>1</v>
      </c>
      <c r="N36">
        <f t="shared" si="17"/>
        <v>20</v>
      </c>
      <c r="O36">
        <f t="shared" si="18"/>
        <v>4299</v>
      </c>
      <c r="P36">
        <f>RANK(basicformulas[[#This Row],[Quantity Sold]],F:F)</f>
        <v>49</v>
      </c>
      <c r="Q36">
        <f t="shared" si="19"/>
        <v>9</v>
      </c>
    </row>
    <row r="37" spans="1:17" x14ac:dyDescent="0.25">
      <c r="A37" s="2">
        <v>45677</v>
      </c>
      <c r="B37" t="s">
        <v>80</v>
      </c>
      <c r="C37" t="s">
        <v>82</v>
      </c>
      <c r="D37" t="s">
        <v>88</v>
      </c>
      <c r="E37">
        <v>4382</v>
      </c>
      <c r="F37">
        <v>7</v>
      </c>
      <c r="G37">
        <f t="shared" si="12"/>
        <v>2.6457513110645907</v>
      </c>
      <c r="H37">
        <f t="shared" si="13"/>
        <v>2.6</v>
      </c>
      <c r="I37">
        <f>SUM(basicformulas[[#This Row],[sqrt]:[roung]])</f>
        <v>5.2457513110645912</v>
      </c>
      <c r="J37" t="str">
        <f t="shared" si="14"/>
        <v>L</v>
      </c>
      <c r="K37" t="str">
        <f>RIGHT(basicformulas[[#This Row],[Product]],5)</f>
        <v>aptop</v>
      </c>
      <c r="L37">
        <f t="shared" si="15"/>
        <v>9.9700000000000006</v>
      </c>
      <c r="M37">
        <f t="shared" si="16"/>
        <v>1</v>
      </c>
      <c r="N37">
        <f t="shared" si="17"/>
        <v>20</v>
      </c>
      <c r="O37">
        <f t="shared" si="18"/>
        <v>4299</v>
      </c>
      <c r="P37">
        <f>RANK(basicformulas[[#This Row],[Quantity Sold]],F:F)</f>
        <v>63</v>
      </c>
      <c r="Q37">
        <f t="shared" si="19"/>
        <v>6</v>
      </c>
    </row>
    <row r="38" spans="1:17" x14ac:dyDescent="0.25">
      <c r="A38" s="2">
        <v>45749</v>
      </c>
      <c r="B38" t="s">
        <v>73</v>
      </c>
      <c r="C38" t="s">
        <v>81</v>
      </c>
      <c r="D38" t="s">
        <v>85</v>
      </c>
      <c r="E38">
        <v>2690</v>
      </c>
      <c r="F38">
        <v>5</v>
      </c>
      <c r="G38">
        <f t="shared" si="12"/>
        <v>2.2360679774997898</v>
      </c>
      <c r="H38">
        <f t="shared" si="13"/>
        <v>2.2000000000000002</v>
      </c>
      <c r="I38">
        <f>SUM(basicformulas[[#This Row],[sqrt]:[roung]])</f>
        <v>4.43606797749979</v>
      </c>
      <c r="J38" t="str">
        <f t="shared" si="14"/>
        <v>S</v>
      </c>
      <c r="K38" t="str">
        <f>RIGHT(basicformulas[[#This Row],[Product]],5)</f>
        <v>akers</v>
      </c>
      <c r="L38">
        <f t="shared" si="15"/>
        <v>9.9700000000000006</v>
      </c>
      <c r="M38">
        <f t="shared" si="16"/>
        <v>1</v>
      </c>
      <c r="N38">
        <f t="shared" si="17"/>
        <v>20</v>
      </c>
      <c r="O38">
        <f t="shared" si="18"/>
        <v>4299</v>
      </c>
      <c r="P38">
        <f>RANK(basicformulas[[#This Row],[Quantity Sold]],F:F)</f>
        <v>72</v>
      </c>
      <c r="Q38">
        <f t="shared" si="19"/>
        <v>8</v>
      </c>
    </row>
    <row r="39" spans="1:17" x14ac:dyDescent="0.25">
      <c r="A39" s="2">
        <v>45697</v>
      </c>
      <c r="B39" t="s">
        <v>77</v>
      </c>
      <c r="C39" t="s">
        <v>83</v>
      </c>
      <c r="D39" t="s">
        <v>87</v>
      </c>
      <c r="E39">
        <v>399</v>
      </c>
      <c r="F39">
        <v>3</v>
      </c>
      <c r="G39">
        <f t="shared" si="12"/>
        <v>1.7320508075688772</v>
      </c>
      <c r="H39">
        <f t="shared" si="13"/>
        <v>1.7</v>
      </c>
      <c r="I39">
        <f>SUM(basicformulas[[#This Row],[sqrt]:[roung]])</f>
        <v>3.4320508075688769</v>
      </c>
      <c r="J39" t="str">
        <f t="shared" si="14"/>
        <v>T</v>
      </c>
      <c r="K39" t="str">
        <f>RIGHT(basicformulas[[#This Row],[Product]],5)</f>
        <v>users</v>
      </c>
      <c r="L39">
        <f t="shared" si="15"/>
        <v>9.9700000000000006</v>
      </c>
      <c r="M39">
        <f t="shared" si="16"/>
        <v>1</v>
      </c>
      <c r="N39">
        <f t="shared" si="17"/>
        <v>20</v>
      </c>
      <c r="O39">
        <f t="shared" si="18"/>
        <v>4299</v>
      </c>
      <c r="P39">
        <f>RANK(basicformulas[[#This Row],[Quantity Sold]],F:F)</f>
        <v>88</v>
      </c>
      <c r="Q39">
        <f t="shared" si="19"/>
        <v>8</v>
      </c>
    </row>
    <row r="40" spans="1:17" x14ac:dyDescent="0.25">
      <c r="A40" s="2">
        <v>45670</v>
      </c>
      <c r="B40" t="s">
        <v>74</v>
      </c>
      <c r="C40" t="s">
        <v>82</v>
      </c>
      <c r="D40" t="s">
        <v>85</v>
      </c>
      <c r="E40">
        <v>4459</v>
      </c>
      <c r="F40">
        <v>7</v>
      </c>
      <c r="G40">
        <f t="shared" si="12"/>
        <v>2.6457513110645907</v>
      </c>
      <c r="H40">
        <f t="shared" si="13"/>
        <v>2.6</v>
      </c>
      <c r="I40">
        <f>SUM(basicformulas[[#This Row],[sqrt]:[roung]])</f>
        <v>5.2457513110645912</v>
      </c>
      <c r="J40" t="str">
        <f t="shared" si="14"/>
        <v>S</v>
      </c>
      <c r="K40" t="str">
        <f>RIGHT(basicformulas[[#This Row],[Product]],5)</f>
        <v>phone</v>
      </c>
      <c r="L40">
        <f t="shared" si="15"/>
        <v>9.9700000000000006</v>
      </c>
      <c r="M40">
        <f t="shared" si="16"/>
        <v>1</v>
      </c>
      <c r="N40">
        <f t="shared" si="17"/>
        <v>20</v>
      </c>
      <c r="O40">
        <f t="shared" si="18"/>
        <v>4299</v>
      </c>
      <c r="P40">
        <f>RANK(basicformulas[[#This Row],[Quantity Sold]],F:F)</f>
        <v>63</v>
      </c>
      <c r="Q40">
        <f t="shared" si="19"/>
        <v>10</v>
      </c>
    </row>
    <row r="41" spans="1:17" x14ac:dyDescent="0.25">
      <c r="A41" s="2">
        <v>45704</v>
      </c>
      <c r="B41" t="s">
        <v>74</v>
      </c>
      <c r="C41" t="s">
        <v>82</v>
      </c>
      <c r="D41" t="s">
        <v>85</v>
      </c>
      <c r="E41">
        <v>2274</v>
      </c>
      <c r="F41">
        <v>3</v>
      </c>
      <c r="G41">
        <f t="shared" si="12"/>
        <v>1.7320508075688772</v>
      </c>
      <c r="H41">
        <f t="shared" si="13"/>
        <v>1.7</v>
      </c>
      <c r="I41">
        <f>SUM(basicformulas[[#This Row],[sqrt]:[roung]])</f>
        <v>3.4320508075688769</v>
      </c>
      <c r="J41" t="str">
        <f t="shared" si="14"/>
        <v>S</v>
      </c>
      <c r="K41" t="str">
        <f>RIGHT(basicformulas[[#This Row],[Product]],5)</f>
        <v>phone</v>
      </c>
      <c r="L41">
        <f t="shared" si="15"/>
        <v>9.9700000000000006</v>
      </c>
      <c r="M41">
        <f t="shared" si="16"/>
        <v>1</v>
      </c>
      <c r="N41">
        <f t="shared" si="17"/>
        <v>20</v>
      </c>
      <c r="O41">
        <f t="shared" si="18"/>
        <v>4299</v>
      </c>
      <c r="P41">
        <f>RANK(basicformulas[[#This Row],[Quantity Sold]],F:F)</f>
        <v>88</v>
      </c>
      <c r="Q41">
        <f t="shared" si="19"/>
        <v>10</v>
      </c>
    </row>
    <row r="42" spans="1:17" x14ac:dyDescent="0.25">
      <c r="A42" s="2">
        <v>45725</v>
      </c>
      <c r="B42" t="s">
        <v>77</v>
      </c>
      <c r="C42" t="s">
        <v>83</v>
      </c>
      <c r="D42" t="s">
        <v>87</v>
      </c>
      <c r="E42">
        <v>11552</v>
      </c>
      <c r="F42">
        <v>19</v>
      </c>
      <c r="G42">
        <f t="shared" si="12"/>
        <v>4.358898943540674</v>
      </c>
      <c r="H42">
        <f t="shared" si="13"/>
        <v>4.4000000000000004</v>
      </c>
      <c r="I42">
        <f>SUM(basicformulas[[#This Row],[sqrt]:[roung]])</f>
        <v>8.7588989435406752</v>
      </c>
      <c r="J42" t="str">
        <f t="shared" si="14"/>
        <v>T</v>
      </c>
      <c r="K42" t="str">
        <f>RIGHT(basicformulas[[#This Row],[Product]],5)</f>
        <v>users</v>
      </c>
      <c r="L42">
        <f t="shared" si="15"/>
        <v>9.9700000000000006</v>
      </c>
      <c r="M42">
        <f t="shared" si="16"/>
        <v>1</v>
      </c>
      <c r="N42">
        <f t="shared" si="17"/>
        <v>20</v>
      </c>
      <c r="O42">
        <f t="shared" si="18"/>
        <v>4299</v>
      </c>
      <c r="P42">
        <f>RANK(basicformulas[[#This Row],[Quantity Sold]],F:F)</f>
        <v>5</v>
      </c>
      <c r="Q42">
        <f t="shared" si="19"/>
        <v>8</v>
      </c>
    </row>
    <row r="43" spans="1:17" x14ac:dyDescent="0.25">
      <c r="A43" s="2">
        <v>45749</v>
      </c>
      <c r="B43" t="s">
        <v>73</v>
      </c>
      <c r="C43" t="s">
        <v>81</v>
      </c>
      <c r="D43" t="s">
        <v>87</v>
      </c>
      <c r="E43">
        <v>4540</v>
      </c>
      <c r="F43">
        <v>5</v>
      </c>
      <c r="G43">
        <f t="shared" si="12"/>
        <v>2.2360679774997898</v>
      </c>
      <c r="H43">
        <f t="shared" si="13"/>
        <v>2.2000000000000002</v>
      </c>
      <c r="I43">
        <f>SUM(basicformulas[[#This Row],[sqrt]:[roung]])</f>
        <v>4.43606797749979</v>
      </c>
      <c r="J43" t="str">
        <f t="shared" si="14"/>
        <v>S</v>
      </c>
      <c r="K43" t="str">
        <f>RIGHT(basicformulas[[#This Row],[Product]],5)</f>
        <v>akers</v>
      </c>
      <c r="L43">
        <f t="shared" si="15"/>
        <v>9.9700000000000006</v>
      </c>
      <c r="M43">
        <f t="shared" si="16"/>
        <v>1</v>
      </c>
      <c r="N43">
        <f t="shared" si="17"/>
        <v>20</v>
      </c>
      <c r="O43">
        <f t="shared" si="18"/>
        <v>4299</v>
      </c>
      <c r="P43">
        <f>RANK(basicformulas[[#This Row],[Quantity Sold]],F:F)</f>
        <v>72</v>
      </c>
      <c r="Q43">
        <f t="shared" si="19"/>
        <v>8</v>
      </c>
    </row>
    <row r="44" spans="1:17" x14ac:dyDescent="0.25">
      <c r="A44" s="2">
        <v>45695</v>
      </c>
      <c r="B44" t="s">
        <v>77</v>
      </c>
      <c r="C44" t="s">
        <v>83</v>
      </c>
      <c r="D44" t="s">
        <v>85</v>
      </c>
      <c r="E44">
        <v>4216</v>
      </c>
      <c r="F44">
        <v>8</v>
      </c>
      <c r="G44">
        <f t="shared" si="12"/>
        <v>2.8284271247461903</v>
      </c>
      <c r="H44">
        <f t="shared" si="13"/>
        <v>2.8</v>
      </c>
      <c r="I44">
        <f>SUM(basicformulas[[#This Row],[sqrt]:[roung]])</f>
        <v>5.6284271247461906</v>
      </c>
      <c r="J44" t="str">
        <f t="shared" si="14"/>
        <v>T</v>
      </c>
      <c r="K44" t="str">
        <f>RIGHT(basicformulas[[#This Row],[Product]],5)</f>
        <v>users</v>
      </c>
      <c r="L44">
        <f t="shared" si="15"/>
        <v>9.9700000000000006</v>
      </c>
      <c r="M44">
        <f t="shared" si="16"/>
        <v>1</v>
      </c>
      <c r="N44">
        <f t="shared" si="17"/>
        <v>20</v>
      </c>
      <c r="O44">
        <f t="shared" si="18"/>
        <v>4299</v>
      </c>
      <c r="P44">
        <f>RANK(basicformulas[[#This Row],[Quantity Sold]],F:F)</f>
        <v>56</v>
      </c>
      <c r="Q44">
        <f t="shared" si="19"/>
        <v>8</v>
      </c>
    </row>
    <row r="45" spans="1:17" x14ac:dyDescent="0.25">
      <c r="A45" s="2">
        <v>45705</v>
      </c>
      <c r="B45" t="s">
        <v>75</v>
      </c>
      <c r="C45" t="s">
        <v>83</v>
      </c>
      <c r="D45" t="s">
        <v>85</v>
      </c>
      <c r="E45">
        <v>4140</v>
      </c>
      <c r="F45">
        <v>18</v>
      </c>
      <c r="G45">
        <f t="shared" si="12"/>
        <v>4.2426406871192848</v>
      </c>
      <c r="H45">
        <f t="shared" si="13"/>
        <v>4.2</v>
      </c>
      <c r="I45">
        <f>SUM(basicformulas[[#This Row],[sqrt]:[roung]])</f>
        <v>8.4426406871192849</v>
      </c>
      <c r="J45" t="str">
        <f t="shared" si="14"/>
        <v>S</v>
      </c>
      <c r="K45" t="str">
        <f>RIGHT(basicformulas[[#This Row],[Product]],5)</f>
        <v>Shirt</v>
      </c>
      <c r="L45">
        <f t="shared" si="15"/>
        <v>9.9700000000000006</v>
      </c>
      <c r="M45">
        <f t="shared" si="16"/>
        <v>1</v>
      </c>
      <c r="N45">
        <f t="shared" si="17"/>
        <v>20</v>
      </c>
      <c r="O45">
        <f t="shared" si="18"/>
        <v>4299</v>
      </c>
      <c r="P45">
        <f>RANK(basicformulas[[#This Row],[Quantity Sold]],F:F)</f>
        <v>10</v>
      </c>
      <c r="Q45">
        <f t="shared" si="19"/>
        <v>5</v>
      </c>
    </row>
    <row r="46" spans="1:17" x14ac:dyDescent="0.25">
      <c r="A46" s="2">
        <v>45728</v>
      </c>
      <c r="B46" t="s">
        <v>74</v>
      </c>
      <c r="C46" t="s">
        <v>82</v>
      </c>
      <c r="D46" t="s">
        <v>88</v>
      </c>
      <c r="E46">
        <v>8610</v>
      </c>
      <c r="F46">
        <v>10</v>
      </c>
      <c r="G46">
        <f t="shared" si="12"/>
        <v>3.1622776601683795</v>
      </c>
      <c r="H46">
        <f t="shared" si="13"/>
        <v>3.2</v>
      </c>
      <c r="I46">
        <f>SUM(basicformulas[[#This Row],[sqrt]:[roung]])</f>
        <v>6.3622776601683793</v>
      </c>
      <c r="J46" t="str">
        <f t="shared" si="14"/>
        <v>S</v>
      </c>
      <c r="K46" t="str">
        <f>RIGHT(basicformulas[[#This Row],[Product]],5)</f>
        <v>phone</v>
      </c>
      <c r="L46">
        <f t="shared" si="15"/>
        <v>9.9700000000000006</v>
      </c>
      <c r="M46">
        <f t="shared" si="16"/>
        <v>1</v>
      </c>
      <c r="N46">
        <f t="shared" si="17"/>
        <v>20</v>
      </c>
      <c r="O46">
        <f t="shared" si="18"/>
        <v>4299</v>
      </c>
      <c r="P46">
        <f>RANK(basicformulas[[#This Row],[Quantity Sold]],F:F)</f>
        <v>43</v>
      </c>
      <c r="Q46">
        <f t="shared" si="19"/>
        <v>10</v>
      </c>
    </row>
    <row r="47" spans="1:17" x14ac:dyDescent="0.25">
      <c r="A47" s="2">
        <v>45719</v>
      </c>
      <c r="B47" t="s">
        <v>74</v>
      </c>
      <c r="C47" t="s">
        <v>82</v>
      </c>
      <c r="D47" t="s">
        <v>88</v>
      </c>
      <c r="E47">
        <v>7200</v>
      </c>
      <c r="F47">
        <v>8</v>
      </c>
      <c r="G47">
        <f t="shared" si="12"/>
        <v>2.8284271247461903</v>
      </c>
      <c r="H47">
        <f t="shared" si="13"/>
        <v>2.8</v>
      </c>
      <c r="I47">
        <f>SUM(basicformulas[[#This Row],[sqrt]:[roung]])</f>
        <v>5.6284271247461906</v>
      </c>
      <c r="J47" t="str">
        <f t="shared" si="14"/>
        <v>S</v>
      </c>
      <c r="K47" t="str">
        <f>RIGHT(basicformulas[[#This Row],[Product]],5)</f>
        <v>phone</v>
      </c>
      <c r="L47">
        <f t="shared" si="15"/>
        <v>9.9700000000000006</v>
      </c>
      <c r="M47">
        <f t="shared" si="16"/>
        <v>1</v>
      </c>
      <c r="N47">
        <f t="shared" si="17"/>
        <v>20</v>
      </c>
      <c r="O47">
        <f t="shared" si="18"/>
        <v>4299</v>
      </c>
      <c r="P47">
        <f>RANK(basicformulas[[#This Row],[Quantity Sold]],F:F)</f>
        <v>56</v>
      </c>
      <c r="Q47">
        <f t="shared" si="19"/>
        <v>10</v>
      </c>
    </row>
    <row r="48" spans="1:17" x14ac:dyDescent="0.25">
      <c r="A48" s="2">
        <v>45746</v>
      </c>
      <c r="B48" t="s">
        <v>79</v>
      </c>
      <c r="C48" t="s">
        <v>81</v>
      </c>
      <c r="D48" t="s">
        <v>85</v>
      </c>
      <c r="E48">
        <v>10849</v>
      </c>
      <c r="F48">
        <v>19</v>
      </c>
      <c r="G48">
        <f t="shared" si="12"/>
        <v>4.358898943540674</v>
      </c>
      <c r="H48">
        <f t="shared" si="13"/>
        <v>4.4000000000000004</v>
      </c>
      <c r="I48">
        <f>SUM(basicformulas[[#This Row],[sqrt]:[roung]])</f>
        <v>8.7588989435406752</v>
      </c>
      <c r="J48" t="str">
        <f t="shared" si="14"/>
        <v>B</v>
      </c>
      <c r="K48" t="str">
        <f>RIGHT(basicformulas[[#This Row],[Product]],5)</f>
        <v>Boots</v>
      </c>
      <c r="L48">
        <f t="shared" si="15"/>
        <v>9.9700000000000006</v>
      </c>
      <c r="M48">
        <f t="shared" si="16"/>
        <v>1</v>
      </c>
      <c r="N48">
        <f t="shared" si="17"/>
        <v>20</v>
      </c>
      <c r="O48">
        <f t="shared" si="18"/>
        <v>4299</v>
      </c>
      <c r="P48">
        <f>RANK(basicformulas[[#This Row],[Quantity Sold]],F:F)</f>
        <v>5</v>
      </c>
      <c r="Q48">
        <f t="shared" si="19"/>
        <v>5</v>
      </c>
    </row>
    <row r="49" spans="1:17" x14ac:dyDescent="0.25">
      <c r="A49" s="2">
        <v>45660</v>
      </c>
      <c r="B49" t="s">
        <v>78</v>
      </c>
      <c r="C49" t="s">
        <v>84</v>
      </c>
      <c r="D49" t="s">
        <v>85</v>
      </c>
      <c r="E49">
        <v>14256</v>
      </c>
      <c r="F49">
        <v>16</v>
      </c>
      <c r="G49">
        <f t="shared" si="12"/>
        <v>4</v>
      </c>
      <c r="H49">
        <f t="shared" si="13"/>
        <v>4</v>
      </c>
      <c r="I49">
        <f>SUM(basicformulas[[#This Row],[sqrt]:[roung]])</f>
        <v>8</v>
      </c>
      <c r="J49" t="str">
        <f t="shared" si="14"/>
        <v>B</v>
      </c>
      <c r="K49" t="str">
        <f>RIGHT(basicformulas[[#This Row],[Product]],5)</f>
        <v>ender</v>
      </c>
      <c r="L49">
        <f t="shared" si="15"/>
        <v>9.9700000000000006</v>
      </c>
      <c r="M49">
        <f t="shared" si="16"/>
        <v>1</v>
      </c>
      <c r="N49">
        <f t="shared" si="17"/>
        <v>20</v>
      </c>
      <c r="O49">
        <f t="shared" si="18"/>
        <v>4299</v>
      </c>
      <c r="P49">
        <f>RANK(basicformulas[[#This Row],[Quantity Sold]],F:F)</f>
        <v>20</v>
      </c>
      <c r="Q49">
        <f t="shared" si="19"/>
        <v>7</v>
      </c>
    </row>
    <row r="50" spans="1:17" x14ac:dyDescent="0.25">
      <c r="A50" s="2">
        <v>45701</v>
      </c>
      <c r="B50" t="s">
        <v>74</v>
      </c>
      <c r="C50" t="s">
        <v>82</v>
      </c>
      <c r="D50" t="s">
        <v>88</v>
      </c>
      <c r="E50">
        <v>1464</v>
      </c>
      <c r="F50">
        <v>2</v>
      </c>
      <c r="G50">
        <f t="shared" si="12"/>
        <v>1.4142135623730951</v>
      </c>
      <c r="H50">
        <f t="shared" si="13"/>
        <v>1.4</v>
      </c>
      <c r="I50">
        <f>SUM(basicformulas[[#This Row],[sqrt]:[roung]])</f>
        <v>2.8142135623730953</v>
      </c>
      <c r="J50" t="str">
        <f t="shared" si="14"/>
        <v>S</v>
      </c>
      <c r="K50" t="str">
        <f>RIGHT(basicformulas[[#This Row],[Product]],5)</f>
        <v>phone</v>
      </c>
      <c r="L50">
        <f t="shared" si="15"/>
        <v>9.9700000000000006</v>
      </c>
      <c r="M50">
        <f t="shared" si="16"/>
        <v>1</v>
      </c>
      <c r="N50">
        <f t="shared" si="17"/>
        <v>20</v>
      </c>
      <c r="O50">
        <f t="shared" si="18"/>
        <v>4299</v>
      </c>
      <c r="P50">
        <f>RANK(basicformulas[[#This Row],[Quantity Sold]],F:F)</f>
        <v>94</v>
      </c>
      <c r="Q50">
        <f t="shared" si="19"/>
        <v>10</v>
      </c>
    </row>
    <row r="51" spans="1:17" x14ac:dyDescent="0.25">
      <c r="A51" s="2">
        <v>45732</v>
      </c>
      <c r="B51" t="s">
        <v>78</v>
      </c>
      <c r="C51" t="s">
        <v>84</v>
      </c>
      <c r="D51" t="s">
        <v>88</v>
      </c>
      <c r="E51">
        <v>9622</v>
      </c>
      <c r="F51">
        <v>17</v>
      </c>
      <c r="G51">
        <f t="shared" si="12"/>
        <v>4.1231056256176606</v>
      </c>
      <c r="H51">
        <f t="shared" si="13"/>
        <v>4.0999999999999996</v>
      </c>
      <c r="I51">
        <f>SUM(basicformulas[[#This Row],[sqrt]:[roung]])</f>
        <v>8.2231056256176593</v>
      </c>
      <c r="J51" t="str">
        <f t="shared" si="14"/>
        <v>B</v>
      </c>
      <c r="K51" t="str">
        <f>RIGHT(basicformulas[[#This Row],[Product]],5)</f>
        <v>ender</v>
      </c>
      <c r="L51">
        <f t="shared" si="15"/>
        <v>9.9700000000000006</v>
      </c>
      <c r="M51">
        <f t="shared" si="16"/>
        <v>1</v>
      </c>
      <c r="N51">
        <f t="shared" si="17"/>
        <v>20</v>
      </c>
      <c r="O51">
        <f t="shared" si="18"/>
        <v>4299</v>
      </c>
      <c r="P51">
        <f>RANK(basicformulas[[#This Row],[Quantity Sold]],F:F)</f>
        <v>16</v>
      </c>
      <c r="Q51">
        <f t="shared" si="19"/>
        <v>7</v>
      </c>
    </row>
    <row r="52" spans="1:17" x14ac:dyDescent="0.25">
      <c r="A52" s="2">
        <v>45707</v>
      </c>
      <c r="B52" t="s">
        <v>75</v>
      </c>
      <c r="C52" t="s">
        <v>83</v>
      </c>
      <c r="D52" t="s">
        <v>87</v>
      </c>
      <c r="E52">
        <v>13420</v>
      </c>
      <c r="F52">
        <v>20</v>
      </c>
      <c r="G52">
        <f t="shared" si="12"/>
        <v>4.4721359549995796</v>
      </c>
      <c r="H52">
        <f t="shared" si="13"/>
        <v>4.5</v>
      </c>
      <c r="I52">
        <f>SUM(basicformulas[[#This Row],[sqrt]:[roung]])</f>
        <v>8.9721359549995796</v>
      </c>
      <c r="J52" t="str">
        <f t="shared" si="14"/>
        <v>S</v>
      </c>
      <c r="K52" t="str">
        <f>RIGHT(basicformulas[[#This Row],[Product]],5)</f>
        <v>Shirt</v>
      </c>
      <c r="L52">
        <f t="shared" si="15"/>
        <v>9.9700000000000006</v>
      </c>
      <c r="M52">
        <f t="shared" si="16"/>
        <v>1</v>
      </c>
      <c r="N52">
        <f t="shared" si="17"/>
        <v>20</v>
      </c>
      <c r="O52">
        <f t="shared" si="18"/>
        <v>4299</v>
      </c>
      <c r="P52">
        <f>RANK(basicformulas[[#This Row],[Quantity Sold]],F:F)</f>
        <v>1</v>
      </c>
      <c r="Q52">
        <f t="shared" si="19"/>
        <v>5</v>
      </c>
    </row>
    <row r="53" spans="1:17" x14ac:dyDescent="0.25">
      <c r="A53" s="2">
        <v>45705</v>
      </c>
      <c r="B53" t="s">
        <v>75</v>
      </c>
      <c r="C53" t="s">
        <v>83</v>
      </c>
      <c r="D53" t="s">
        <v>87</v>
      </c>
      <c r="E53">
        <v>3004</v>
      </c>
      <c r="F53">
        <v>4</v>
      </c>
      <c r="G53">
        <f t="shared" si="12"/>
        <v>2</v>
      </c>
      <c r="H53">
        <f t="shared" si="13"/>
        <v>2</v>
      </c>
      <c r="I53">
        <f>SUM(basicformulas[[#This Row],[sqrt]:[roung]])</f>
        <v>4</v>
      </c>
      <c r="J53" t="str">
        <f t="shared" si="14"/>
        <v>S</v>
      </c>
      <c r="K53" t="str">
        <f>RIGHT(basicformulas[[#This Row],[Product]],5)</f>
        <v>Shirt</v>
      </c>
      <c r="L53">
        <f t="shared" si="15"/>
        <v>9.9700000000000006</v>
      </c>
      <c r="M53">
        <f t="shared" si="16"/>
        <v>1</v>
      </c>
      <c r="N53">
        <f t="shared" si="17"/>
        <v>20</v>
      </c>
      <c r="O53">
        <f t="shared" si="18"/>
        <v>4299</v>
      </c>
      <c r="P53">
        <f>RANK(basicformulas[[#This Row],[Quantity Sold]],F:F)</f>
        <v>82</v>
      </c>
      <c r="Q53">
        <f t="shared" si="19"/>
        <v>5</v>
      </c>
    </row>
    <row r="54" spans="1:17" x14ac:dyDescent="0.25">
      <c r="A54" s="2">
        <v>45754</v>
      </c>
      <c r="B54" t="s">
        <v>76</v>
      </c>
      <c r="C54" t="s">
        <v>84</v>
      </c>
      <c r="D54" t="s">
        <v>88</v>
      </c>
      <c r="E54">
        <v>11865</v>
      </c>
      <c r="F54">
        <v>15</v>
      </c>
      <c r="G54">
        <f t="shared" si="12"/>
        <v>3.872983346207417</v>
      </c>
      <c r="H54">
        <f t="shared" si="13"/>
        <v>3.9</v>
      </c>
      <c r="I54">
        <f>SUM(basicformulas[[#This Row],[sqrt]:[roung]])</f>
        <v>7.7729833462074165</v>
      </c>
      <c r="J54" t="str">
        <f t="shared" si="14"/>
        <v>M</v>
      </c>
      <c r="K54" t="str">
        <f>RIGHT(basicformulas[[#This Row],[Product]],5)</f>
        <v>owave</v>
      </c>
      <c r="L54">
        <f t="shared" si="15"/>
        <v>9.9700000000000006</v>
      </c>
      <c r="M54">
        <f t="shared" si="16"/>
        <v>1</v>
      </c>
      <c r="N54">
        <f t="shared" si="17"/>
        <v>20</v>
      </c>
      <c r="O54">
        <f t="shared" si="18"/>
        <v>4299</v>
      </c>
      <c r="P54">
        <f>RANK(basicformulas[[#This Row],[Quantity Sold]],F:F)</f>
        <v>21</v>
      </c>
      <c r="Q54">
        <f t="shared" si="19"/>
        <v>9</v>
      </c>
    </row>
    <row r="55" spans="1:17" x14ac:dyDescent="0.25">
      <c r="A55" s="2">
        <v>45719</v>
      </c>
      <c r="B55" t="s">
        <v>80</v>
      </c>
      <c r="C55" t="s">
        <v>82</v>
      </c>
      <c r="D55" t="s">
        <v>87</v>
      </c>
      <c r="E55">
        <v>7395</v>
      </c>
      <c r="F55">
        <v>17</v>
      </c>
      <c r="G55">
        <f t="shared" si="12"/>
        <v>4.1231056256176606</v>
      </c>
      <c r="H55">
        <f t="shared" si="13"/>
        <v>4.0999999999999996</v>
      </c>
      <c r="I55">
        <f>SUM(basicformulas[[#This Row],[sqrt]:[roung]])</f>
        <v>8.2231056256176593</v>
      </c>
      <c r="J55" t="str">
        <f t="shared" si="14"/>
        <v>L</v>
      </c>
      <c r="K55" t="str">
        <f>RIGHT(basicformulas[[#This Row],[Product]],5)</f>
        <v>aptop</v>
      </c>
      <c r="L55">
        <f t="shared" si="15"/>
        <v>9.9700000000000006</v>
      </c>
      <c r="M55">
        <f t="shared" si="16"/>
        <v>1</v>
      </c>
      <c r="N55">
        <f t="shared" si="17"/>
        <v>20</v>
      </c>
      <c r="O55">
        <f t="shared" si="18"/>
        <v>4299</v>
      </c>
      <c r="P55">
        <f>RANK(basicformulas[[#This Row],[Quantity Sold]],F:F)</f>
        <v>16</v>
      </c>
      <c r="Q55">
        <f t="shared" si="19"/>
        <v>6</v>
      </c>
    </row>
    <row r="56" spans="1:17" x14ac:dyDescent="0.25">
      <c r="A56" s="2">
        <v>45704</v>
      </c>
      <c r="B56" t="s">
        <v>73</v>
      </c>
      <c r="C56" t="s">
        <v>81</v>
      </c>
      <c r="D56" t="s">
        <v>85</v>
      </c>
      <c r="E56">
        <v>12701</v>
      </c>
      <c r="F56">
        <v>13</v>
      </c>
      <c r="G56">
        <f t="shared" si="12"/>
        <v>3.6055512754639891</v>
      </c>
      <c r="H56">
        <f t="shared" si="13"/>
        <v>3.6</v>
      </c>
      <c r="I56">
        <f>SUM(basicformulas[[#This Row],[sqrt]:[roung]])</f>
        <v>7.2055512754639892</v>
      </c>
      <c r="J56" t="str">
        <f t="shared" si="14"/>
        <v>S</v>
      </c>
      <c r="K56" t="str">
        <f>RIGHT(basicformulas[[#This Row],[Product]],5)</f>
        <v>akers</v>
      </c>
      <c r="L56">
        <f t="shared" si="15"/>
        <v>9.9700000000000006</v>
      </c>
      <c r="M56">
        <f t="shared" si="16"/>
        <v>1</v>
      </c>
      <c r="N56">
        <f t="shared" si="17"/>
        <v>20</v>
      </c>
      <c r="O56">
        <f t="shared" si="18"/>
        <v>4299</v>
      </c>
      <c r="P56">
        <f>RANK(basicformulas[[#This Row],[Quantity Sold]],F:F)</f>
        <v>29</v>
      </c>
      <c r="Q56">
        <f t="shared" si="19"/>
        <v>8</v>
      </c>
    </row>
    <row r="57" spans="1:17" x14ac:dyDescent="0.25">
      <c r="A57" s="2">
        <v>45766</v>
      </c>
      <c r="B57" t="s">
        <v>75</v>
      </c>
      <c r="C57" t="s">
        <v>83</v>
      </c>
      <c r="D57" t="s">
        <v>85</v>
      </c>
      <c r="E57">
        <v>8697</v>
      </c>
      <c r="F57">
        <v>13</v>
      </c>
      <c r="G57">
        <f t="shared" si="12"/>
        <v>3.6055512754639891</v>
      </c>
      <c r="H57">
        <f t="shared" si="13"/>
        <v>3.6</v>
      </c>
      <c r="I57">
        <f>SUM(basicformulas[[#This Row],[sqrt]:[roung]])</f>
        <v>7.2055512754639892</v>
      </c>
      <c r="J57" t="str">
        <f t="shared" si="14"/>
        <v>S</v>
      </c>
      <c r="K57" t="str">
        <f>RIGHT(basicformulas[[#This Row],[Product]],5)</f>
        <v>Shirt</v>
      </c>
      <c r="L57">
        <f t="shared" si="15"/>
        <v>9.9700000000000006</v>
      </c>
      <c r="M57">
        <f t="shared" si="16"/>
        <v>1</v>
      </c>
      <c r="N57">
        <f t="shared" si="17"/>
        <v>20</v>
      </c>
      <c r="O57">
        <f t="shared" si="18"/>
        <v>4299</v>
      </c>
      <c r="P57">
        <f>RANK(basicformulas[[#This Row],[Quantity Sold]],F:F)</f>
        <v>29</v>
      </c>
      <c r="Q57">
        <f t="shared" si="19"/>
        <v>5</v>
      </c>
    </row>
    <row r="58" spans="1:17" x14ac:dyDescent="0.25">
      <c r="A58" s="2">
        <v>45693</v>
      </c>
      <c r="B58" t="s">
        <v>76</v>
      </c>
      <c r="C58" t="s">
        <v>84</v>
      </c>
      <c r="D58" t="s">
        <v>88</v>
      </c>
      <c r="E58">
        <v>2728</v>
      </c>
      <c r="F58">
        <v>11</v>
      </c>
      <c r="G58">
        <f t="shared" si="12"/>
        <v>3.3166247903553998</v>
      </c>
      <c r="H58">
        <f t="shared" si="13"/>
        <v>3.3</v>
      </c>
      <c r="I58">
        <f>SUM(basicformulas[[#This Row],[sqrt]:[roung]])</f>
        <v>6.6166247903553996</v>
      </c>
      <c r="J58" t="str">
        <f t="shared" si="14"/>
        <v>M</v>
      </c>
      <c r="K58" t="str">
        <f>RIGHT(basicformulas[[#This Row],[Product]],5)</f>
        <v>owave</v>
      </c>
      <c r="L58">
        <f t="shared" si="15"/>
        <v>9.9700000000000006</v>
      </c>
      <c r="M58">
        <f t="shared" si="16"/>
        <v>1</v>
      </c>
      <c r="N58">
        <f t="shared" si="17"/>
        <v>20</v>
      </c>
      <c r="O58">
        <f t="shared" si="18"/>
        <v>4299</v>
      </c>
      <c r="P58">
        <f>RANK(basicformulas[[#This Row],[Quantity Sold]],F:F)</f>
        <v>39</v>
      </c>
      <c r="Q58">
        <f t="shared" si="19"/>
        <v>9</v>
      </c>
    </row>
    <row r="59" spans="1:17" x14ac:dyDescent="0.25">
      <c r="A59" s="2">
        <v>45658</v>
      </c>
      <c r="B59" t="s">
        <v>78</v>
      </c>
      <c r="C59" t="s">
        <v>84</v>
      </c>
      <c r="D59" t="s">
        <v>86</v>
      </c>
      <c r="E59">
        <v>7395</v>
      </c>
      <c r="F59">
        <v>17</v>
      </c>
      <c r="G59">
        <f t="shared" si="12"/>
        <v>4.1231056256176606</v>
      </c>
      <c r="H59">
        <f t="shared" si="13"/>
        <v>4.0999999999999996</v>
      </c>
      <c r="I59">
        <f>SUM(basicformulas[[#This Row],[sqrt]:[roung]])</f>
        <v>8.2231056256176593</v>
      </c>
      <c r="J59" t="str">
        <f t="shared" si="14"/>
        <v>B</v>
      </c>
      <c r="K59" t="str">
        <f>RIGHT(basicformulas[[#This Row],[Product]],5)</f>
        <v>ender</v>
      </c>
      <c r="L59">
        <f t="shared" si="15"/>
        <v>9.9700000000000006</v>
      </c>
      <c r="M59">
        <f t="shared" si="16"/>
        <v>1</v>
      </c>
      <c r="N59">
        <f t="shared" si="17"/>
        <v>20</v>
      </c>
      <c r="O59">
        <f t="shared" si="18"/>
        <v>4299</v>
      </c>
      <c r="P59">
        <f>RANK(basicformulas[[#This Row],[Quantity Sold]],F:F)</f>
        <v>16</v>
      </c>
      <c r="Q59">
        <f t="shared" si="19"/>
        <v>7</v>
      </c>
    </row>
    <row r="60" spans="1:17" x14ac:dyDescent="0.25">
      <c r="A60" s="2">
        <v>45744</v>
      </c>
      <c r="B60" t="s">
        <v>80</v>
      </c>
      <c r="C60" t="s">
        <v>82</v>
      </c>
      <c r="D60" t="s">
        <v>85</v>
      </c>
      <c r="E60">
        <v>632</v>
      </c>
      <c r="F60">
        <v>1</v>
      </c>
      <c r="G60">
        <f t="shared" si="12"/>
        <v>1</v>
      </c>
      <c r="H60">
        <f t="shared" si="13"/>
        <v>1</v>
      </c>
      <c r="I60">
        <f>SUM(basicformulas[[#This Row],[sqrt]:[roung]])</f>
        <v>2</v>
      </c>
      <c r="J60" t="str">
        <f t="shared" si="14"/>
        <v>L</v>
      </c>
      <c r="K60" t="str">
        <f>RIGHT(basicformulas[[#This Row],[Product]],5)</f>
        <v>aptop</v>
      </c>
      <c r="L60">
        <f t="shared" si="15"/>
        <v>9.9700000000000006</v>
      </c>
      <c r="M60">
        <f t="shared" si="16"/>
        <v>1</v>
      </c>
      <c r="N60">
        <f t="shared" si="17"/>
        <v>20</v>
      </c>
      <c r="O60">
        <f t="shared" si="18"/>
        <v>4299</v>
      </c>
      <c r="P60">
        <f>RANK(basicformulas[[#This Row],[Quantity Sold]],F:F)</f>
        <v>97</v>
      </c>
      <c r="Q60">
        <f t="shared" si="19"/>
        <v>6</v>
      </c>
    </row>
    <row r="61" spans="1:17" x14ac:dyDescent="0.25">
      <c r="A61" s="2">
        <v>45732</v>
      </c>
      <c r="B61" t="s">
        <v>77</v>
      </c>
      <c r="C61" t="s">
        <v>83</v>
      </c>
      <c r="D61" t="s">
        <v>88</v>
      </c>
      <c r="E61">
        <v>1044</v>
      </c>
      <c r="F61">
        <v>3</v>
      </c>
      <c r="G61">
        <f t="shared" si="12"/>
        <v>1.7320508075688772</v>
      </c>
      <c r="H61">
        <f t="shared" si="13"/>
        <v>1.7</v>
      </c>
      <c r="I61">
        <f>SUM(basicformulas[[#This Row],[sqrt]:[roung]])</f>
        <v>3.4320508075688769</v>
      </c>
      <c r="J61" t="str">
        <f t="shared" si="14"/>
        <v>T</v>
      </c>
      <c r="K61" t="str">
        <f>RIGHT(basicformulas[[#This Row],[Product]],5)</f>
        <v>users</v>
      </c>
      <c r="L61">
        <f t="shared" si="15"/>
        <v>9.9700000000000006</v>
      </c>
      <c r="M61">
        <f t="shared" si="16"/>
        <v>1</v>
      </c>
      <c r="N61">
        <f t="shared" si="17"/>
        <v>20</v>
      </c>
      <c r="O61">
        <f t="shared" si="18"/>
        <v>4299</v>
      </c>
      <c r="P61">
        <f>RANK(basicformulas[[#This Row],[Quantity Sold]],F:F)</f>
        <v>88</v>
      </c>
      <c r="Q61">
        <f t="shared" si="19"/>
        <v>8</v>
      </c>
    </row>
    <row r="62" spans="1:17" x14ac:dyDescent="0.25">
      <c r="A62" s="2">
        <v>45713</v>
      </c>
      <c r="B62" t="s">
        <v>75</v>
      </c>
      <c r="C62" t="s">
        <v>83</v>
      </c>
      <c r="D62" t="s">
        <v>85</v>
      </c>
      <c r="E62">
        <v>4779</v>
      </c>
      <c r="F62">
        <v>9</v>
      </c>
      <c r="G62">
        <f t="shared" si="12"/>
        <v>3</v>
      </c>
      <c r="H62">
        <f t="shared" si="13"/>
        <v>3</v>
      </c>
      <c r="I62">
        <f>SUM(basicformulas[[#This Row],[sqrt]:[roung]])</f>
        <v>6</v>
      </c>
      <c r="J62" t="str">
        <f t="shared" si="14"/>
        <v>S</v>
      </c>
      <c r="K62" t="str">
        <f>RIGHT(basicformulas[[#This Row],[Product]],5)</f>
        <v>Shirt</v>
      </c>
      <c r="L62">
        <f t="shared" si="15"/>
        <v>9.9700000000000006</v>
      </c>
      <c r="M62">
        <f t="shared" si="16"/>
        <v>1</v>
      </c>
      <c r="N62">
        <f t="shared" si="17"/>
        <v>20</v>
      </c>
      <c r="O62">
        <f t="shared" si="18"/>
        <v>4299</v>
      </c>
      <c r="P62">
        <f>RANK(basicformulas[[#This Row],[Quantity Sold]],F:F)</f>
        <v>49</v>
      </c>
      <c r="Q62">
        <f t="shared" si="19"/>
        <v>5</v>
      </c>
    </row>
    <row r="63" spans="1:17" x14ac:dyDescent="0.25">
      <c r="A63" s="2">
        <v>45669</v>
      </c>
      <c r="B63" t="s">
        <v>73</v>
      </c>
      <c r="C63" t="s">
        <v>81</v>
      </c>
      <c r="D63" t="s">
        <v>85</v>
      </c>
      <c r="E63">
        <v>636</v>
      </c>
      <c r="F63">
        <v>2</v>
      </c>
      <c r="G63">
        <f t="shared" si="12"/>
        <v>1.4142135623730951</v>
      </c>
      <c r="H63">
        <f t="shared" si="13"/>
        <v>1.4</v>
      </c>
      <c r="I63">
        <f>SUM(basicformulas[[#This Row],[sqrt]:[roung]])</f>
        <v>2.8142135623730953</v>
      </c>
      <c r="J63" t="str">
        <f t="shared" si="14"/>
        <v>S</v>
      </c>
      <c r="K63" t="str">
        <f>RIGHT(basicformulas[[#This Row],[Product]],5)</f>
        <v>akers</v>
      </c>
      <c r="L63">
        <f t="shared" si="15"/>
        <v>9.9700000000000006</v>
      </c>
      <c r="M63">
        <f t="shared" si="16"/>
        <v>1</v>
      </c>
      <c r="N63">
        <f t="shared" si="17"/>
        <v>20</v>
      </c>
      <c r="O63">
        <f t="shared" si="18"/>
        <v>4299</v>
      </c>
      <c r="P63">
        <f>RANK(basicformulas[[#This Row],[Quantity Sold]],F:F)</f>
        <v>94</v>
      </c>
      <c r="Q63">
        <f t="shared" si="19"/>
        <v>8</v>
      </c>
    </row>
    <row r="64" spans="1:17" x14ac:dyDescent="0.25">
      <c r="A64" s="2">
        <v>45702</v>
      </c>
      <c r="B64" t="s">
        <v>80</v>
      </c>
      <c r="C64" t="s">
        <v>82</v>
      </c>
      <c r="D64" t="s">
        <v>86</v>
      </c>
      <c r="E64">
        <v>7800</v>
      </c>
      <c r="F64">
        <v>10</v>
      </c>
      <c r="G64">
        <f t="shared" si="12"/>
        <v>3.1622776601683795</v>
      </c>
      <c r="H64">
        <f t="shared" si="13"/>
        <v>3.2</v>
      </c>
      <c r="I64">
        <f>SUM(basicformulas[[#This Row],[sqrt]:[roung]])</f>
        <v>6.3622776601683793</v>
      </c>
      <c r="J64" t="str">
        <f t="shared" si="14"/>
        <v>L</v>
      </c>
      <c r="K64" t="str">
        <f>RIGHT(basicformulas[[#This Row],[Product]],5)</f>
        <v>aptop</v>
      </c>
      <c r="L64">
        <f t="shared" si="15"/>
        <v>9.9700000000000006</v>
      </c>
      <c r="M64">
        <f t="shared" si="16"/>
        <v>1</v>
      </c>
      <c r="N64">
        <f t="shared" si="17"/>
        <v>20</v>
      </c>
      <c r="O64">
        <f t="shared" si="18"/>
        <v>4299</v>
      </c>
      <c r="P64">
        <f>RANK(basicformulas[[#This Row],[Quantity Sold]],F:F)</f>
        <v>43</v>
      </c>
      <c r="Q64">
        <f t="shared" si="19"/>
        <v>6</v>
      </c>
    </row>
    <row r="65" spans="1:17" x14ac:dyDescent="0.25">
      <c r="A65" s="2">
        <v>45686</v>
      </c>
      <c r="B65" t="s">
        <v>73</v>
      </c>
      <c r="C65" t="s">
        <v>81</v>
      </c>
      <c r="D65" t="s">
        <v>88</v>
      </c>
      <c r="E65">
        <v>545</v>
      </c>
      <c r="F65">
        <v>5</v>
      </c>
      <c r="G65">
        <f t="shared" si="12"/>
        <v>2.2360679774997898</v>
      </c>
      <c r="H65">
        <f t="shared" si="13"/>
        <v>2.2000000000000002</v>
      </c>
      <c r="I65">
        <f>SUM(basicformulas[[#This Row],[sqrt]:[roung]])</f>
        <v>4.43606797749979</v>
      </c>
      <c r="J65" t="str">
        <f t="shared" si="14"/>
        <v>S</v>
      </c>
      <c r="K65" t="str">
        <f>RIGHT(basicformulas[[#This Row],[Product]],5)</f>
        <v>akers</v>
      </c>
      <c r="L65">
        <f t="shared" si="15"/>
        <v>9.9700000000000006</v>
      </c>
      <c r="M65">
        <f t="shared" si="16"/>
        <v>1</v>
      </c>
      <c r="N65">
        <f t="shared" si="17"/>
        <v>20</v>
      </c>
      <c r="O65">
        <f t="shared" si="18"/>
        <v>4299</v>
      </c>
      <c r="P65">
        <f>RANK(basicformulas[[#This Row],[Quantity Sold]],F:F)</f>
        <v>72</v>
      </c>
      <c r="Q65">
        <f t="shared" si="19"/>
        <v>8</v>
      </c>
    </row>
    <row r="66" spans="1:17" x14ac:dyDescent="0.25">
      <c r="A66" s="2">
        <v>45706</v>
      </c>
      <c r="B66" t="s">
        <v>75</v>
      </c>
      <c r="C66" t="s">
        <v>83</v>
      </c>
      <c r="D66" t="s">
        <v>85</v>
      </c>
      <c r="E66">
        <v>6040</v>
      </c>
      <c r="F66">
        <v>20</v>
      </c>
      <c r="G66">
        <f t="shared" ref="G66:G101" si="20">SQRT(F:F)</f>
        <v>4.4721359549995796</v>
      </c>
      <c r="H66">
        <f t="shared" ref="H66:H97" si="21">ROUND(G:G,1)</f>
        <v>4.5</v>
      </c>
      <c r="I66">
        <f>SUM(basicformulas[[#This Row],[sqrt]:[roung]])</f>
        <v>8.9721359549995796</v>
      </c>
      <c r="J66" t="str">
        <f t="shared" ref="J66:J101" si="22">LEFT(B:B,1)</f>
        <v>S</v>
      </c>
      <c r="K66" t="str">
        <f>RIGHT(basicformulas[[#This Row],[Product]],5)</f>
        <v>Shirt</v>
      </c>
      <c r="L66">
        <f t="shared" ref="L66:L101" si="23">AVERAGE(F:F)</f>
        <v>9.9700000000000006</v>
      </c>
      <c r="M66">
        <f t="shared" ref="M66:M101" si="24">MIN(F:F)</f>
        <v>1</v>
      </c>
      <c r="N66">
        <f t="shared" ref="N66:N101" si="25">MAX(F:F)</f>
        <v>20</v>
      </c>
      <c r="O66">
        <f t="shared" ref="O66:O101" si="26">MEDIAN(E:E)</f>
        <v>4299</v>
      </c>
      <c r="P66">
        <f>RANK(basicformulas[[#This Row],[Quantity Sold]],F:F)</f>
        <v>1</v>
      </c>
      <c r="Q66">
        <f t="shared" ref="Q66:Q101" si="27">LEN(B:B)</f>
        <v>5</v>
      </c>
    </row>
    <row r="67" spans="1:17" x14ac:dyDescent="0.25">
      <c r="A67" s="2">
        <v>45724</v>
      </c>
      <c r="B67" t="s">
        <v>74</v>
      </c>
      <c r="C67" t="s">
        <v>82</v>
      </c>
      <c r="D67" t="s">
        <v>88</v>
      </c>
      <c r="E67">
        <v>8136</v>
      </c>
      <c r="F67">
        <v>9</v>
      </c>
      <c r="G67">
        <f t="shared" si="20"/>
        <v>3</v>
      </c>
      <c r="H67">
        <f t="shared" si="21"/>
        <v>3</v>
      </c>
      <c r="I67">
        <f>SUM(basicformulas[[#This Row],[sqrt]:[roung]])</f>
        <v>6</v>
      </c>
      <c r="J67" t="str">
        <f t="shared" si="22"/>
        <v>S</v>
      </c>
      <c r="K67" t="str">
        <f>RIGHT(basicformulas[[#This Row],[Product]],5)</f>
        <v>phone</v>
      </c>
      <c r="L67">
        <f t="shared" si="23"/>
        <v>9.9700000000000006</v>
      </c>
      <c r="M67">
        <f t="shared" si="24"/>
        <v>1</v>
      </c>
      <c r="N67">
        <f t="shared" si="25"/>
        <v>20</v>
      </c>
      <c r="O67">
        <f t="shared" si="26"/>
        <v>4299</v>
      </c>
      <c r="P67">
        <f>RANK(basicformulas[[#This Row],[Quantity Sold]],F:F)</f>
        <v>49</v>
      </c>
      <c r="Q67">
        <f t="shared" si="27"/>
        <v>10</v>
      </c>
    </row>
    <row r="68" spans="1:17" x14ac:dyDescent="0.25">
      <c r="A68" s="2">
        <v>45659</v>
      </c>
      <c r="B68" t="s">
        <v>80</v>
      </c>
      <c r="C68" t="s">
        <v>82</v>
      </c>
      <c r="D68" t="s">
        <v>88</v>
      </c>
      <c r="E68">
        <v>3928</v>
      </c>
      <c r="F68">
        <v>4</v>
      </c>
      <c r="G68">
        <f t="shared" si="20"/>
        <v>2</v>
      </c>
      <c r="H68">
        <f t="shared" si="21"/>
        <v>2</v>
      </c>
      <c r="I68">
        <f>SUM(basicformulas[[#This Row],[sqrt]:[roung]])</f>
        <v>4</v>
      </c>
      <c r="J68" t="str">
        <f t="shared" si="22"/>
        <v>L</v>
      </c>
      <c r="K68" t="str">
        <f>RIGHT(basicformulas[[#This Row],[Product]],5)</f>
        <v>aptop</v>
      </c>
      <c r="L68">
        <f t="shared" si="23"/>
        <v>9.9700000000000006</v>
      </c>
      <c r="M68">
        <f t="shared" si="24"/>
        <v>1</v>
      </c>
      <c r="N68">
        <f t="shared" si="25"/>
        <v>20</v>
      </c>
      <c r="O68">
        <f t="shared" si="26"/>
        <v>4299</v>
      </c>
      <c r="P68">
        <f>RANK(basicformulas[[#This Row],[Quantity Sold]],F:F)</f>
        <v>82</v>
      </c>
      <c r="Q68">
        <f t="shared" si="27"/>
        <v>6</v>
      </c>
    </row>
    <row r="69" spans="1:17" x14ac:dyDescent="0.25">
      <c r="A69" s="2">
        <v>45680</v>
      </c>
      <c r="B69" t="s">
        <v>80</v>
      </c>
      <c r="C69" t="s">
        <v>82</v>
      </c>
      <c r="D69" t="s">
        <v>87</v>
      </c>
      <c r="E69">
        <v>2968</v>
      </c>
      <c r="F69">
        <v>14</v>
      </c>
      <c r="G69">
        <f t="shared" si="20"/>
        <v>3.7416573867739413</v>
      </c>
      <c r="H69">
        <f t="shared" si="21"/>
        <v>3.7</v>
      </c>
      <c r="I69">
        <f>SUM(basicformulas[[#This Row],[sqrt]:[roung]])</f>
        <v>7.441657386773942</v>
      </c>
      <c r="J69" t="str">
        <f t="shared" si="22"/>
        <v>L</v>
      </c>
      <c r="K69" t="str">
        <f>RIGHT(basicformulas[[#This Row],[Product]],5)</f>
        <v>aptop</v>
      </c>
      <c r="L69">
        <f t="shared" si="23"/>
        <v>9.9700000000000006</v>
      </c>
      <c r="M69">
        <f t="shared" si="24"/>
        <v>1</v>
      </c>
      <c r="N69">
        <f t="shared" si="25"/>
        <v>20</v>
      </c>
      <c r="O69">
        <f t="shared" si="26"/>
        <v>4299</v>
      </c>
      <c r="P69">
        <f>RANK(basicformulas[[#This Row],[Quantity Sold]],F:F)</f>
        <v>27</v>
      </c>
      <c r="Q69">
        <f t="shared" si="27"/>
        <v>6</v>
      </c>
    </row>
    <row r="70" spans="1:17" x14ac:dyDescent="0.25">
      <c r="A70" s="2">
        <v>45689</v>
      </c>
      <c r="B70" t="s">
        <v>74</v>
      </c>
      <c r="C70" t="s">
        <v>82</v>
      </c>
      <c r="D70" t="s">
        <v>87</v>
      </c>
      <c r="E70">
        <v>3955</v>
      </c>
      <c r="F70">
        <v>5</v>
      </c>
      <c r="G70">
        <f t="shared" si="20"/>
        <v>2.2360679774997898</v>
      </c>
      <c r="H70">
        <f t="shared" si="21"/>
        <v>2.2000000000000002</v>
      </c>
      <c r="I70">
        <f>SUM(basicformulas[[#This Row],[sqrt]:[roung]])</f>
        <v>4.43606797749979</v>
      </c>
      <c r="J70" t="str">
        <f t="shared" si="22"/>
        <v>S</v>
      </c>
      <c r="K70" t="str">
        <f>RIGHT(basicformulas[[#This Row],[Product]],5)</f>
        <v>phone</v>
      </c>
      <c r="L70">
        <f t="shared" si="23"/>
        <v>9.9700000000000006</v>
      </c>
      <c r="M70">
        <f t="shared" si="24"/>
        <v>1</v>
      </c>
      <c r="N70">
        <f t="shared" si="25"/>
        <v>20</v>
      </c>
      <c r="O70">
        <f t="shared" si="26"/>
        <v>4299</v>
      </c>
      <c r="P70">
        <f>RANK(basicformulas[[#This Row],[Quantity Sold]],F:F)</f>
        <v>72</v>
      </c>
      <c r="Q70">
        <f t="shared" si="27"/>
        <v>10</v>
      </c>
    </row>
    <row r="71" spans="1:17" x14ac:dyDescent="0.25">
      <c r="A71" s="2">
        <v>45702</v>
      </c>
      <c r="B71" t="s">
        <v>75</v>
      </c>
      <c r="C71" t="s">
        <v>83</v>
      </c>
      <c r="D71" t="s">
        <v>85</v>
      </c>
      <c r="E71">
        <v>4048</v>
      </c>
      <c r="F71">
        <v>8</v>
      </c>
      <c r="G71">
        <f t="shared" si="20"/>
        <v>2.8284271247461903</v>
      </c>
      <c r="H71">
        <f t="shared" si="21"/>
        <v>2.8</v>
      </c>
      <c r="I71">
        <f>SUM(basicformulas[[#This Row],[sqrt]:[roung]])</f>
        <v>5.6284271247461906</v>
      </c>
      <c r="J71" t="str">
        <f t="shared" si="22"/>
        <v>S</v>
      </c>
      <c r="K71" t="str">
        <f>RIGHT(basicformulas[[#This Row],[Product]],5)</f>
        <v>Shirt</v>
      </c>
      <c r="L71">
        <f t="shared" si="23"/>
        <v>9.9700000000000006</v>
      </c>
      <c r="M71">
        <f t="shared" si="24"/>
        <v>1</v>
      </c>
      <c r="N71">
        <f t="shared" si="25"/>
        <v>20</v>
      </c>
      <c r="O71">
        <f t="shared" si="26"/>
        <v>4299</v>
      </c>
      <c r="P71">
        <f>RANK(basicformulas[[#This Row],[Quantity Sold]],F:F)</f>
        <v>56</v>
      </c>
      <c r="Q71">
        <f t="shared" si="27"/>
        <v>5</v>
      </c>
    </row>
    <row r="72" spans="1:17" x14ac:dyDescent="0.25">
      <c r="A72" s="2">
        <v>45727</v>
      </c>
      <c r="B72" t="s">
        <v>78</v>
      </c>
      <c r="C72" t="s">
        <v>84</v>
      </c>
      <c r="D72" t="s">
        <v>87</v>
      </c>
      <c r="E72">
        <v>6464</v>
      </c>
      <c r="F72">
        <v>8</v>
      </c>
      <c r="G72">
        <f t="shared" si="20"/>
        <v>2.8284271247461903</v>
      </c>
      <c r="H72">
        <f t="shared" si="21"/>
        <v>2.8</v>
      </c>
      <c r="I72">
        <f>SUM(basicformulas[[#This Row],[sqrt]:[roung]])</f>
        <v>5.6284271247461906</v>
      </c>
      <c r="J72" t="str">
        <f t="shared" si="22"/>
        <v>B</v>
      </c>
      <c r="K72" t="str">
        <f>RIGHT(basicformulas[[#This Row],[Product]],5)</f>
        <v>ender</v>
      </c>
      <c r="L72">
        <f t="shared" si="23"/>
        <v>9.9700000000000006</v>
      </c>
      <c r="M72">
        <f t="shared" si="24"/>
        <v>1</v>
      </c>
      <c r="N72">
        <f t="shared" si="25"/>
        <v>20</v>
      </c>
      <c r="O72">
        <f t="shared" si="26"/>
        <v>4299</v>
      </c>
      <c r="P72">
        <f>RANK(basicformulas[[#This Row],[Quantity Sold]],F:F)</f>
        <v>56</v>
      </c>
      <c r="Q72">
        <f t="shared" si="27"/>
        <v>7</v>
      </c>
    </row>
    <row r="73" spans="1:17" x14ac:dyDescent="0.25">
      <c r="A73" s="2">
        <v>45710</v>
      </c>
      <c r="B73" t="s">
        <v>73</v>
      </c>
      <c r="C73" t="s">
        <v>81</v>
      </c>
      <c r="D73" t="s">
        <v>88</v>
      </c>
      <c r="E73">
        <v>3042</v>
      </c>
      <c r="F73">
        <v>13</v>
      </c>
      <c r="G73">
        <f t="shared" si="20"/>
        <v>3.6055512754639891</v>
      </c>
      <c r="H73">
        <f t="shared" si="21"/>
        <v>3.6</v>
      </c>
      <c r="I73">
        <f>SUM(basicformulas[[#This Row],[sqrt]:[roung]])</f>
        <v>7.2055512754639892</v>
      </c>
      <c r="J73" t="str">
        <f t="shared" si="22"/>
        <v>S</v>
      </c>
      <c r="K73" t="str">
        <f>RIGHT(basicformulas[[#This Row],[Product]],5)</f>
        <v>akers</v>
      </c>
      <c r="L73">
        <f t="shared" si="23"/>
        <v>9.9700000000000006</v>
      </c>
      <c r="M73">
        <f t="shared" si="24"/>
        <v>1</v>
      </c>
      <c r="N73">
        <f t="shared" si="25"/>
        <v>20</v>
      </c>
      <c r="O73">
        <f t="shared" si="26"/>
        <v>4299</v>
      </c>
      <c r="P73">
        <f>RANK(basicformulas[[#This Row],[Quantity Sold]],F:F)</f>
        <v>29</v>
      </c>
      <c r="Q73">
        <f t="shared" si="27"/>
        <v>8</v>
      </c>
    </row>
    <row r="74" spans="1:17" x14ac:dyDescent="0.25">
      <c r="A74" s="2">
        <v>45761</v>
      </c>
      <c r="B74" t="s">
        <v>80</v>
      </c>
      <c r="C74" t="s">
        <v>82</v>
      </c>
      <c r="D74" t="s">
        <v>88</v>
      </c>
      <c r="E74">
        <v>9480</v>
      </c>
      <c r="F74">
        <v>15</v>
      </c>
      <c r="G74">
        <f t="shared" si="20"/>
        <v>3.872983346207417</v>
      </c>
      <c r="H74">
        <f t="shared" si="21"/>
        <v>3.9</v>
      </c>
      <c r="I74">
        <f>SUM(basicformulas[[#This Row],[sqrt]:[roung]])</f>
        <v>7.7729833462074165</v>
      </c>
      <c r="J74" t="str">
        <f t="shared" si="22"/>
        <v>L</v>
      </c>
      <c r="K74" t="str">
        <f>RIGHT(basicformulas[[#This Row],[Product]],5)</f>
        <v>aptop</v>
      </c>
      <c r="L74">
        <f t="shared" si="23"/>
        <v>9.9700000000000006</v>
      </c>
      <c r="M74">
        <f t="shared" si="24"/>
        <v>1</v>
      </c>
      <c r="N74">
        <f t="shared" si="25"/>
        <v>20</v>
      </c>
      <c r="O74">
        <f t="shared" si="26"/>
        <v>4299</v>
      </c>
      <c r="P74">
        <f>RANK(basicformulas[[#This Row],[Quantity Sold]],F:F)</f>
        <v>21</v>
      </c>
      <c r="Q74">
        <f t="shared" si="27"/>
        <v>6</v>
      </c>
    </row>
    <row r="75" spans="1:17" x14ac:dyDescent="0.25">
      <c r="A75" s="2">
        <v>45666</v>
      </c>
      <c r="B75" t="s">
        <v>75</v>
      </c>
      <c r="C75" t="s">
        <v>83</v>
      </c>
      <c r="D75" t="s">
        <v>88</v>
      </c>
      <c r="E75">
        <v>16321</v>
      </c>
      <c r="F75">
        <v>19</v>
      </c>
      <c r="G75">
        <f t="shared" si="20"/>
        <v>4.358898943540674</v>
      </c>
      <c r="H75">
        <f t="shared" si="21"/>
        <v>4.4000000000000004</v>
      </c>
      <c r="I75">
        <f>SUM(basicformulas[[#This Row],[sqrt]:[roung]])</f>
        <v>8.7588989435406752</v>
      </c>
      <c r="J75" t="str">
        <f t="shared" si="22"/>
        <v>S</v>
      </c>
      <c r="K75" t="str">
        <f>RIGHT(basicformulas[[#This Row],[Product]],5)</f>
        <v>Shirt</v>
      </c>
      <c r="L75">
        <f t="shared" si="23"/>
        <v>9.9700000000000006</v>
      </c>
      <c r="M75">
        <f t="shared" si="24"/>
        <v>1</v>
      </c>
      <c r="N75">
        <f t="shared" si="25"/>
        <v>20</v>
      </c>
      <c r="O75">
        <f t="shared" si="26"/>
        <v>4299</v>
      </c>
      <c r="P75">
        <f>RANK(basicformulas[[#This Row],[Quantity Sold]],F:F)</f>
        <v>5</v>
      </c>
      <c r="Q75">
        <f t="shared" si="27"/>
        <v>5</v>
      </c>
    </row>
    <row r="76" spans="1:17" x14ac:dyDescent="0.25">
      <c r="A76" s="2">
        <v>45756</v>
      </c>
      <c r="B76" t="s">
        <v>74</v>
      </c>
      <c r="C76" t="s">
        <v>82</v>
      </c>
      <c r="D76" t="s">
        <v>87</v>
      </c>
      <c r="E76">
        <v>8436</v>
      </c>
      <c r="F76">
        <v>19</v>
      </c>
      <c r="G76">
        <f t="shared" si="20"/>
        <v>4.358898943540674</v>
      </c>
      <c r="H76">
        <f t="shared" si="21"/>
        <v>4.4000000000000004</v>
      </c>
      <c r="I76">
        <f>SUM(basicformulas[[#This Row],[sqrt]:[roung]])</f>
        <v>8.7588989435406752</v>
      </c>
      <c r="J76" t="str">
        <f t="shared" si="22"/>
        <v>S</v>
      </c>
      <c r="K76" t="str">
        <f>RIGHT(basicformulas[[#This Row],[Product]],5)</f>
        <v>phone</v>
      </c>
      <c r="L76">
        <f t="shared" si="23"/>
        <v>9.9700000000000006</v>
      </c>
      <c r="M76">
        <f t="shared" si="24"/>
        <v>1</v>
      </c>
      <c r="N76">
        <f t="shared" si="25"/>
        <v>20</v>
      </c>
      <c r="O76">
        <f t="shared" si="26"/>
        <v>4299</v>
      </c>
      <c r="P76">
        <f>RANK(basicformulas[[#This Row],[Quantity Sold]],F:F)</f>
        <v>5</v>
      </c>
      <c r="Q76">
        <f t="shared" si="27"/>
        <v>10</v>
      </c>
    </row>
    <row r="77" spans="1:17" x14ac:dyDescent="0.25">
      <c r="A77" s="2">
        <v>45747</v>
      </c>
      <c r="B77" t="s">
        <v>74</v>
      </c>
      <c r="C77" t="s">
        <v>82</v>
      </c>
      <c r="D77" t="s">
        <v>85</v>
      </c>
      <c r="E77">
        <v>2832</v>
      </c>
      <c r="F77">
        <v>8</v>
      </c>
      <c r="G77">
        <f t="shared" si="20"/>
        <v>2.8284271247461903</v>
      </c>
      <c r="H77">
        <f t="shared" si="21"/>
        <v>2.8</v>
      </c>
      <c r="I77">
        <f>SUM(basicformulas[[#This Row],[sqrt]:[roung]])</f>
        <v>5.6284271247461906</v>
      </c>
      <c r="J77" t="str">
        <f t="shared" si="22"/>
        <v>S</v>
      </c>
      <c r="K77" t="str">
        <f>RIGHT(basicformulas[[#This Row],[Product]],5)</f>
        <v>phone</v>
      </c>
      <c r="L77">
        <f t="shared" si="23"/>
        <v>9.9700000000000006</v>
      </c>
      <c r="M77">
        <f t="shared" si="24"/>
        <v>1</v>
      </c>
      <c r="N77">
        <f t="shared" si="25"/>
        <v>20</v>
      </c>
      <c r="O77">
        <f t="shared" si="26"/>
        <v>4299</v>
      </c>
      <c r="P77">
        <f>RANK(basicformulas[[#This Row],[Quantity Sold]],F:F)</f>
        <v>56</v>
      </c>
      <c r="Q77">
        <f t="shared" si="27"/>
        <v>10</v>
      </c>
    </row>
    <row r="78" spans="1:17" x14ac:dyDescent="0.25">
      <c r="A78" s="2">
        <v>45693</v>
      </c>
      <c r="B78" t="s">
        <v>79</v>
      </c>
      <c r="C78" t="s">
        <v>81</v>
      </c>
      <c r="D78" t="s">
        <v>86</v>
      </c>
      <c r="E78">
        <v>8604</v>
      </c>
      <c r="F78">
        <v>18</v>
      </c>
      <c r="G78">
        <f t="shared" si="20"/>
        <v>4.2426406871192848</v>
      </c>
      <c r="H78">
        <f t="shared" si="21"/>
        <v>4.2</v>
      </c>
      <c r="I78">
        <f>SUM(basicformulas[[#This Row],[sqrt]:[roung]])</f>
        <v>8.4426406871192849</v>
      </c>
      <c r="J78" t="str">
        <f t="shared" si="22"/>
        <v>B</v>
      </c>
      <c r="K78" t="str">
        <f>RIGHT(basicformulas[[#This Row],[Product]],5)</f>
        <v>Boots</v>
      </c>
      <c r="L78">
        <f t="shared" si="23"/>
        <v>9.9700000000000006</v>
      </c>
      <c r="M78">
        <f t="shared" si="24"/>
        <v>1</v>
      </c>
      <c r="N78">
        <f t="shared" si="25"/>
        <v>20</v>
      </c>
      <c r="O78">
        <f t="shared" si="26"/>
        <v>4299</v>
      </c>
      <c r="P78">
        <f>RANK(basicformulas[[#This Row],[Quantity Sold]],F:F)</f>
        <v>10</v>
      </c>
      <c r="Q78">
        <f t="shared" si="27"/>
        <v>5</v>
      </c>
    </row>
    <row r="79" spans="1:17" x14ac:dyDescent="0.25">
      <c r="A79" s="2">
        <v>45665</v>
      </c>
      <c r="B79" t="s">
        <v>73</v>
      </c>
      <c r="C79" t="s">
        <v>81</v>
      </c>
      <c r="D79" t="s">
        <v>86</v>
      </c>
      <c r="E79">
        <v>2805</v>
      </c>
      <c r="F79">
        <v>5</v>
      </c>
      <c r="G79">
        <f t="shared" si="20"/>
        <v>2.2360679774997898</v>
      </c>
      <c r="H79">
        <f t="shared" si="21"/>
        <v>2.2000000000000002</v>
      </c>
      <c r="I79">
        <f>SUM(basicformulas[[#This Row],[sqrt]:[roung]])</f>
        <v>4.43606797749979</v>
      </c>
      <c r="J79" t="str">
        <f t="shared" si="22"/>
        <v>S</v>
      </c>
      <c r="K79" t="str">
        <f>RIGHT(basicformulas[[#This Row],[Product]],5)</f>
        <v>akers</v>
      </c>
      <c r="L79">
        <f t="shared" si="23"/>
        <v>9.9700000000000006</v>
      </c>
      <c r="M79">
        <f t="shared" si="24"/>
        <v>1</v>
      </c>
      <c r="N79">
        <f t="shared" si="25"/>
        <v>20</v>
      </c>
      <c r="O79">
        <f t="shared" si="26"/>
        <v>4299</v>
      </c>
      <c r="P79">
        <f>RANK(basicformulas[[#This Row],[Quantity Sold]],F:F)</f>
        <v>72</v>
      </c>
      <c r="Q79">
        <f t="shared" si="27"/>
        <v>8</v>
      </c>
    </row>
    <row r="80" spans="1:17" x14ac:dyDescent="0.25">
      <c r="A80" s="2">
        <v>45690</v>
      </c>
      <c r="B80" t="s">
        <v>79</v>
      </c>
      <c r="C80" t="s">
        <v>81</v>
      </c>
      <c r="D80" t="s">
        <v>87</v>
      </c>
      <c r="E80">
        <v>5544</v>
      </c>
      <c r="F80">
        <v>7</v>
      </c>
      <c r="G80">
        <f t="shared" si="20"/>
        <v>2.6457513110645907</v>
      </c>
      <c r="H80">
        <f t="shared" si="21"/>
        <v>2.6</v>
      </c>
      <c r="I80">
        <f>SUM(basicformulas[[#This Row],[sqrt]:[roung]])</f>
        <v>5.2457513110645912</v>
      </c>
      <c r="J80" t="str">
        <f t="shared" si="22"/>
        <v>B</v>
      </c>
      <c r="K80" t="str">
        <f>RIGHT(basicformulas[[#This Row],[Product]],5)</f>
        <v>Boots</v>
      </c>
      <c r="L80">
        <f t="shared" si="23"/>
        <v>9.9700000000000006</v>
      </c>
      <c r="M80">
        <f t="shared" si="24"/>
        <v>1</v>
      </c>
      <c r="N80">
        <f t="shared" si="25"/>
        <v>20</v>
      </c>
      <c r="O80">
        <f t="shared" si="26"/>
        <v>4299</v>
      </c>
      <c r="P80">
        <f>RANK(basicformulas[[#This Row],[Quantity Sold]],F:F)</f>
        <v>63</v>
      </c>
      <c r="Q80">
        <f t="shared" si="27"/>
        <v>5</v>
      </c>
    </row>
    <row r="81" spans="1:17" x14ac:dyDescent="0.25">
      <c r="A81" s="2">
        <v>45667</v>
      </c>
      <c r="B81" t="s">
        <v>77</v>
      </c>
      <c r="C81" t="s">
        <v>83</v>
      </c>
      <c r="D81" t="s">
        <v>88</v>
      </c>
      <c r="E81">
        <v>1694</v>
      </c>
      <c r="F81">
        <v>11</v>
      </c>
      <c r="G81">
        <f t="shared" si="20"/>
        <v>3.3166247903553998</v>
      </c>
      <c r="H81">
        <f t="shared" si="21"/>
        <v>3.3</v>
      </c>
      <c r="I81">
        <f>SUM(basicformulas[[#This Row],[sqrt]:[roung]])</f>
        <v>6.6166247903553996</v>
      </c>
      <c r="J81" t="str">
        <f t="shared" si="22"/>
        <v>T</v>
      </c>
      <c r="K81" t="str">
        <f>RIGHT(basicformulas[[#This Row],[Product]],5)</f>
        <v>users</v>
      </c>
      <c r="L81">
        <f t="shared" si="23"/>
        <v>9.9700000000000006</v>
      </c>
      <c r="M81">
        <f t="shared" si="24"/>
        <v>1</v>
      </c>
      <c r="N81">
        <f t="shared" si="25"/>
        <v>20</v>
      </c>
      <c r="O81">
        <f t="shared" si="26"/>
        <v>4299</v>
      </c>
      <c r="P81">
        <f>RANK(basicformulas[[#This Row],[Quantity Sold]],F:F)</f>
        <v>39</v>
      </c>
      <c r="Q81">
        <f t="shared" si="27"/>
        <v>8</v>
      </c>
    </row>
    <row r="82" spans="1:17" x14ac:dyDescent="0.25">
      <c r="A82" s="2">
        <v>45665</v>
      </c>
      <c r="B82" t="s">
        <v>75</v>
      </c>
      <c r="C82" t="s">
        <v>83</v>
      </c>
      <c r="D82" t="s">
        <v>86</v>
      </c>
      <c r="E82">
        <v>5760</v>
      </c>
      <c r="F82">
        <v>9</v>
      </c>
      <c r="G82">
        <f t="shared" si="20"/>
        <v>3</v>
      </c>
      <c r="H82">
        <f t="shared" si="21"/>
        <v>3</v>
      </c>
      <c r="I82">
        <f>SUM(basicformulas[[#This Row],[sqrt]:[roung]])</f>
        <v>6</v>
      </c>
      <c r="J82" t="str">
        <f t="shared" si="22"/>
        <v>S</v>
      </c>
      <c r="K82" t="str">
        <f>RIGHT(basicformulas[[#This Row],[Product]],5)</f>
        <v>Shirt</v>
      </c>
      <c r="L82">
        <f t="shared" si="23"/>
        <v>9.9700000000000006</v>
      </c>
      <c r="M82">
        <f t="shared" si="24"/>
        <v>1</v>
      </c>
      <c r="N82">
        <f t="shared" si="25"/>
        <v>20</v>
      </c>
      <c r="O82">
        <f t="shared" si="26"/>
        <v>4299</v>
      </c>
      <c r="P82">
        <f>RANK(basicformulas[[#This Row],[Quantity Sold]],F:F)</f>
        <v>49</v>
      </c>
      <c r="Q82">
        <f t="shared" si="27"/>
        <v>5</v>
      </c>
    </row>
    <row r="83" spans="1:17" x14ac:dyDescent="0.25">
      <c r="A83" s="2">
        <v>45712</v>
      </c>
      <c r="B83" t="s">
        <v>78</v>
      </c>
      <c r="C83" t="s">
        <v>84</v>
      </c>
      <c r="D83" t="s">
        <v>85</v>
      </c>
      <c r="E83">
        <v>8550</v>
      </c>
      <c r="F83">
        <v>10</v>
      </c>
      <c r="G83">
        <f t="shared" si="20"/>
        <v>3.1622776601683795</v>
      </c>
      <c r="H83">
        <f t="shared" si="21"/>
        <v>3.2</v>
      </c>
      <c r="I83">
        <f>SUM(basicformulas[[#This Row],[sqrt]:[roung]])</f>
        <v>6.3622776601683793</v>
      </c>
      <c r="J83" t="str">
        <f t="shared" si="22"/>
        <v>B</v>
      </c>
      <c r="K83" t="str">
        <f>RIGHT(basicformulas[[#This Row],[Product]],5)</f>
        <v>ender</v>
      </c>
      <c r="L83">
        <f t="shared" si="23"/>
        <v>9.9700000000000006</v>
      </c>
      <c r="M83">
        <f t="shared" si="24"/>
        <v>1</v>
      </c>
      <c r="N83">
        <f t="shared" si="25"/>
        <v>20</v>
      </c>
      <c r="O83">
        <f t="shared" si="26"/>
        <v>4299</v>
      </c>
      <c r="P83">
        <f>RANK(basicformulas[[#This Row],[Quantity Sold]],F:F)</f>
        <v>43</v>
      </c>
      <c r="Q83">
        <f t="shared" si="27"/>
        <v>7</v>
      </c>
    </row>
    <row r="84" spans="1:17" x14ac:dyDescent="0.25">
      <c r="A84" s="2">
        <v>45668</v>
      </c>
      <c r="B84" t="s">
        <v>79</v>
      </c>
      <c r="C84" t="s">
        <v>81</v>
      </c>
      <c r="D84" t="s">
        <v>86</v>
      </c>
      <c r="E84">
        <v>1220</v>
      </c>
      <c r="F84">
        <v>5</v>
      </c>
      <c r="G84">
        <f t="shared" si="20"/>
        <v>2.2360679774997898</v>
      </c>
      <c r="H84">
        <f t="shared" si="21"/>
        <v>2.2000000000000002</v>
      </c>
      <c r="I84">
        <f>SUM(basicformulas[[#This Row],[sqrt]:[roung]])</f>
        <v>4.43606797749979</v>
      </c>
      <c r="J84" t="str">
        <f t="shared" si="22"/>
        <v>B</v>
      </c>
      <c r="K84" t="str">
        <f>RIGHT(basicformulas[[#This Row],[Product]],5)</f>
        <v>Boots</v>
      </c>
      <c r="L84">
        <f t="shared" si="23"/>
        <v>9.9700000000000006</v>
      </c>
      <c r="M84">
        <f t="shared" si="24"/>
        <v>1</v>
      </c>
      <c r="N84">
        <f t="shared" si="25"/>
        <v>20</v>
      </c>
      <c r="O84">
        <f t="shared" si="26"/>
        <v>4299</v>
      </c>
      <c r="P84">
        <f>RANK(basicformulas[[#This Row],[Quantity Sold]],F:F)</f>
        <v>72</v>
      </c>
      <c r="Q84">
        <f t="shared" si="27"/>
        <v>5</v>
      </c>
    </row>
    <row r="85" spans="1:17" x14ac:dyDescent="0.25">
      <c r="A85" s="2">
        <v>45777</v>
      </c>
      <c r="B85" t="s">
        <v>77</v>
      </c>
      <c r="C85" t="s">
        <v>83</v>
      </c>
      <c r="D85" t="s">
        <v>88</v>
      </c>
      <c r="E85">
        <v>2490</v>
      </c>
      <c r="F85">
        <v>15</v>
      </c>
      <c r="G85">
        <f t="shared" si="20"/>
        <v>3.872983346207417</v>
      </c>
      <c r="H85">
        <f t="shared" si="21"/>
        <v>3.9</v>
      </c>
      <c r="I85">
        <f>SUM(basicformulas[[#This Row],[sqrt]:[roung]])</f>
        <v>7.7729833462074165</v>
      </c>
      <c r="J85" t="str">
        <f t="shared" si="22"/>
        <v>T</v>
      </c>
      <c r="K85" t="str">
        <f>RIGHT(basicformulas[[#This Row],[Product]],5)</f>
        <v>users</v>
      </c>
      <c r="L85">
        <f t="shared" si="23"/>
        <v>9.9700000000000006</v>
      </c>
      <c r="M85">
        <f t="shared" si="24"/>
        <v>1</v>
      </c>
      <c r="N85">
        <f t="shared" si="25"/>
        <v>20</v>
      </c>
      <c r="O85">
        <f t="shared" si="26"/>
        <v>4299</v>
      </c>
      <c r="P85">
        <f>RANK(basicformulas[[#This Row],[Quantity Sold]],F:F)</f>
        <v>21</v>
      </c>
      <c r="Q85">
        <f t="shared" si="27"/>
        <v>8</v>
      </c>
    </row>
    <row r="86" spans="1:17" x14ac:dyDescent="0.25">
      <c r="A86" s="2">
        <v>45731</v>
      </c>
      <c r="B86" t="s">
        <v>73</v>
      </c>
      <c r="C86" t="s">
        <v>81</v>
      </c>
      <c r="D86" t="s">
        <v>88</v>
      </c>
      <c r="E86">
        <v>3225</v>
      </c>
      <c r="F86">
        <v>15</v>
      </c>
      <c r="G86">
        <f t="shared" si="20"/>
        <v>3.872983346207417</v>
      </c>
      <c r="H86">
        <f t="shared" si="21"/>
        <v>3.9</v>
      </c>
      <c r="I86">
        <f>SUM(basicformulas[[#This Row],[sqrt]:[roung]])</f>
        <v>7.7729833462074165</v>
      </c>
      <c r="J86" t="str">
        <f t="shared" si="22"/>
        <v>S</v>
      </c>
      <c r="K86" t="str">
        <f>RIGHT(basicformulas[[#This Row],[Product]],5)</f>
        <v>akers</v>
      </c>
      <c r="L86">
        <f t="shared" si="23"/>
        <v>9.9700000000000006</v>
      </c>
      <c r="M86">
        <f t="shared" si="24"/>
        <v>1</v>
      </c>
      <c r="N86">
        <f t="shared" si="25"/>
        <v>20</v>
      </c>
      <c r="O86">
        <f t="shared" si="26"/>
        <v>4299</v>
      </c>
      <c r="P86">
        <f>RANK(basicformulas[[#This Row],[Quantity Sold]],F:F)</f>
        <v>21</v>
      </c>
      <c r="Q86">
        <f t="shared" si="27"/>
        <v>8</v>
      </c>
    </row>
    <row r="87" spans="1:17" x14ac:dyDescent="0.25">
      <c r="A87" s="2">
        <v>45725</v>
      </c>
      <c r="B87" t="s">
        <v>79</v>
      </c>
      <c r="C87" t="s">
        <v>81</v>
      </c>
      <c r="D87" t="s">
        <v>88</v>
      </c>
      <c r="E87">
        <v>7930</v>
      </c>
      <c r="F87">
        <v>13</v>
      </c>
      <c r="G87">
        <f t="shared" si="20"/>
        <v>3.6055512754639891</v>
      </c>
      <c r="H87">
        <f t="shared" si="21"/>
        <v>3.6</v>
      </c>
      <c r="I87">
        <f>SUM(basicformulas[[#This Row],[sqrt]:[roung]])</f>
        <v>7.2055512754639892</v>
      </c>
      <c r="J87" t="str">
        <f t="shared" si="22"/>
        <v>B</v>
      </c>
      <c r="K87" t="str">
        <f>RIGHT(basicformulas[[#This Row],[Product]],5)</f>
        <v>Boots</v>
      </c>
      <c r="L87">
        <f t="shared" si="23"/>
        <v>9.9700000000000006</v>
      </c>
      <c r="M87">
        <f t="shared" si="24"/>
        <v>1</v>
      </c>
      <c r="N87">
        <f t="shared" si="25"/>
        <v>20</v>
      </c>
      <c r="O87">
        <f t="shared" si="26"/>
        <v>4299</v>
      </c>
      <c r="P87">
        <f>RANK(basicformulas[[#This Row],[Quantity Sold]],F:F)</f>
        <v>29</v>
      </c>
      <c r="Q87">
        <f t="shared" si="27"/>
        <v>5</v>
      </c>
    </row>
    <row r="88" spans="1:17" x14ac:dyDescent="0.25">
      <c r="A88" s="2">
        <v>45756</v>
      </c>
      <c r="B88" t="s">
        <v>78</v>
      </c>
      <c r="C88" t="s">
        <v>84</v>
      </c>
      <c r="D88" t="s">
        <v>85</v>
      </c>
      <c r="E88">
        <v>12920</v>
      </c>
      <c r="F88">
        <v>19</v>
      </c>
      <c r="G88">
        <f t="shared" si="20"/>
        <v>4.358898943540674</v>
      </c>
      <c r="H88">
        <f t="shared" si="21"/>
        <v>4.4000000000000004</v>
      </c>
      <c r="I88">
        <f>SUM(basicformulas[[#This Row],[sqrt]:[roung]])</f>
        <v>8.7588989435406752</v>
      </c>
      <c r="J88" t="str">
        <f t="shared" si="22"/>
        <v>B</v>
      </c>
      <c r="K88" t="str">
        <f>RIGHT(basicformulas[[#This Row],[Product]],5)</f>
        <v>ender</v>
      </c>
      <c r="L88">
        <f t="shared" si="23"/>
        <v>9.9700000000000006</v>
      </c>
      <c r="M88">
        <f t="shared" si="24"/>
        <v>1</v>
      </c>
      <c r="N88">
        <f t="shared" si="25"/>
        <v>20</v>
      </c>
      <c r="O88">
        <f t="shared" si="26"/>
        <v>4299</v>
      </c>
      <c r="P88">
        <f>RANK(basicformulas[[#This Row],[Quantity Sold]],F:F)</f>
        <v>5</v>
      </c>
      <c r="Q88">
        <f t="shared" si="27"/>
        <v>7</v>
      </c>
    </row>
    <row r="89" spans="1:17" x14ac:dyDescent="0.25">
      <c r="A89" s="2">
        <v>45725</v>
      </c>
      <c r="B89" t="s">
        <v>77</v>
      </c>
      <c r="C89" t="s">
        <v>83</v>
      </c>
      <c r="D89" t="s">
        <v>85</v>
      </c>
      <c r="E89">
        <v>4685</v>
      </c>
      <c r="F89">
        <v>5</v>
      </c>
      <c r="G89">
        <f t="shared" si="20"/>
        <v>2.2360679774997898</v>
      </c>
      <c r="H89">
        <f t="shared" si="21"/>
        <v>2.2000000000000002</v>
      </c>
      <c r="I89">
        <f>SUM(basicformulas[[#This Row],[sqrt]:[roung]])</f>
        <v>4.43606797749979</v>
      </c>
      <c r="J89" t="str">
        <f t="shared" si="22"/>
        <v>T</v>
      </c>
      <c r="K89" t="str">
        <f>RIGHT(basicformulas[[#This Row],[Product]],5)</f>
        <v>users</v>
      </c>
      <c r="L89">
        <f t="shared" si="23"/>
        <v>9.9700000000000006</v>
      </c>
      <c r="M89">
        <f t="shared" si="24"/>
        <v>1</v>
      </c>
      <c r="N89">
        <f t="shared" si="25"/>
        <v>20</v>
      </c>
      <c r="O89">
        <f t="shared" si="26"/>
        <v>4299</v>
      </c>
      <c r="P89">
        <f>RANK(basicformulas[[#This Row],[Quantity Sold]],F:F)</f>
        <v>72</v>
      </c>
      <c r="Q89">
        <f t="shared" si="27"/>
        <v>8</v>
      </c>
    </row>
    <row r="90" spans="1:17" x14ac:dyDescent="0.25">
      <c r="A90" s="2">
        <v>45694</v>
      </c>
      <c r="B90" t="s">
        <v>74</v>
      </c>
      <c r="C90" t="s">
        <v>82</v>
      </c>
      <c r="D90" t="s">
        <v>88</v>
      </c>
      <c r="E90">
        <v>808</v>
      </c>
      <c r="F90">
        <v>8</v>
      </c>
      <c r="G90">
        <f t="shared" si="20"/>
        <v>2.8284271247461903</v>
      </c>
      <c r="H90">
        <f t="shared" si="21"/>
        <v>2.8</v>
      </c>
      <c r="I90">
        <f>SUM(basicformulas[[#This Row],[sqrt]:[roung]])</f>
        <v>5.6284271247461906</v>
      </c>
      <c r="J90" t="str">
        <f t="shared" si="22"/>
        <v>S</v>
      </c>
      <c r="K90" t="str">
        <f>RIGHT(basicformulas[[#This Row],[Product]],5)</f>
        <v>phone</v>
      </c>
      <c r="L90">
        <f t="shared" si="23"/>
        <v>9.9700000000000006</v>
      </c>
      <c r="M90">
        <f t="shared" si="24"/>
        <v>1</v>
      </c>
      <c r="N90">
        <f t="shared" si="25"/>
        <v>20</v>
      </c>
      <c r="O90">
        <f t="shared" si="26"/>
        <v>4299</v>
      </c>
      <c r="P90">
        <f>RANK(basicformulas[[#This Row],[Quantity Sold]],F:F)</f>
        <v>56</v>
      </c>
      <c r="Q90">
        <f t="shared" si="27"/>
        <v>10</v>
      </c>
    </row>
    <row r="91" spans="1:17" x14ac:dyDescent="0.25">
      <c r="A91" s="2">
        <v>45749</v>
      </c>
      <c r="B91" t="s">
        <v>76</v>
      </c>
      <c r="C91" t="s">
        <v>84</v>
      </c>
      <c r="D91" t="s">
        <v>85</v>
      </c>
      <c r="E91">
        <v>1592</v>
      </c>
      <c r="F91">
        <v>4</v>
      </c>
      <c r="G91">
        <f t="shared" si="20"/>
        <v>2</v>
      </c>
      <c r="H91">
        <f t="shared" si="21"/>
        <v>2</v>
      </c>
      <c r="I91">
        <f>SUM(basicformulas[[#This Row],[sqrt]:[roung]])</f>
        <v>4</v>
      </c>
      <c r="J91" t="str">
        <f t="shared" si="22"/>
        <v>M</v>
      </c>
      <c r="K91" t="str">
        <f>RIGHT(basicformulas[[#This Row],[Product]],5)</f>
        <v>owave</v>
      </c>
      <c r="L91">
        <f t="shared" si="23"/>
        <v>9.9700000000000006</v>
      </c>
      <c r="M91">
        <f t="shared" si="24"/>
        <v>1</v>
      </c>
      <c r="N91">
        <f t="shared" si="25"/>
        <v>20</v>
      </c>
      <c r="O91">
        <f t="shared" si="26"/>
        <v>4299</v>
      </c>
      <c r="P91">
        <f>RANK(basicformulas[[#This Row],[Quantity Sold]],F:F)</f>
        <v>82</v>
      </c>
      <c r="Q91">
        <f t="shared" si="27"/>
        <v>9</v>
      </c>
    </row>
    <row r="92" spans="1:17" x14ac:dyDescent="0.25">
      <c r="A92" s="2">
        <v>45778</v>
      </c>
      <c r="B92" t="s">
        <v>75</v>
      </c>
      <c r="C92" t="s">
        <v>83</v>
      </c>
      <c r="D92" t="s">
        <v>86</v>
      </c>
      <c r="E92">
        <v>14860</v>
      </c>
      <c r="F92">
        <v>20</v>
      </c>
      <c r="G92">
        <f t="shared" si="20"/>
        <v>4.4721359549995796</v>
      </c>
      <c r="H92">
        <f t="shared" si="21"/>
        <v>4.5</v>
      </c>
      <c r="I92">
        <f>SUM(basicformulas[[#This Row],[sqrt]:[roung]])</f>
        <v>8.9721359549995796</v>
      </c>
      <c r="J92" t="str">
        <f t="shared" si="22"/>
        <v>S</v>
      </c>
      <c r="K92" t="str">
        <f>RIGHT(basicformulas[[#This Row],[Product]],5)</f>
        <v>Shirt</v>
      </c>
      <c r="L92">
        <f t="shared" si="23"/>
        <v>9.9700000000000006</v>
      </c>
      <c r="M92">
        <f t="shared" si="24"/>
        <v>1</v>
      </c>
      <c r="N92">
        <f t="shared" si="25"/>
        <v>20</v>
      </c>
      <c r="O92">
        <f t="shared" si="26"/>
        <v>4299</v>
      </c>
      <c r="P92">
        <f>RANK(basicformulas[[#This Row],[Quantity Sold]],F:F)</f>
        <v>1</v>
      </c>
      <c r="Q92">
        <f t="shared" si="27"/>
        <v>5</v>
      </c>
    </row>
    <row r="93" spans="1:17" x14ac:dyDescent="0.25">
      <c r="A93" s="2">
        <v>45658</v>
      </c>
      <c r="B93" t="s">
        <v>78</v>
      </c>
      <c r="C93" t="s">
        <v>84</v>
      </c>
      <c r="D93" t="s">
        <v>86</v>
      </c>
      <c r="E93">
        <v>8040</v>
      </c>
      <c r="F93">
        <v>10</v>
      </c>
      <c r="G93">
        <f t="shared" si="20"/>
        <v>3.1622776601683795</v>
      </c>
      <c r="H93">
        <f t="shared" si="21"/>
        <v>3.2</v>
      </c>
      <c r="I93">
        <f>SUM(basicformulas[[#This Row],[sqrt]:[roung]])</f>
        <v>6.3622776601683793</v>
      </c>
      <c r="J93" t="str">
        <f t="shared" si="22"/>
        <v>B</v>
      </c>
      <c r="K93" t="str">
        <f>RIGHT(basicformulas[[#This Row],[Product]],5)</f>
        <v>ender</v>
      </c>
      <c r="L93">
        <f t="shared" si="23"/>
        <v>9.9700000000000006</v>
      </c>
      <c r="M93">
        <f t="shared" si="24"/>
        <v>1</v>
      </c>
      <c r="N93">
        <f t="shared" si="25"/>
        <v>20</v>
      </c>
      <c r="O93">
        <f t="shared" si="26"/>
        <v>4299</v>
      </c>
      <c r="P93">
        <f>RANK(basicformulas[[#This Row],[Quantity Sold]],F:F)</f>
        <v>43</v>
      </c>
      <c r="Q93">
        <f t="shared" si="27"/>
        <v>7</v>
      </c>
    </row>
    <row r="94" spans="1:17" x14ac:dyDescent="0.25">
      <c r="A94" s="2">
        <v>45762</v>
      </c>
      <c r="B94" t="s">
        <v>78</v>
      </c>
      <c r="C94" t="s">
        <v>84</v>
      </c>
      <c r="D94" t="s">
        <v>87</v>
      </c>
      <c r="E94">
        <v>3880</v>
      </c>
      <c r="F94">
        <v>20</v>
      </c>
      <c r="G94">
        <f t="shared" si="20"/>
        <v>4.4721359549995796</v>
      </c>
      <c r="H94">
        <f t="shared" si="21"/>
        <v>4.5</v>
      </c>
      <c r="I94">
        <f>SUM(basicformulas[[#This Row],[sqrt]:[roung]])</f>
        <v>8.9721359549995796</v>
      </c>
      <c r="J94" t="str">
        <f t="shared" si="22"/>
        <v>B</v>
      </c>
      <c r="K94" t="str">
        <f>RIGHT(basicformulas[[#This Row],[Product]],5)</f>
        <v>ender</v>
      </c>
      <c r="L94">
        <f t="shared" si="23"/>
        <v>9.9700000000000006</v>
      </c>
      <c r="M94">
        <f t="shared" si="24"/>
        <v>1</v>
      </c>
      <c r="N94">
        <f t="shared" si="25"/>
        <v>20</v>
      </c>
      <c r="O94">
        <f t="shared" si="26"/>
        <v>4299</v>
      </c>
      <c r="P94">
        <f>RANK(basicformulas[[#This Row],[Quantity Sold]],F:F)</f>
        <v>1</v>
      </c>
      <c r="Q94">
        <f t="shared" si="27"/>
        <v>7</v>
      </c>
    </row>
    <row r="95" spans="1:17" x14ac:dyDescent="0.25">
      <c r="A95" s="2">
        <v>45765</v>
      </c>
      <c r="B95" t="s">
        <v>75</v>
      </c>
      <c r="C95" t="s">
        <v>83</v>
      </c>
      <c r="D95" t="s">
        <v>87</v>
      </c>
      <c r="E95">
        <v>2522</v>
      </c>
      <c r="F95">
        <v>13</v>
      </c>
      <c r="G95">
        <f t="shared" si="20"/>
        <v>3.6055512754639891</v>
      </c>
      <c r="H95">
        <f t="shared" si="21"/>
        <v>3.6</v>
      </c>
      <c r="I95">
        <f>SUM(basicformulas[[#This Row],[sqrt]:[roung]])</f>
        <v>7.2055512754639892</v>
      </c>
      <c r="J95" t="str">
        <f t="shared" si="22"/>
        <v>S</v>
      </c>
      <c r="K95" t="str">
        <f>RIGHT(basicformulas[[#This Row],[Product]],5)</f>
        <v>Shirt</v>
      </c>
      <c r="L95">
        <f t="shared" si="23"/>
        <v>9.9700000000000006</v>
      </c>
      <c r="M95">
        <f t="shared" si="24"/>
        <v>1</v>
      </c>
      <c r="N95">
        <f t="shared" si="25"/>
        <v>20</v>
      </c>
      <c r="O95">
        <f t="shared" si="26"/>
        <v>4299</v>
      </c>
      <c r="P95">
        <f>RANK(basicformulas[[#This Row],[Quantity Sold]],F:F)</f>
        <v>29</v>
      </c>
      <c r="Q95">
        <f t="shared" si="27"/>
        <v>5</v>
      </c>
    </row>
    <row r="96" spans="1:17" x14ac:dyDescent="0.25">
      <c r="A96" s="2">
        <v>45701</v>
      </c>
      <c r="B96" t="s">
        <v>76</v>
      </c>
      <c r="C96" t="s">
        <v>84</v>
      </c>
      <c r="D96" t="s">
        <v>85</v>
      </c>
      <c r="E96">
        <v>852</v>
      </c>
      <c r="F96">
        <v>2</v>
      </c>
      <c r="G96">
        <f t="shared" si="20"/>
        <v>1.4142135623730951</v>
      </c>
      <c r="H96">
        <f t="shared" si="21"/>
        <v>1.4</v>
      </c>
      <c r="I96">
        <f>SUM(basicformulas[[#This Row],[sqrt]:[roung]])</f>
        <v>2.8142135623730953</v>
      </c>
      <c r="J96" t="str">
        <f t="shared" si="22"/>
        <v>M</v>
      </c>
      <c r="K96" t="str">
        <f>RIGHT(basicformulas[[#This Row],[Product]],5)</f>
        <v>owave</v>
      </c>
      <c r="L96">
        <f t="shared" si="23"/>
        <v>9.9700000000000006</v>
      </c>
      <c r="M96">
        <f t="shared" si="24"/>
        <v>1</v>
      </c>
      <c r="N96">
        <f t="shared" si="25"/>
        <v>20</v>
      </c>
      <c r="O96">
        <f t="shared" si="26"/>
        <v>4299</v>
      </c>
      <c r="P96">
        <f>RANK(basicformulas[[#This Row],[Quantity Sold]],F:F)</f>
        <v>94</v>
      </c>
      <c r="Q96">
        <f t="shared" si="27"/>
        <v>9</v>
      </c>
    </row>
    <row r="97" spans="1:17" x14ac:dyDescent="0.25">
      <c r="A97" s="2">
        <v>45727</v>
      </c>
      <c r="B97" t="s">
        <v>73</v>
      </c>
      <c r="C97" t="s">
        <v>81</v>
      </c>
      <c r="D97" t="s">
        <v>85</v>
      </c>
      <c r="E97">
        <v>1185</v>
      </c>
      <c r="F97">
        <v>5</v>
      </c>
      <c r="G97">
        <f t="shared" si="20"/>
        <v>2.2360679774997898</v>
      </c>
      <c r="H97">
        <f t="shared" si="21"/>
        <v>2.2000000000000002</v>
      </c>
      <c r="I97">
        <f>SUM(basicformulas[[#This Row],[sqrt]:[roung]])</f>
        <v>4.43606797749979</v>
      </c>
      <c r="J97" t="str">
        <f t="shared" si="22"/>
        <v>S</v>
      </c>
      <c r="K97" t="str">
        <f>RIGHT(basicformulas[[#This Row],[Product]],5)</f>
        <v>akers</v>
      </c>
      <c r="L97">
        <f t="shared" si="23"/>
        <v>9.9700000000000006</v>
      </c>
      <c r="M97">
        <f t="shared" si="24"/>
        <v>1</v>
      </c>
      <c r="N97">
        <f t="shared" si="25"/>
        <v>20</v>
      </c>
      <c r="O97">
        <f t="shared" si="26"/>
        <v>4299</v>
      </c>
      <c r="P97">
        <f>RANK(basicformulas[[#This Row],[Quantity Sold]],F:F)</f>
        <v>72</v>
      </c>
      <c r="Q97">
        <f t="shared" si="27"/>
        <v>8</v>
      </c>
    </row>
    <row r="98" spans="1:17" x14ac:dyDescent="0.25">
      <c r="A98" s="2">
        <v>45741</v>
      </c>
      <c r="B98" t="s">
        <v>73</v>
      </c>
      <c r="C98" t="s">
        <v>81</v>
      </c>
      <c r="D98" t="s">
        <v>85</v>
      </c>
      <c r="E98">
        <v>1836</v>
      </c>
      <c r="F98">
        <v>12</v>
      </c>
      <c r="G98">
        <f t="shared" si="20"/>
        <v>3.4641016151377544</v>
      </c>
      <c r="H98">
        <f t="shared" ref="H98:H101" si="28">ROUND(G:G,1)</f>
        <v>3.5</v>
      </c>
      <c r="I98">
        <f>SUM(basicformulas[[#This Row],[sqrt]:[roung]])</f>
        <v>6.9641016151377544</v>
      </c>
      <c r="J98" t="str">
        <f t="shared" si="22"/>
        <v>S</v>
      </c>
      <c r="K98" t="str">
        <f>RIGHT(basicformulas[[#This Row],[Product]],5)</f>
        <v>akers</v>
      </c>
      <c r="L98">
        <f t="shared" si="23"/>
        <v>9.9700000000000006</v>
      </c>
      <c r="M98">
        <f t="shared" si="24"/>
        <v>1</v>
      </c>
      <c r="N98">
        <f t="shared" si="25"/>
        <v>20</v>
      </c>
      <c r="O98">
        <f t="shared" si="26"/>
        <v>4299</v>
      </c>
      <c r="P98">
        <f>RANK(basicformulas[[#This Row],[Quantity Sold]],F:F)</f>
        <v>37</v>
      </c>
      <c r="Q98">
        <f t="shared" si="27"/>
        <v>8</v>
      </c>
    </row>
    <row r="99" spans="1:17" x14ac:dyDescent="0.25">
      <c r="A99" s="2">
        <v>45679</v>
      </c>
      <c r="B99" t="s">
        <v>80</v>
      </c>
      <c r="C99" t="s">
        <v>82</v>
      </c>
      <c r="D99" t="s">
        <v>87</v>
      </c>
      <c r="E99">
        <v>3835</v>
      </c>
      <c r="F99">
        <v>5</v>
      </c>
      <c r="G99">
        <f t="shared" si="20"/>
        <v>2.2360679774997898</v>
      </c>
      <c r="H99">
        <f t="shared" si="28"/>
        <v>2.2000000000000002</v>
      </c>
      <c r="I99">
        <f>SUM(basicformulas[[#This Row],[sqrt]:[roung]])</f>
        <v>4.43606797749979</v>
      </c>
      <c r="J99" t="str">
        <f t="shared" si="22"/>
        <v>L</v>
      </c>
      <c r="K99" t="str">
        <f>RIGHT(basicformulas[[#This Row],[Product]],5)</f>
        <v>aptop</v>
      </c>
      <c r="L99">
        <f t="shared" si="23"/>
        <v>9.9700000000000006</v>
      </c>
      <c r="M99">
        <f t="shared" si="24"/>
        <v>1</v>
      </c>
      <c r="N99">
        <f t="shared" si="25"/>
        <v>20</v>
      </c>
      <c r="O99">
        <f t="shared" si="26"/>
        <v>4299</v>
      </c>
      <c r="P99">
        <f>RANK(basicformulas[[#This Row],[Quantity Sold]],F:F)</f>
        <v>72</v>
      </c>
      <c r="Q99">
        <f t="shared" si="27"/>
        <v>6</v>
      </c>
    </row>
    <row r="100" spans="1:17" x14ac:dyDescent="0.25">
      <c r="A100" s="2">
        <v>45711</v>
      </c>
      <c r="B100" t="s">
        <v>75</v>
      </c>
      <c r="C100" t="s">
        <v>83</v>
      </c>
      <c r="D100" t="s">
        <v>85</v>
      </c>
      <c r="E100">
        <v>2460</v>
      </c>
      <c r="F100">
        <v>12</v>
      </c>
      <c r="G100">
        <f t="shared" si="20"/>
        <v>3.4641016151377544</v>
      </c>
      <c r="H100">
        <f t="shared" si="28"/>
        <v>3.5</v>
      </c>
      <c r="I100">
        <f>SUM(basicformulas[[#This Row],[sqrt]:[roung]])</f>
        <v>6.9641016151377544</v>
      </c>
      <c r="J100" t="str">
        <f t="shared" si="22"/>
        <v>S</v>
      </c>
      <c r="K100" t="str">
        <f>RIGHT(basicformulas[[#This Row],[Product]],5)</f>
        <v>Shirt</v>
      </c>
      <c r="L100">
        <f t="shared" si="23"/>
        <v>9.9700000000000006</v>
      </c>
      <c r="M100">
        <f t="shared" si="24"/>
        <v>1</v>
      </c>
      <c r="N100">
        <f t="shared" si="25"/>
        <v>20</v>
      </c>
      <c r="O100">
        <f t="shared" si="26"/>
        <v>4299</v>
      </c>
      <c r="P100">
        <f>RANK(basicformulas[[#This Row],[Quantity Sold]],F:F)</f>
        <v>37</v>
      </c>
      <c r="Q100">
        <f t="shared" si="27"/>
        <v>5</v>
      </c>
    </row>
    <row r="101" spans="1:17" x14ac:dyDescent="0.25">
      <c r="A101" s="2">
        <v>45693</v>
      </c>
      <c r="B101" t="s">
        <v>78</v>
      </c>
      <c r="C101" t="s">
        <v>84</v>
      </c>
      <c r="D101" t="s">
        <v>88</v>
      </c>
      <c r="E101">
        <v>3941</v>
      </c>
      <c r="F101">
        <v>7</v>
      </c>
      <c r="G101">
        <f t="shared" si="20"/>
        <v>2.6457513110645907</v>
      </c>
      <c r="H101">
        <f t="shared" si="28"/>
        <v>2.6</v>
      </c>
      <c r="I101">
        <f>SUM(basicformulas[[#This Row],[sqrt]:[roung]])</f>
        <v>5.2457513110645912</v>
      </c>
      <c r="J101" t="str">
        <f t="shared" si="22"/>
        <v>B</v>
      </c>
      <c r="K101" t="str">
        <f>RIGHT(basicformulas[[#This Row],[Product]],5)</f>
        <v>ender</v>
      </c>
      <c r="L101">
        <f t="shared" si="23"/>
        <v>9.9700000000000006</v>
      </c>
      <c r="M101">
        <f t="shared" si="24"/>
        <v>1</v>
      </c>
      <c r="N101">
        <f t="shared" si="25"/>
        <v>20</v>
      </c>
      <c r="O101">
        <f t="shared" si="26"/>
        <v>4299</v>
      </c>
      <c r="P101">
        <f>RANK(basicformulas[[#This Row],[Quantity Sold]],F:F)</f>
        <v>63</v>
      </c>
      <c r="Q101">
        <f t="shared" si="27"/>
        <v>7</v>
      </c>
    </row>
    <row r="165" spans="20:21" x14ac:dyDescent="0.25">
      <c r="T165">
        <v>10</v>
      </c>
      <c r="U165">
        <f>RANK(T165,T165:T169)</f>
        <v>4</v>
      </c>
    </row>
    <row r="166" spans="20:21" x14ac:dyDescent="0.25">
      <c r="T166">
        <v>10</v>
      </c>
      <c r="U166">
        <f t="shared" ref="U166:U169" si="29">RANK(T166,T166:T170)</f>
        <v>5</v>
      </c>
    </row>
    <row r="167" spans="20:21" x14ac:dyDescent="0.25">
      <c r="T167">
        <v>40</v>
      </c>
      <c r="U167">
        <f t="shared" si="29"/>
        <v>3</v>
      </c>
    </row>
    <row r="168" spans="20:21" x14ac:dyDescent="0.25">
      <c r="T168">
        <v>40</v>
      </c>
      <c r="U168">
        <f t="shared" si="29"/>
        <v>3</v>
      </c>
    </row>
    <row r="169" spans="20:21" x14ac:dyDescent="0.25">
      <c r="T169">
        <v>50</v>
      </c>
      <c r="U169">
        <f t="shared" si="29"/>
        <v>2</v>
      </c>
    </row>
    <row r="170" spans="20:21" x14ac:dyDescent="0.25">
      <c r="T170">
        <v>60</v>
      </c>
      <c r="U170">
        <f>RANK(T170,T170:T174)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257C-980A-4765-AB2F-81D90AA0B9D2}">
  <dimension ref="F9:N23"/>
  <sheetViews>
    <sheetView workbookViewId="0">
      <selection activeCell="O24" sqref="O24"/>
    </sheetView>
  </sheetViews>
  <sheetFormatPr defaultRowHeight="15" x14ac:dyDescent="0.25"/>
  <sheetData>
    <row r="9" spans="6:14" x14ac:dyDescent="0.25">
      <c r="G9" t="s">
        <v>98</v>
      </c>
      <c r="I9" t="s">
        <v>111</v>
      </c>
      <c r="L9" t="s">
        <v>111</v>
      </c>
    </row>
    <row r="10" spans="6:14" x14ac:dyDescent="0.25">
      <c r="F10">
        <v>10</v>
      </c>
      <c r="G10">
        <f>RANK(F10,F10:F17)</f>
        <v>8</v>
      </c>
      <c r="I10">
        <v>60</v>
      </c>
      <c r="K10" cm="1">
        <f t="array" ref="K10">COUNT(_xlfn.UNIQUE(_xlfn._xlws.FILTER($F$10:$F$17,$F$10:$F$17&gt;F10)))+1</f>
        <v>6</v>
      </c>
      <c r="L10">
        <v>6</v>
      </c>
      <c r="N10" cm="1">
        <f t="array" ref="N10">COUNT(_xlfn.UNIQUE(_xlfn._xlws.FILTER($F$10:$F$17,$F$10:$F$17&gt;F10)))+1</f>
        <v>6</v>
      </c>
    </row>
    <row r="11" spans="6:14" x14ac:dyDescent="0.25">
      <c r="F11">
        <v>20</v>
      </c>
      <c r="G11">
        <f t="shared" ref="G11:G17" si="0">RANK(F11,F11:F18)</f>
        <v>7</v>
      </c>
      <c r="I11">
        <v>50</v>
      </c>
      <c r="K11" cm="1">
        <f t="array" ref="K11">COUNT(_xlfn.UNIQUE(_xlfn._xlws.FILTER($F$10:$F$17,$F$10:$F$17&gt;F11)))+1</f>
        <v>5</v>
      </c>
      <c r="L11">
        <v>5</v>
      </c>
      <c r="N11" cm="1">
        <f t="array" ref="N11">COUNT(_xlfn.UNIQUE(_xlfn._xlws.FILTER($F$10:$F$17,$F$10:$F$17&gt;F11)))+1</f>
        <v>5</v>
      </c>
    </row>
    <row r="12" spans="6:14" x14ac:dyDescent="0.25">
      <c r="F12">
        <v>30</v>
      </c>
      <c r="G12">
        <f t="shared" si="0"/>
        <v>5</v>
      </c>
      <c r="I12">
        <v>50</v>
      </c>
      <c r="K12" cm="1">
        <f t="array" ref="K12">COUNT(_xlfn.UNIQUE(_xlfn._xlws.FILTER($F$10:$F$17,$F$10:$F$17&gt;F12)))+1</f>
        <v>4</v>
      </c>
      <c r="L12">
        <v>4</v>
      </c>
      <c r="N12" cm="1">
        <f t="array" ref="N12">COUNT(_xlfn.UNIQUE(_xlfn._xlws.FILTER($F$10:$F$17,$F$10:$F$17&gt;F12)))+1</f>
        <v>4</v>
      </c>
    </row>
    <row r="13" spans="6:14" x14ac:dyDescent="0.25">
      <c r="F13">
        <v>30</v>
      </c>
      <c r="G13">
        <f t="shared" si="0"/>
        <v>5</v>
      </c>
      <c r="I13">
        <v>40</v>
      </c>
      <c r="K13" cm="1">
        <f t="array" ref="K13">COUNT(_xlfn.UNIQUE(_xlfn._xlws.FILTER($F$10:$F$17,$F$10:$F$17&gt;F13)))+1</f>
        <v>4</v>
      </c>
      <c r="L13">
        <v>4</v>
      </c>
      <c r="N13" cm="1">
        <f t="array" ref="N13">COUNT(_xlfn.UNIQUE(_xlfn._xlws.FILTER($F$10:$F$17,$F$10:$F$17&gt;F13)))+1</f>
        <v>4</v>
      </c>
    </row>
    <row r="14" spans="6:14" x14ac:dyDescent="0.25">
      <c r="F14">
        <v>40</v>
      </c>
      <c r="G14">
        <f t="shared" si="0"/>
        <v>4</v>
      </c>
      <c r="I14">
        <v>30</v>
      </c>
      <c r="K14" cm="1">
        <f t="array" ref="K14">COUNT(_xlfn.UNIQUE(_xlfn._xlws.FILTER($F$10:$F$17,$F$10:$F$17&gt;F14)))+1</f>
        <v>3</v>
      </c>
      <c r="L14">
        <v>3</v>
      </c>
      <c r="N14" cm="1">
        <f t="array" ref="N14">COUNT(_xlfn.UNIQUE(_xlfn._xlws.FILTER($F$10:$F$17,$F$10:$F$17&gt;F14)))+1</f>
        <v>3</v>
      </c>
    </row>
    <row r="15" spans="6:14" x14ac:dyDescent="0.25">
      <c r="F15">
        <v>50</v>
      </c>
      <c r="G15">
        <f t="shared" si="0"/>
        <v>2</v>
      </c>
      <c r="I15">
        <v>30</v>
      </c>
      <c r="K15" cm="1">
        <f t="array" ref="K15">COUNT(_xlfn.UNIQUE(_xlfn._xlws.FILTER($F$10:$F$17,$F$10:$F$17&gt;F15)))+1</f>
        <v>2</v>
      </c>
      <c r="L15">
        <v>2</v>
      </c>
      <c r="N15" cm="1">
        <f t="array" ref="N15">COUNT(_xlfn.UNIQUE(_xlfn._xlws.FILTER($F$10:$F$17,$F$10:$F$17&gt;F15)))+1</f>
        <v>2</v>
      </c>
    </row>
    <row r="16" spans="6:14" x14ac:dyDescent="0.25">
      <c r="F16">
        <v>50</v>
      </c>
      <c r="G16">
        <f t="shared" si="0"/>
        <v>2</v>
      </c>
      <c r="I16">
        <v>20</v>
      </c>
      <c r="K16" cm="1">
        <f t="array" ref="K16">COUNT(_xlfn.UNIQUE(_xlfn._xlws.FILTER($F$10:$F$17,$F$10:$F$17&gt;F16)))+1</f>
        <v>2</v>
      </c>
      <c r="L16">
        <v>2</v>
      </c>
      <c r="N16" cm="1">
        <f t="array" ref="N16">COUNT(_xlfn.UNIQUE(_xlfn._xlws.FILTER($F$10:$F$17,$F$10:$F$17&gt;F16)))+1</f>
        <v>2</v>
      </c>
    </row>
    <row r="17" spans="6:14" x14ac:dyDescent="0.25">
      <c r="F17">
        <v>60</v>
      </c>
      <c r="G17">
        <f t="shared" si="0"/>
        <v>1</v>
      </c>
      <c r="I17">
        <v>10</v>
      </c>
      <c r="K17" cm="1">
        <f t="array" ref="K17">COUNT(_xlfn.UNIQUE(_xlfn._xlws.FILTER($F$10:$F$17,$F$10:$F$17&gt;F17)))+1</f>
        <v>1</v>
      </c>
      <c r="L17">
        <v>1</v>
      </c>
      <c r="N17" cm="1">
        <f t="array" ref="N17">COUNT(_xlfn.UNIQUE(_xlfn._xlws.FILTER($F$10:$F$17,$F$10:$F$17&gt;F17)))+1</f>
        <v>1</v>
      </c>
    </row>
    <row r="21" spans="6:14" x14ac:dyDescent="0.25">
      <c r="F21" t="s">
        <v>113</v>
      </c>
    </row>
    <row r="23" spans="6:14" x14ac:dyDescent="0.25">
      <c r="G23">
        <f>COUNT(F10:F17)</f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EDCE7-16B2-40BB-AD31-2CDDE81D755B}">
  <dimension ref="A1:R101"/>
  <sheetViews>
    <sheetView topLeftCell="A4" workbookViewId="0">
      <selection activeCell="R23" sqref="R23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3" width="11.140625" bestFit="1" customWidth="1"/>
    <col min="4" max="4" width="9.42578125" bestFit="1" customWidth="1"/>
    <col min="5" max="5" width="15.5703125" bestFit="1" customWidth="1"/>
    <col min="6" max="6" width="15.42578125" bestFit="1" customWidth="1"/>
    <col min="9" max="9" width="10.42578125" bestFit="1" customWidth="1"/>
    <col min="11" max="11" width="15.42578125" customWidth="1"/>
    <col min="13" max="13" width="10.425781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3" x14ac:dyDescent="0.25">
      <c r="A2" s="2">
        <v>45697</v>
      </c>
      <c r="B2" t="s">
        <v>73</v>
      </c>
      <c r="C2" t="s">
        <v>81</v>
      </c>
      <c r="D2" t="s">
        <v>85</v>
      </c>
      <c r="E2">
        <v>4050</v>
      </c>
      <c r="F2">
        <v>18</v>
      </c>
    </row>
    <row r="3" spans="1:13" x14ac:dyDescent="0.25">
      <c r="A3" s="2">
        <v>45734</v>
      </c>
      <c r="B3" t="s">
        <v>74</v>
      </c>
      <c r="C3" t="s">
        <v>82</v>
      </c>
      <c r="D3" t="s">
        <v>86</v>
      </c>
      <c r="E3">
        <v>7875</v>
      </c>
      <c r="F3">
        <v>15</v>
      </c>
    </row>
    <row r="4" spans="1:13" x14ac:dyDescent="0.25">
      <c r="A4" s="2">
        <v>45676</v>
      </c>
      <c r="B4" t="s">
        <v>75</v>
      </c>
      <c r="C4" t="s">
        <v>83</v>
      </c>
      <c r="D4" t="s">
        <v>85</v>
      </c>
      <c r="E4">
        <v>5832</v>
      </c>
      <c r="F4">
        <v>6</v>
      </c>
    </row>
    <row r="5" spans="1:13" x14ac:dyDescent="0.25">
      <c r="A5" s="2">
        <v>45694</v>
      </c>
      <c r="B5" t="s">
        <v>76</v>
      </c>
      <c r="C5" t="s">
        <v>84</v>
      </c>
      <c r="D5" t="s">
        <v>85</v>
      </c>
      <c r="E5">
        <v>676</v>
      </c>
      <c r="F5">
        <v>4</v>
      </c>
    </row>
    <row r="6" spans="1:13" x14ac:dyDescent="0.25">
      <c r="A6" s="2">
        <v>45693</v>
      </c>
      <c r="B6" t="s">
        <v>74</v>
      </c>
      <c r="C6" t="s">
        <v>82</v>
      </c>
      <c r="D6" t="s">
        <v>87</v>
      </c>
      <c r="E6">
        <v>6560</v>
      </c>
      <c r="F6">
        <v>10</v>
      </c>
    </row>
    <row r="7" spans="1:13" x14ac:dyDescent="0.25">
      <c r="A7" s="2">
        <v>45775</v>
      </c>
      <c r="B7" t="s">
        <v>76</v>
      </c>
      <c r="C7" t="s">
        <v>84</v>
      </c>
      <c r="D7" t="s">
        <v>87</v>
      </c>
      <c r="E7">
        <v>1905</v>
      </c>
      <c r="F7">
        <v>5</v>
      </c>
    </row>
    <row r="8" spans="1:13" x14ac:dyDescent="0.25">
      <c r="A8" s="2">
        <v>45720</v>
      </c>
      <c r="B8" t="s">
        <v>77</v>
      </c>
      <c r="C8" t="s">
        <v>83</v>
      </c>
      <c r="D8" t="s">
        <v>86</v>
      </c>
      <c r="E8">
        <v>6948</v>
      </c>
      <c r="F8">
        <v>18</v>
      </c>
    </row>
    <row r="9" spans="1:13" x14ac:dyDescent="0.25">
      <c r="A9" s="2">
        <v>45764</v>
      </c>
      <c r="B9" t="s">
        <v>77</v>
      </c>
      <c r="C9" t="s">
        <v>83</v>
      </c>
      <c r="D9" t="s">
        <v>85</v>
      </c>
      <c r="E9">
        <v>1944</v>
      </c>
      <c r="F9">
        <v>18</v>
      </c>
      <c r="I9" t="s">
        <v>114</v>
      </c>
      <c r="K9" t="s">
        <v>115</v>
      </c>
      <c r="M9" t="s">
        <v>116</v>
      </c>
    </row>
    <row r="10" spans="1:13" x14ac:dyDescent="0.25">
      <c r="A10" s="2">
        <v>45735</v>
      </c>
      <c r="B10" t="s">
        <v>78</v>
      </c>
      <c r="C10" t="s">
        <v>84</v>
      </c>
      <c r="D10" t="s">
        <v>85</v>
      </c>
      <c r="E10">
        <v>7776</v>
      </c>
      <c r="F10">
        <v>8</v>
      </c>
      <c r="I10">
        <f ca="1">NETWORKDAYS(A2,TODAY())</f>
        <v>341</v>
      </c>
      <c r="M10" s="7" t="b">
        <f ca="1">M18=EOMONTH(TODAY(),2)</f>
        <v>1</v>
      </c>
    </row>
    <row r="11" spans="1:13" x14ac:dyDescent="0.25">
      <c r="A11" s="2">
        <v>45778</v>
      </c>
      <c r="B11" t="s">
        <v>74</v>
      </c>
      <c r="C11" t="s">
        <v>82</v>
      </c>
      <c r="D11" t="s">
        <v>86</v>
      </c>
      <c r="E11">
        <v>2790</v>
      </c>
      <c r="F11">
        <v>18</v>
      </c>
    </row>
    <row r="12" spans="1:13" x14ac:dyDescent="0.25">
      <c r="A12" s="2">
        <v>45693</v>
      </c>
      <c r="B12" t="s">
        <v>75</v>
      </c>
      <c r="C12" t="s">
        <v>83</v>
      </c>
      <c r="D12" t="s">
        <v>86</v>
      </c>
      <c r="E12">
        <v>7995</v>
      </c>
      <c r="F12">
        <v>13</v>
      </c>
      <c r="M12" s="7">
        <f ca="1">EOMONTH(TODAY(),8)</f>
        <v>46446</v>
      </c>
    </row>
    <row r="13" spans="1:13" x14ac:dyDescent="0.25">
      <c r="A13" s="2">
        <v>45677</v>
      </c>
      <c r="B13" t="s">
        <v>75</v>
      </c>
      <c r="C13" t="s">
        <v>83</v>
      </c>
      <c r="D13" t="s">
        <v>85</v>
      </c>
      <c r="E13">
        <v>9984</v>
      </c>
      <c r="F13">
        <v>13</v>
      </c>
    </row>
    <row r="14" spans="1:13" x14ac:dyDescent="0.25">
      <c r="A14" s="2">
        <v>45739</v>
      </c>
      <c r="B14" t="s">
        <v>75</v>
      </c>
      <c r="C14" t="s">
        <v>83</v>
      </c>
      <c r="D14" t="s">
        <v>87</v>
      </c>
      <c r="E14">
        <v>7683</v>
      </c>
      <c r="F14">
        <v>13</v>
      </c>
    </row>
    <row r="15" spans="1:13" x14ac:dyDescent="0.25">
      <c r="A15" s="2">
        <v>45699</v>
      </c>
      <c r="B15" t="s">
        <v>76</v>
      </c>
      <c r="C15" t="s">
        <v>84</v>
      </c>
      <c r="D15" t="s">
        <v>88</v>
      </c>
      <c r="E15">
        <v>6885</v>
      </c>
      <c r="F15">
        <v>9</v>
      </c>
    </row>
    <row r="16" spans="1:13" x14ac:dyDescent="0.25">
      <c r="A16" s="2">
        <v>45767</v>
      </c>
      <c r="B16" t="s">
        <v>79</v>
      </c>
      <c r="C16" t="s">
        <v>81</v>
      </c>
      <c r="D16" t="s">
        <v>87</v>
      </c>
      <c r="E16">
        <v>229</v>
      </c>
      <c r="F16">
        <v>1</v>
      </c>
    </row>
    <row r="17" spans="1:18" x14ac:dyDescent="0.25">
      <c r="A17" s="2">
        <v>45735</v>
      </c>
      <c r="B17" t="s">
        <v>80</v>
      </c>
      <c r="C17" t="s">
        <v>82</v>
      </c>
      <c r="D17" t="s">
        <v>87</v>
      </c>
      <c r="E17">
        <v>6104</v>
      </c>
      <c r="F17">
        <v>7</v>
      </c>
      <c r="I17" s="3" t="s">
        <v>122</v>
      </c>
      <c r="K17" s="3" t="s">
        <v>117</v>
      </c>
      <c r="M17" s="3" t="s">
        <v>118</v>
      </c>
      <c r="O17" s="3" t="s">
        <v>119</v>
      </c>
      <c r="P17" s="3" t="s">
        <v>120</v>
      </c>
      <c r="Q17" s="3" t="s">
        <v>121</v>
      </c>
      <c r="R17" s="3" t="s">
        <v>123</v>
      </c>
    </row>
    <row r="18" spans="1:18" x14ac:dyDescent="0.25">
      <c r="A18" s="2">
        <v>45722</v>
      </c>
      <c r="B18" t="s">
        <v>78</v>
      </c>
      <c r="C18" t="s">
        <v>84</v>
      </c>
      <c r="D18" t="s">
        <v>85</v>
      </c>
      <c r="E18">
        <v>558</v>
      </c>
      <c r="F18">
        <v>1</v>
      </c>
      <c r="I18" s="2">
        <f ca="1">TODAY()</f>
        <v>46174</v>
      </c>
      <c r="K18">
        <f ca="1">NETWORKDAYS(A2,TODAY())</f>
        <v>341</v>
      </c>
      <c r="M18" s="7">
        <f ca="1">EOMONTH(TODAY(),2)</f>
        <v>46265</v>
      </c>
      <c r="O18">
        <f ca="1">YEAR(TODAY())</f>
        <v>2026</v>
      </c>
      <c r="P18">
        <f ca="1">MONTH(TODAY())</f>
        <v>6</v>
      </c>
      <c r="Q18">
        <f ca="1">DAY(TODAY())</f>
        <v>1</v>
      </c>
      <c r="R18">
        <f ca="1">WEEKDAY(TODAY(),2)</f>
        <v>1</v>
      </c>
    </row>
    <row r="19" spans="1:18" x14ac:dyDescent="0.25">
      <c r="A19" s="2">
        <v>45741</v>
      </c>
      <c r="B19" t="s">
        <v>76</v>
      </c>
      <c r="C19" t="s">
        <v>84</v>
      </c>
      <c r="D19" t="s">
        <v>85</v>
      </c>
      <c r="E19">
        <v>6413</v>
      </c>
      <c r="F19">
        <v>11</v>
      </c>
      <c r="O19">
        <f ca="1">YEAR(I18+265)</f>
        <v>2027</v>
      </c>
      <c r="P19">
        <f ca="1">MONTH(I18+50)</f>
        <v>7</v>
      </c>
      <c r="R19">
        <f ca="1">WEEKDAY(I18)</f>
        <v>2</v>
      </c>
    </row>
    <row r="20" spans="1:18" x14ac:dyDescent="0.25">
      <c r="A20" s="2">
        <v>45732</v>
      </c>
      <c r="B20" t="s">
        <v>74</v>
      </c>
      <c r="C20" t="s">
        <v>82</v>
      </c>
      <c r="D20" t="s">
        <v>88</v>
      </c>
      <c r="E20">
        <v>1017</v>
      </c>
      <c r="F20">
        <v>9</v>
      </c>
      <c r="K20">
        <f ca="1">NETWORKDAYS(I18,"10-06-2026")</f>
        <v>8</v>
      </c>
    </row>
    <row r="21" spans="1:18" x14ac:dyDescent="0.25">
      <c r="A21" s="2">
        <v>45721</v>
      </c>
      <c r="B21" t="s">
        <v>80</v>
      </c>
      <c r="C21" t="s">
        <v>82</v>
      </c>
      <c r="D21" t="s">
        <v>86</v>
      </c>
      <c r="E21">
        <v>9310</v>
      </c>
      <c r="F21">
        <v>10</v>
      </c>
    </row>
    <row r="22" spans="1:18" x14ac:dyDescent="0.25">
      <c r="A22" s="2">
        <v>45703</v>
      </c>
      <c r="B22" t="s">
        <v>75</v>
      </c>
      <c r="C22" t="s">
        <v>83</v>
      </c>
      <c r="D22" t="s">
        <v>87</v>
      </c>
      <c r="E22">
        <v>2560</v>
      </c>
      <c r="F22">
        <v>4</v>
      </c>
    </row>
    <row r="23" spans="1:18" x14ac:dyDescent="0.25">
      <c r="A23" s="2">
        <v>45681</v>
      </c>
      <c r="B23" t="s">
        <v>76</v>
      </c>
      <c r="C23" t="s">
        <v>84</v>
      </c>
      <c r="D23" t="s">
        <v>86</v>
      </c>
      <c r="E23">
        <v>6855</v>
      </c>
      <c r="F23">
        <v>15</v>
      </c>
    </row>
    <row r="24" spans="1:18" x14ac:dyDescent="0.25">
      <c r="A24" s="2">
        <v>45663</v>
      </c>
      <c r="B24" t="s">
        <v>78</v>
      </c>
      <c r="C24" t="s">
        <v>84</v>
      </c>
      <c r="D24" t="s">
        <v>86</v>
      </c>
      <c r="E24">
        <v>7398</v>
      </c>
      <c r="F24">
        <v>9</v>
      </c>
    </row>
    <row r="25" spans="1:18" x14ac:dyDescent="0.25">
      <c r="A25" s="2">
        <v>45660</v>
      </c>
      <c r="B25" t="s">
        <v>74</v>
      </c>
      <c r="C25" t="s">
        <v>82</v>
      </c>
      <c r="D25" t="s">
        <v>85</v>
      </c>
      <c r="E25">
        <v>2094</v>
      </c>
      <c r="F25">
        <v>6</v>
      </c>
      <c r="H25" s="3" t="s">
        <v>124</v>
      </c>
      <c r="I25" s="2">
        <f>DATE(2026,6,1)</f>
        <v>46174</v>
      </c>
    </row>
    <row r="26" spans="1:18" x14ac:dyDescent="0.25">
      <c r="A26" s="2">
        <v>45701</v>
      </c>
      <c r="B26" t="s">
        <v>74</v>
      </c>
      <c r="C26" t="s">
        <v>82</v>
      </c>
      <c r="D26" t="s">
        <v>88</v>
      </c>
      <c r="E26">
        <v>3996</v>
      </c>
      <c r="F26">
        <v>4</v>
      </c>
    </row>
    <row r="27" spans="1:18" x14ac:dyDescent="0.25">
      <c r="A27" s="2">
        <v>45679</v>
      </c>
      <c r="B27" t="s">
        <v>78</v>
      </c>
      <c r="C27" t="s">
        <v>84</v>
      </c>
      <c r="D27" t="s">
        <v>87</v>
      </c>
      <c r="E27">
        <v>4884</v>
      </c>
      <c r="F27">
        <v>6</v>
      </c>
    </row>
    <row r="28" spans="1:18" x14ac:dyDescent="0.25">
      <c r="A28" s="2">
        <v>45693</v>
      </c>
      <c r="B28" t="s">
        <v>77</v>
      </c>
      <c r="C28" t="s">
        <v>83</v>
      </c>
      <c r="D28" t="s">
        <v>88</v>
      </c>
      <c r="E28">
        <v>1767</v>
      </c>
      <c r="F28">
        <v>3</v>
      </c>
    </row>
    <row r="29" spans="1:18" x14ac:dyDescent="0.25">
      <c r="A29" s="2">
        <v>45744</v>
      </c>
      <c r="B29" t="s">
        <v>78</v>
      </c>
      <c r="C29" t="s">
        <v>84</v>
      </c>
      <c r="D29" t="s">
        <v>85</v>
      </c>
      <c r="E29">
        <v>7840</v>
      </c>
      <c r="F29">
        <v>14</v>
      </c>
    </row>
    <row r="30" spans="1:18" x14ac:dyDescent="0.25">
      <c r="A30" s="2">
        <v>45670</v>
      </c>
      <c r="B30" t="s">
        <v>78</v>
      </c>
      <c r="C30" t="s">
        <v>84</v>
      </c>
      <c r="D30" t="s">
        <v>86</v>
      </c>
      <c r="E30">
        <v>4806</v>
      </c>
      <c r="F30">
        <v>6</v>
      </c>
    </row>
    <row r="31" spans="1:18" x14ac:dyDescent="0.25">
      <c r="A31" s="2">
        <v>45716</v>
      </c>
      <c r="B31" t="s">
        <v>78</v>
      </c>
      <c r="C31" t="s">
        <v>84</v>
      </c>
      <c r="D31" t="s">
        <v>88</v>
      </c>
      <c r="E31">
        <v>2598</v>
      </c>
      <c r="F31">
        <v>3</v>
      </c>
    </row>
    <row r="32" spans="1:18" x14ac:dyDescent="0.25">
      <c r="A32" s="2">
        <v>45762</v>
      </c>
      <c r="B32" t="s">
        <v>73</v>
      </c>
      <c r="C32" t="s">
        <v>81</v>
      </c>
      <c r="D32" t="s">
        <v>88</v>
      </c>
      <c r="E32">
        <v>12920</v>
      </c>
      <c r="F32">
        <v>17</v>
      </c>
    </row>
    <row r="33" spans="1:6" x14ac:dyDescent="0.25">
      <c r="A33" s="2">
        <v>45692</v>
      </c>
      <c r="B33" t="s">
        <v>77</v>
      </c>
      <c r="C33" t="s">
        <v>83</v>
      </c>
      <c r="D33" t="s">
        <v>85</v>
      </c>
      <c r="E33">
        <v>2134</v>
      </c>
      <c r="F33">
        <v>11</v>
      </c>
    </row>
    <row r="34" spans="1:6" x14ac:dyDescent="0.25">
      <c r="A34" s="2">
        <v>45747</v>
      </c>
      <c r="B34" t="s">
        <v>79</v>
      </c>
      <c r="C34" t="s">
        <v>81</v>
      </c>
      <c r="D34" t="s">
        <v>86</v>
      </c>
      <c r="E34">
        <v>311</v>
      </c>
      <c r="F34">
        <v>1</v>
      </c>
    </row>
    <row r="35" spans="1:6" x14ac:dyDescent="0.25">
      <c r="A35" s="2">
        <v>45714</v>
      </c>
      <c r="B35" t="s">
        <v>73</v>
      </c>
      <c r="C35" t="s">
        <v>81</v>
      </c>
      <c r="D35" t="s">
        <v>85</v>
      </c>
      <c r="E35">
        <v>2388</v>
      </c>
      <c r="F35">
        <v>3</v>
      </c>
    </row>
    <row r="36" spans="1:6" x14ac:dyDescent="0.25">
      <c r="A36" s="2">
        <v>45748</v>
      </c>
      <c r="B36" t="s">
        <v>76</v>
      </c>
      <c r="C36" t="s">
        <v>84</v>
      </c>
      <c r="D36" t="s">
        <v>85</v>
      </c>
      <c r="E36">
        <v>2853</v>
      </c>
      <c r="F36">
        <v>9</v>
      </c>
    </row>
    <row r="37" spans="1:6" x14ac:dyDescent="0.25">
      <c r="A37" s="2">
        <v>45677</v>
      </c>
      <c r="B37" t="s">
        <v>80</v>
      </c>
      <c r="C37" t="s">
        <v>82</v>
      </c>
      <c r="D37" t="s">
        <v>88</v>
      </c>
      <c r="E37">
        <v>4382</v>
      </c>
      <c r="F37">
        <v>7</v>
      </c>
    </row>
    <row r="38" spans="1:6" x14ac:dyDescent="0.25">
      <c r="A38" s="2">
        <v>45749</v>
      </c>
      <c r="B38" t="s">
        <v>73</v>
      </c>
      <c r="C38" t="s">
        <v>81</v>
      </c>
      <c r="D38" t="s">
        <v>85</v>
      </c>
      <c r="E38">
        <v>2690</v>
      </c>
      <c r="F38">
        <v>5</v>
      </c>
    </row>
    <row r="39" spans="1:6" x14ac:dyDescent="0.25">
      <c r="A39" s="2">
        <v>45697</v>
      </c>
      <c r="B39" t="s">
        <v>77</v>
      </c>
      <c r="C39" t="s">
        <v>83</v>
      </c>
      <c r="D39" t="s">
        <v>87</v>
      </c>
      <c r="E39">
        <v>399</v>
      </c>
      <c r="F39">
        <v>3</v>
      </c>
    </row>
    <row r="40" spans="1:6" x14ac:dyDescent="0.25">
      <c r="A40" s="2">
        <v>45670</v>
      </c>
      <c r="B40" t="s">
        <v>74</v>
      </c>
      <c r="C40" t="s">
        <v>82</v>
      </c>
      <c r="D40" t="s">
        <v>85</v>
      </c>
      <c r="E40">
        <v>4459</v>
      </c>
      <c r="F40">
        <v>7</v>
      </c>
    </row>
    <row r="41" spans="1:6" x14ac:dyDescent="0.25">
      <c r="A41" s="2">
        <v>45704</v>
      </c>
      <c r="B41" t="s">
        <v>74</v>
      </c>
      <c r="C41" t="s">
        <v>82</v>
      </c>
      <c r="D41" t="s">
        <v>85</v>
      </c>
      <c r="E41">
        <v>2274</v>
      </c>
      <c r="F41">
        <v>3</v>
      </c>
    </row>
    <row r="42" spans="1:6" x14ac:dyDescent="0.25">
      <c r="A42" s="2">
        <v>45725</v>
      </c>
      <c r="B42" t="s">
        <v>77</v>
      </c>
      <c r="C42" t="s">
        <v>83</v>
      </c>
      <c r="D42" t="s">
        <v>87</v>
      </c>
      <c r="E42">
        <v>11552</v>
      </c>
      <c r="F42">
        <v>19</v>
      </c>
    </row>
    <row r="43" spans="1:6" x14ac:dyDescent="0.25">
      <c r="A43" s="2">
        <v>45749</v>
      </c>
      <c r="B43" t="s">
        <v>73</v>
      </c>
      <c r="C43" t="s">
        <v>81</v>
      </c>
      <c r="D43" t="s">
        <v>87</v>
      </c>
      <c r="E43">
        <v>4540</v>
      </c>
      <c r="F43">
        <v>5</v>
      </c>
    </row>
    <row r="44" spans="1:6" x14ac:dyDescent="0.25">
      <c r="A44" s="2">
        <v>45695</v>
      </c>
      <c r="B44" t="s">
        <v>77</v>
      </c>
      <c r="C44" t="s">
        <v>83</v>
      </c>
      <c r="D44" t="s">
        <v>85</v>
      </c>
      <c r="E44">
        <v>4216</v>
      </c>
      <c r="F44">
        <v>8</v>
      </c>
    </row>
    <row r="45" spans="1:6" x14ac:dyDescent="0.25">
      <c r="A45" s="2">
        <v>45705</v>
      </c>
      <c r="B45" t="s">
        <v>75</v>
      </c>
      <c r="C45" t="s">
        <v>83</v>
      </c>
      <c r="D45" t="s">
        <v>85</v>
      </c>
      <c r="E45">
        <v>4140</v>
      </c>
      <c r="F45">
        <v>18</v>
      </c>
    </row>
    <row r="46" spans="1:6" x14ac:dyDescent="0.25">
      <c r="A46" s="2">
        <v>45728</v>
      </c>
      <c r="B46" t="s">
        <v>74</v>
      </c>
      <c r="C46" t="s">
        <v>82</v>
      </c>
      <c r="D46" t="s">
        <v>88</v>
      </c>
      <c r="E46">
        <v>8610</v>
      </c>
      <c r="F46">
        <v>10</v>
      </c>
    </row>
    <row r="47" spans="1:6" x14ac:dyDescent="0.25">
      <c r="A47" s="2">
        <v>45719</v>
      </c>
      <c r="B47" t="s">
        <v>74</v>
      </c>
      <c r="C47" t="s">
        <v>82</v>
      </c>
      <c r="D47" t="s">
        <v>88</v>
      </c>
      <c r="E47">
        <v>7200</v>
      </c>
      <c r="F47">
        <v>8</v>
      </c>
    </row>
    <row r="48" spans="1:6" x14ac:dyDescent="0.25">
      <c r="A48" s="2">
        <v>45746</v>
      </c>
      <c r="B48" t="s">
        <v>79</v>
      </c>
      <c r="C48" t="s">
        <v>81</v>
      </c>
      <c r="D48" t="s">
        <v>85</v>
      </c>
      <c r="E48">
        <v>10849</v>
      </c>
      <c r="F48">
        <v>19</v>
      </c>
    </row>
    <row r="49" spans="1:6" x14ac:dyDescent="0.25">
      <c r="A49" s="2">
        <v>45660</v>
      </c>
      <c r="B49" t="s">
        <v>78</v>
      </c>
      <c r="C49" t="s">
        <v>84</v>
      </c>
      <c r="D49" t="s">
        <v>85</v>
      </c>
      <c r="E49">
        <v>14256</v>
      </c>
      <c r="F49">
        <v>16</v>
      </c>
    </row>
    <row r="50" spans="1:6" x14ac:dyDescent="0.25">
      <c r="A50" s="2">
        <v>45701</v>
      </c>
      <c r="B50" t="s">
        <v>74</v>
      </c>
      <c r="C50" t="s">
        <v>82</v>
      </c>
      <c r="D50" t="s">
        <v>88</v>
      </c>
      <c r="E50">
        <v>1464</v>
      </c>
      <c r="F50">
        <v>2</v>
      </c>
    </row>
    <row r="51" spans="1:6" x14ac:dyDescent="0.25">
      <c r="A51" s="2">
        <v>45732</v>
      </c>
      <c r="B51" t="s">
        <v>78</v>
      </c>
      <c r="C51" t="s">
        <v>84</v>
      </c>
      <c r="D51" t="s">
        <v>88</v>
      </c>
      <c r="E51">
        <v>9622</v>
      </c>
      <c r="F51">
        <v>17</v>
      </c>
    </row>
    <row r="52" spans="1:6" x14ac:dyDescent="0.25">
      <c r="A52" s="2">
        <v>45707</v>
      </c>
      <c r="B52" t="s">
        <v>75</v>
      </c>
      <c r="C52" t="s">
        <v>83</v>
      </c>
      <c r="D52" t="s">
        <v>87</v>
      </c>
      <c r="E52">
        <v>13420</v>
      </c>
      <c r="F52">
        <v>20</v>
      </c>
    </row>
    <row r="53" spans="1:6" x14ac:dyDescent="0.25">
      <c r="A53" s="2">
        <v>45705</v>
      </c>
      <c r="B53" t="s">
        <v>75</v>
      </c>
      <c r="C53" t="s">
        <v>83</v>
      </c>
      <c r="D53" t="s">
        <v>87</v>
      </c>
      <c r="E53">
        <v>3004</v>
      </c>
      <c r="F53">
        <v>4</v>
      </c>
    </row>
    <row r="54" spans="1:6" x14ac:dyDescent="0.25">
      <c r="A54" s="2">
        <v>45754</v>
      </c>
      <c r="B54" t="s">
        <v>76</v>
      </c>
      <c r="C54" t="s">
        <v>84</v>
      </c>
      <c r="D54" t="s">
        <v>88</v>
      </c>
      <c r="E54">
        <v>11865</v>
      </c>
      <c r="F54">
        <v>15</v>
      </c>
    </row>
    <row r="55" spans="1:6" x14ac:dyDescent="0.25">
      <c r="A55" s="2">
        <v>45719</v>
      </c>
      <c r="B55" t="s">
        <v>80</v>
      </c>
      <c r="C55" t="s">
        <v>82</v>
      </c>
      <c r="D55" t="s">
        <v>87</v>
      </c>
      <c r="E55">
        <v>7395</v>
      </c>
      <c r="F55">
        <v>17</v>
      </c>
    </row>
    <row r="56" spans="1:6" x14ac:dyDescent="0.25">
      <c r="A56" s="2">
        <v>45704</v>
      </c>
      <c r="B56" t="s">
        <v>73</v>
      </c>
      <c r="C56" t="s">
        <v>81</v>
      </c>
      <c r="D56" t="s">
        <v>85</v>
      </c>
      <c r="E56">
        <v>12701</v>
      </c>
      <c r="F56">
        <v>13</v>
      </c>
    </row>
    <row r="57" spans="1:6" x14ac:dyDescent="0.25">
      <c r="A57" s="2">
        <v>45766</v>
      </c>
      <c r="B57" t="s">
        <v>75</v>
      </c>
      <c r="C57" t="s">
        <v>83</v>
      </c>
      <c r="D57" t="s">
        <v>85</v>
      </c>
      <c r="E57">
        <v>8697</v>
      </c>
      <c r="F57">
        <v>13</v>
      </c>
    </row>
    <row r="58" spans="1:6" x14ac:dyDescent="0.25">
      <c r="A58" s="2">
        <v>45693</v>
      </c>
      <c r="B58" t="s">
        <v>76</v>
      </c>
      <c r="C58" t="s">
        <v>84</v>
      </c>
      <c r="D58" t="s">
        <v>88</v>
      </c>
      <c r="E58">
        <v>2728</v>
      </c>
      <c r="F58">
        <v>11</v>
      </c>
    </row>
    <row r="59" spans="1:6" x14ac:dyDescent="0.25">
      <c r="A59" s="2">
        <v>45658</v>
      </c>
      <c r="B59" t="s">
        <v>78</v>
      </c>
      <c r="C59" t="s">
        <v>84</v>
      </c>
      <c r="D59" t="s">
        <v>86</v>
      </c>
      <c r="E59">
        <v>7395</v>
      </c>
      <c r="F59">
        <v>17</v>
      </c>
    </row>
    <row r="60" spans="1:6" x14ac:dyDescent="0.25">
      <c r="A60" s="2">
        <v>45744</v>
      </c>
      <c r="B60" t="s">
        <v>80</v>
      </c>
      <c r="C60" t="s">
        <v>82</v>
      </c>
      <c r="D60" t="s">
        <v>85</v>
      </c>
      <c r="E60">
        <v>632</v>
      </c>
      <c r="F60">
        <v>1</v>
      </c>
    </row>
    <row r="61" spans="1:6" x14ac:dyDescent="0.25">
      <c r="A61" s="2">
        <v>45732</v>
      </c>
      <c r="B61" t="s">
        <v>77</v>
      </c>
      <c r="C61" t="s">
        <v>83</v>
      </c>
      <c r="D61" t="s">
        <v>88</v>
      </c>
      <c r="E61">
        <v>1044</v>
      </c>
      <c r="F61">
        <v>3</v>
      </c>
    </row>
    <row r="62" spans="1:6" x14ac:dyDescent="0.25">
      <c r="A62" s="2">
        <v>45713</v>
      </c>
      <c r="B62" t="s">
        <v>75</v>
      </c>
      <c r="C62" t="s">
        <v>83</v>
      </c>
      <c r="D62" t="s">
        <v>85</v>
      </c>
      <c r="E62">
        <v>4779</v>
      </c>
      <c r="F62">
        <v>9</v>
      </c>
    </row>
    <row r="63" spans="1:6" x14ac:dyDescent="0.25">
      <c r="A63" s="2">
        <v>45669</v>
      </c>
      <c r="B63" t="s">
        <v>73</v>
      </c>
      <c r="C63" t="s">
        <v>81</v>
      </c>
      <c r="D63" t="s">
        <v>85</v>
      </c>
      <c r="E63">
        <v>636</v>
      </c>
      <c r="F63">
        <v>2</v>
      </c>
    </row>
    <row r="64" spans="1:6" x14ac:dyDescent="0.25">
      <c r="A64" s="2">
        <v>45702</v>
      </c>
      <c r="B64" t="s">
        <v>80</v>
      </c>
      <c r="C64" t="s">
        <v>82</v>
      </c>
      <c r="D64" t="s">
        <v>86</v>
      </c>
      <c r="E64">
        <v>7800</v>
      </c>
      <c r="F64">
        <v>10</v>
      </c>
    </row>
    <row r="65" spans="1:6" x14ac:dyDescent="0.25">
      <c r="A65" s="2">
        <v>45686</v>
      </c>
      <c r="B65" t="s">
        <v>73</v>
      </c>
      <c r="C65" t="s">
        <v>81</v>
      </c>
      <c r="D65" t="s">
        <v>88</v>
      </c>
      <c r="E65">
        <v>545</v>
      </c>
      <c r="F65">
        <v>5</v>
      </c>
    </row>
    <row r="66" spans="1:6" x14ac:dyDescent="0.25">
      <c r="A66" s="2">
        <v>45706</v>
      </c>
      <c r="B66" t="s">
        <v>75</v>
      </c>
      <c r="C66" t="s">
        <v>83</v>
      </c>
      <c r="D66" t="s">
        <v>85</v>
      </c>
      <c r="E66">
        <v>6040</v>
      </c>
      <c r="F66">
        <v>20</v>
      </c>
    </row>
    <row r="67" spans="1:6" x14ac:dyDescent="0.25">
      <c r="A67" s="2">
        <v>45724</v>
      </c>
      <c r="B67" t="s">
        <v>74</v>
      </c>
      <c r="C67" t="s">
        <v>82</v>
      </c>
      <c r="D67" t="s">
        <v>88</v>
      </c>
      <c r="E67">
        <v>8136</v>
      </c>
      <c r="F67">
        <v>9</v>
      </c>
    </row>
    <row r="68" spans="1:6" x14ac:dyDescent="0.25">
      <c r="A68" s="2">
        <v>45659</v>
      </c>
      <c r="B68" t="s">
        <v>80</v>
      </c>
      <c r="C68" t="s">
        <v>82</v>
      </c>
      <c r="D68" t="s">
        <v>88</v>
      </c>
      <c r="E68">
        <v>3928</v>
      </c>
      <c r="F68">
        <v>4</v>
      </c>
    </row>
    <row r="69" spans="1:6" x14ac:dyDescent="0.25">
      <c r="A69" s="2">
        <v>45680</v>
      </c>
      <c r="B69" t="s">
        <v>80</v>
      </c>
      <c r="C69" t="s">
        <v>82</v>
      </c>
      <c r="D69" t="s">
        <v>87</v>
      </c>
      <c r="E69">
        <v>2968</v>
      </c>
      <c r="F69">
        <v>14</v>
      </c>
    </row>
    <row r="70" spans="1:6" x14ac:dyDescent="0.25">
      <c r="A70" s="2">
        <v>45689</v>
      </c>
      <c r="B70" t="s">
        <v>74</v>
      </c>
      <c r="C70" t="s">
        <v>82</v>
      </c>
      <c r="D70" t="s">
        <v>87</v>
      </c>
      <c r="E70">
        <v>3955</v>
      </c>
      <c r="F70">
        <v>5</v>
      </c>
    </row>
    <row r="71" spans="1:6" x14ac:dyDescent="0.25">
      <c r="A71" s="2">
        <v>45702</v>
      </c>
      <c r="B71" t="s">
        <v>75</v>
      </c>
      <c r="C71" t="s">
        <v>83</v>
      </c>
      <c r="D71" t="s">
        <v>85</v>
      </c>
      <c r="E71">
        <v>4048</v>
      </c>
      <c r="F71">
        <v>8</v>
      </c>
    </row>
    <row r="72" spans="1:6" x14ac:dyDescent="0.25">
      <c r="A72" s="2">
        <v>45727</v>
      </c>
      <c r="B72" t="s">
        <v>78</v>
      </c>
      <c r="C72" t="s">
        <v>84</v>
      </c>
      <c r="D72" t="s">
        <v>87</v>
      </c>
      <c r="E72">
        <v>6464</v>
      </c>
      <c r="F72">
        <v>8</v>
      </c>
    </row>
    <row r="73" spans="1:6" x14ac:dyDescent="0.25">
      <c r="A73" s="2">
        <v>45710</v>
      </c>
      <c r="B73" t="s">
        <v>73</v>
      </c>
      <c r="C73" t="s">
        <v>81</v>
      </c>
      <c r="D73" t="s">
        <v>88</v>
      </c>
      <c r="E73">
        <v>3042</v>
      </c>
      <c r="F73">
        <v>13</v>
      </c>
    </row>
    <row r="74" spans="1:6" x14ac:dyDescent="0.25">
      <c r="A74" s="2">
        <v>45761</v>
      </c>
      <c r="B74" t="s">
        <v>80</v>
      </c>
      <c r="C74" t="s">
        <v>82</v>
      </c>
      <c r="D74" t="s">
        <v>88</v>
      </c>
      <c r="E74">
        <v>9480</v>
      </c>
      <c r="F74">
        <v>15</v>
      </c>
    </row>
    <row r="75" spans="1:6" x14ac:dyDescent="0.25">
      <c r="A75" s="2">
        <v>45666</v>
      </c>
      <c r="B75" t="s">
        <v>75</v>
      </c>
      <c r="C75" t="s">
        <v>83</v>
      </c>
      <c r="D75" t="s">
        <v>88</v>
      </c>
      <c r="E75">
        <v>16321</v>
      </c>
      <c r="F75">
        <v>19</v>
      </c>
    </row>
    <row r="76" spans="1:6" x14ac:dyDescent="0.25">
      <c r="A76" s="2">
        <v>45756</v>
      </c>
      <c r="B76" t="s">
        <v>74</v>
      </c>
      <c r="C76" t="s">
        <v>82</v>
      </c>
      <c r="D76" t="s">
        <v>87</v>
      </c>
      <c r="E76">
        <v>8436</v>
      </c>
      <c r="F76">
        <v>19</v>
      </c>
    </row>
    <row r="77" spans="1:6" x14ac:dyDescent="0.25">
      <c r="A77" s="2">
        <v>45747</v>
      </c>
      <c r="B77" t="s">
        <v>74</v>
      </c>
      <c r="C77" t="s">
        <v>82</v>
      </c>
      <c r="D77" t="s">
        <v>85</v>
      </c>
      <c r="E77">
        <v>2832</v>
      </c>
      <c r="F77">
        <v>8</v>
      </c>
    </row>
    <row r="78" spans="1:6" x14ac:dyDescent="0.25">
      <c r="A78" s="2">
        <v>45693</v>
      </c>
      <c r="B78" t="s">
        <v>79</v>
      </c>
      <c r="C78" t="s">
        <v>81</v>
      </c>
      <c r="D78" t="s">
        <v>86</v>
      </c>
      <c r="E78">
        <v>8604</v>
      </c>
      <c r="F78">
        <v>18</v>
      </c>
    </row>
    <row r="79" spans="1:6" x14ac:dyDescent="0.25">
      <c r="A79" s="2">
        <v>45665</v>
      </c>
      <c r="B79" t="s">
        <v>73</v>
      </c>
      <c r="C79" t="s">
        <v>81</v>
      </c>
      <c r="D79" t="s">
        <v>86</v>
      </c>
      <c r="E79">
        <v>2805</v>
      </c>
      <c r="F79">
        <v>5</v>
      </c>
    </row>
    <row r="80" spans="1:6" x14ac:dyDescent="0.25">
      <c r="A80" s="2">
        <v>45690</v>
      </c>
      <c r="B80" t="s">
        <v>79</v>
      </c>
      <c r="C80" t="s">
        <v>81</v>
      </c>
      <c r="D80" t="s">
        <v>87</v>
      </c>
      <c r="E80">
        <v>5544</v>
      </c>
      <c r="F80">
        <v>7</v>
      </c>
    </row>
    <row r="81" spans="1:6" x14ac:dyDescent="0.25">
      <c r="A81" s="2">
        <v>45667</v>
      </c>
      <c r="B81" t="s">
        <v>77</v>
      </c>
      <c r="C81" t="s">
        <v>83</v>
      </c>
      <c r="D81" t="s">
        <v>88</v>
      </c>
      <c r="E81">
        <v>1694</v>
      </c>
      <c r="F81">
        <v>11</v>
      </c>
    </row>
    <row r="82" spans="1:6" x14ac:dyDescent="0.25">
      <c r="A82" s="2">
        <v>45665</v>
      </c>
      <c r="B82" t="s">
        <v>75</v>
      </c>
      <c r="C82" t="s">
        <v>83</v>
      </c>
      <c r="D82" t="s">
        <v>86</v>
      </c>
      <c r="E82">
        <v>5760</v>
      </c>
      <c r="F82">
        <v>9</v>
      </c>
    </row>
    <row r="83" spans="1:6" x14ac:dyDescent="0.25">
      <c r="A83" s="2">
        <v>45712</v>
      </c>
      <c r="B83" t="s">
        <v>78</v>
      </c>
      <c r="C83" t="s">
        <v>84</v>
      </c>
      <c r="D83" t="s">
        <v>85</v>
      </c>
      <c r="E83">
        <v>8550</v>
      </c>
      <c r="F83">
        <v>10</v>
      </c>
    </row>
    <row r="84" spans="1:6" x14ac:dyDescent="0.25">
      <c r="A84" s="2">
        <v>45668</v>
      </c>
      <c r="B84" t="s">
        <v>79</v>
      </c>
      <c r="C84" t="s">
        <v>81</v>
      </c>
      <c r="D84" t="s">
        <v>86</v>
      </c>
      <c r="E84">
        <v>1220</v>
      </c>
      <c r="F84">
        <v>5</v>
      </c>
    </row>
    <row r="85" spans="1:6" x14ac:dyDescent="0.25">
      <c r="A85" s="2">
        <v>45777</v>
      </c>
      <c r="B85" t="s">
        <v>77</v>
      </c>
      <c r="C85" t="s">
        <v>83</v>
      </c>
      <c r="D85" t="s">
        <v>88</v>
      </c>
      <c r="E85">
        <v>2490</v>
      </c>
      <c r="F85">
        <v>15</v>
      </c>
    </row>
    <row r="86" spans="1:6" x14ac:dyDescent="0.25">
      <c r="A86" s="2">
        <v>45731</v>
      </c>
      <c r="B86" t="s">
        <v>73</v>
      </c>
      <c r="C86" t="s">
        <v>81</v>
      </c>
      <c r="D86" t="s">
        <v>88</v>
      </c>
      <c r="E86">
        <v>3225</v>
      </c>
      <c r="F86">
        <v>15</v>
      </c>
    </row>
    <row r="87" spans="1:6" x14ac:dyDescent="0.25">
      <c r="A87" s="2">
        <v>45725</v>
      </c>
      <c r="B87" t="s">
        <v>79</v>
      </c>
      <c r="C87" t="s">
        <v>81</v>
      </c>
      <c r="D87" t="s">
        <v>88</v>
      </c>
      <c r="E87">
        <v>7930</v>
      </c>
      <c r="F87">
        <v>13</v>
      </c>
    </row>
    <row r="88" spans="1:6" x14ac:dyDescent="0.25">
      <c r="A88" s="2">
        <v>45756</v>
      </c>
      <c r="B88" t="s">
        <v>78</v>
      </c>
      <c r="C88" t="s">
        <v>84</v>
      </c>
      <c r="D88" t="s">
        <v>85</v>
      </c>
      <c r="E88">
        <v>12920</v>
      </c>
      <c r="F88">
        <v>19</v>
      </c>
    </row>
    <row r="89" spans="1:6" x14ac:dyDescent="0.25">
      <c r="A89" s="2">
        <v>45725</v>
      </c>
      <c r="B89" t="s">
        <v>77</v>
      </c>
      <c r="C89" t="s">
        <v>83</v>
      </c>
      <c r="D89" t="s">
        <v>85</v>
      </c>
      <c r="E89">
        <v>4685</v>
      </c>
      <c r="F89">
        <v>5</v>
      </c>
    </row>
    <row r="90" spans="1:6" x14ac:dyDescent="0.25">
      <c r="A90" s="2">
        <v>45694</v>
      </c>
      <c r="B90" t="s">
        <v>74</v>
      </c>
      <c r="C90" t="s">
        <v>82</v>
      </c>
      <c r="D90" t="s">
        <v>88</v>
      </c>
      <c r="E90">
        <v>808</v>
      </c>
      <c r="F90">
        <v>8</v>
      </c>
    </row>
    <row r="91" spans="1:6" x14ac:dyDescent="0.25">
      <c r="A91" s="2">
        <v>45749</v>
      </c>
      <c r="B91" t="s">
        <v>76</v>
      </c>
      <c r="C91" t="s">
        <v>84</v>
      </c>
      <c r="D91" t="s">
        <v>85</v>
      </c>
      <c r="E91">
        <v>1592</v>
      </c>
      <c r="F91">
        <v>4</v>
      </c>
    </row>
    <row r="92" spans="1:6" x14ac:dyDescent="0.25">
      <c r="A92" s="2">
        <v>45778</v>
      </c>
      <c r="B92" t="s">
        <v>75</v>
      </c>
      <c r="C92" t="s">
        <v>83</v>
      </c>
      <c r="D92" t="s">
        <v>86</v>
      </c>
      <c r="E92">
        <v>14860</v>
      </c>
      <c r="F92">
        <v>20</v>
      </c>
    </row>
    <row r="93" spans="1:6" x14ac:dyDescent="0.25">
      <c r="A93" s="2">
        <v>45658</v>
      </c>
      <c r="B93" t="s">
        <v>78</v>
      </c>
      <c r="C93" t="s">
        <v>84</v>
      </c>
      <c r="D93" t="s">
        <v>86</v>
      </c>
      <c r="E93">
        <v>8040</v>
      </c>
      <c r="F93">
        <v>10</v>
      </c>
    </row>
    <row r="94" spans="1:6" x14ac:dyDescent="0.25">
      <c r="A94" s="2">
        <v>45762</v>
      </c>
      <c r="B94" t="s">
        <v>78</v>
      </c>
      <c r="C94" t="s">
        <v>84</v>
      </c>
      <c r="D94" t="s">
        <v>87</v>
      </c>
      <c r="E94">
        <v>3880</v>
      </c>
      <c r="F94">
        <v>20</v>
      </c>
    </row>
    <row r="95" spans="1:6" x14ac:dyDescent="0.25">
      <c r="A95" s="2">
        <v>45765</v>
      </c>
      <c r="B95" t="s">
        <v>75</v>
      </c>
      <c r="C95" t="s">
        <v>83</v>
      </c>
      <c r="D95" t="s">
        <v>87</v>
      </c>
      <c r="E95">
        <v>2522</v>
      </c>
      <c r="F95">
        <v>13</v>
      </c>
    </row>
    <row r="96" spans="1:6" x14ac:dyDescent="0.25">
      <c r="A96" s="2">
        <v>45701</v>
      </c>
      <c r="B96" t="s">
        <v>76</v>
      </c>
      <c r="C96" t="s">
        <v>84</v>
      </c>
      <c r="D96" t="s">
        <v>85</v>
      </c>
      <c r="E96">
        <v>852</v>
      </c>
      <c r="F96">
        <v>2</v>
      </c>
    </row>
    <row r="97" spans="1:6" x14ac:dyDescent="0.25">
      <c r="A97" s="2">
        <v>45727</v>
      </c>
      <c r="B97" t="s">
        <v>73</v>
      </c>
      <c r="C97" t="s">
        <v>81</v>
      </c>
      <c r="D97" t="s">
        <v>85</v>
      </c>
      <c r="E97">
        <v>1185</v>
      </c>
      <c r="F97">
        <v>5</v>
      </c>
    </row>
    <row r="98" spans="1:6" x14ac:dyDescent="0.25">
      <c r="A98" s="2">
        <v>45741</v>
      </c>
      <c r="B98" t="s">
        <v>73</v>
      </c>
      <c r="C98" t="s">
        <v>81</v>
      </c>
      <c r="D98" t="s">
        <v>85</v>
      </c>
      <c r="E98">
        <v>1836</v>
      </c>
      <c r="F98">
        <v>12</v>
      </c>
    </row>
    <row r="99" spans="1:6" x14ac:dyDescent="0.25">
      <c r="A99" s="2">
        <v>45679</v>
      </c>
      <c r="B99" t="s">
        <v>80</v>
      </c>
      <c r="C99" t="s">
        <v>82</v>
      </c>
      <c r="D99" t="s">
        <v>87</v>
      </c>
      <c r="E99">
        <v>3835</v>
      </c>
      <c r="F99">
        <v>5</v>
      </c>
    </row>
    <row r="100" spans="1:6" x14ac:dyDescent="0.25">
      <c r="A100" s="2">
        <v>45711</v>
      </c>
      <c r="B100" t="s">
        <v>75</v>
      </c>
      <c r="C100" t="s">
        <v>83</v>
      </c>
      <c r="D100" t="s">
        <v>85</v>
      </c>
      <c r="E100">
        <v>2460</v>
      </c>
      <c r="F100">
        <v>12</v>
      </c>
    </row>
    <row r="101" spans="1:6" x14ac:dyDescent="0.25">
      <c r="A101" s="2">
        <v>45693</v>
      </c>
      <c r="B101" t="s">
        <v>78</v>
      </c>
      <c r="C101" t="s">
        <v>84</v>
      </c>
      <c r="D101" t="s">
        <v>88</v>
      </c>
      <c r="E101">
        <v>3941</v>
      </c>
      <c r="F101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D431A-30B5-4FF8-AD96-9DDA53CDB222}">
  <dimension ref="A1:T101"/>
  <sheetViews>
    <sheetView zoomScaleNormal="100" workbookViewId="0">
      <selection activeCell="G1" sqref="G1:G1048576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3" width="11.140625" bestFit="1" customWidth="1"/>
    <col min="4" max="4" width="9.42578125" bestFit="1" customWidth="1"/>
    <col min="5" max="5" width="15.5703125" bestFit="1" customWidth="1"/>
    <col min="6" max="6" width="15.42578125" bestFit="1" customWidth="1"/>
    <col min="7" max="7" width="10.7109375" bestFit="1" customWidth="1"/>
    <col min="8" max="8" width="13.42578125" customWidth="1"/>
    <col min="9" max="9" width="13.140625" customWidth="1"/>
    <col min="10" max="10" width="13.140625" bestFit="1" customWidth="1"/>
    <col min="12" max="12" width="13.140625" bestFit="1" customWidth="1"/>
    <col min="14" max="14" width="13.140625" bestFit="1" customWidth="1"/>
    <col min="16" max="16" width="11.7109375" bestFit="1" customWidth="1"/>
    <col min="18" max="18" width="18.7109375" bestFit="1" customWidth="1"/>
    <col min="20" max="20" width="13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</row>
    <row r="2" spans="1:20" x14ac:dyDescent="0.25">
      <c r="A2" s="2">
        <v>45697</v>
      </c>
      <c r="B2" s="8" t="s">
        <v>73</v>
      </c>
      <c r="C2" s="8" t="s">
        <v>81</v>
      </c>
      <c r="D2" s="8" t="s">
        <v>85</v>
      </c>
      <c r="E2">
        <v>4050</v>
      </c>
      <c r="F2">
        <v>18</v>
      </c>
      <c r="G2" s="8" t="str">
        <f t="shared" ref="G2:G33" si="0">SUBSTITUTE(C:C,"ing","s")</f>
        <v>Footwear</v>
      </c>
      <c r="I2">
        <v>1</v>
      </c>
      <c r="J2">
        <v>2</v>
      </c>
      <c r="K2">
        <v>2</v>
      </c>
      <c r="L2">
        <v>4</v>
      </c>
      <c r="M2">
        <v>5</v>
      </c>
    </row>
    <row r="3" spans="1:20" ht="15.75" thickBot="1" x14ac:dyDescent="0.3">
      <c r="A3" s="2">
        <v>45734</v>
      </c>
      <c r="B3" s="8" t="s">
        <v>74</v>
      </c>
      <c r="C3" s="8" t="s">
        <v>82</v>
      </c>
      <c r="D3" s="8" t="s">
        <v>86</v>
      </c>
      <c r="E3">
        <v>7875</v>
      </c>
      <c r="F3">
        <v>15</v>
      </c>
      <c r="G3" s="8" t="str">
        <f t="shared" si="0"/>
        <v>Electronics</v>
      </c>
      <c r="I3" s="9" t="s">
        <v>126</v>
      </c>
      <c r="J3" s="9" t="s">
        <v>127</v>
      </c>
      <c r="K3" s="9" t="s">
        <v>127</v>
      </c>
      <c r="L3" s="9" t="s">
        <v>128</v>
      </c>
      <c r="M3" s="9" t="s">
        <v>129</v>
      </c>
    </row>
    <row r="4" spans="1:20" ht="15.75" thickTop="1" x14ac:dyDescent="0.25">
      <c r="A4" s="2">
        <v>45676</v>
      </c>
      <c r="B4" s="8" t="s">
        <v>75</v>
      </c>
      <c r="C4" s="8" t="s">
        <v>83</v>
      </c>
      <c r="D4" s="8" t="s">
        <v>85</v>
      </c>
      <c r="E4">
        <v>5832</v>
      </c>
      <c r="F4">
        <v>6</v>
      </c>
      <c r="G4" s="8" t="str">
        <f t="shared" si="0"/>
        <v>Cloths</v>
      </c>
      <c r="I4">
        <v>1</v>
      </c>
      <c r="J4">
        <v>2</v>
      </c>
      <c r="K4">
        <v>3</v>
      </c>
      <c r="L4">
        <v>4</v>
      </c>
      <c r="M4">
        <v>5</v>
      </c>
      <c r="R4" t="s">
        <v>137</v>
      </c>
    </row>
    <row r="5" spans="1:20" ht="15.75" thickBot="1" x14ac:dyDescent="0.3">
      <c r="A5" s="2">
        <v>45694</v>
      </c>
      <c r="B5" s="8" t="s">
        <v>76</v>
      </c>
      <c r="C5" s="8" t="s">
        <v>84</v>
      </c>
      <c r="D5" s="8" t="s">
        <v>85</v>
      </c>
      <c r="E5">
        <v>676</v>
      </c>
      <c r="F5">
        <v>4</v>
      </c>
      <c r="G5" s="8" t="str">
        <f t="shared" si="0"/>
        <v>Appliances</v>
      </c>
      <c r="H5" s="9" t="s">
        <v>130</v>
      </c>
      <c r="N5" t="s">
        <v>136</v>
      </c>
      <c r="R5" t="s">
        <v>138</v>
      </c>
    </row>
    <row r="6" spans="1:20" ht="15.75" thickTop="1" x14ac:dyDescent="0.25">
      <c r="A6" s="2">
        <v>45693</v>
      </c>
      <c r="B6" s="8" t="s">
        <v>74</v>
      </c>
      <c r="C6" s="8" t="s">
        <v>82</v>
      </c>
      <c r="D6" s="8" t="s">
        <v>87</v>
      </c>
      <c r="E6">
        <v>6560</v>
      </c>
      <c r="F6">
        <v>10</v>
      </c>
      <c r="G6" s="8" t="str">
        <f t="shared" si="0"/>
        <v>Electronics</v>
      </c>
    </row>
    <row r="7" spans="1:20" x14ac:dyDescent="0.25">
      <c r="A7" s="2">
        <v>45775</v>
      </c>
      <c r="B7" s="8" t="s">
        <v>76</v>
      </c>
      <c r="C7" s="8" t="s">
        <v>84</v>
      </c>
      <c r="D7" s="8" t="s">
        <v>87</v>
      </c>
      <c r="E7">
        <v>1905</v>
      </c>
      <c r="F7">
        <v>5</v>
      </c>
      <c r="G7" s="8" t="str">
        <f t="shared" si="0"/>
        <v>Appliances</v>
      </c>
    </row>
    <row r="8" spans="1:20" ht="15.75" thickBot="1" x14ac:dyDescent="0.3">
      <c r="A8" s="2">
        <v>45720</v>
      </c>
      <c r="B8" s="8" t="s">
        <v>77</v>
      </c>
      <c r="C8" s="8" t="s">
        <v>83</v>
      </c>
      <c r="D8" s="8" t="s">
        <v>86</v>
      </c>
      <c r="E8">
        <v>6948</v>
      </c>
      <c r="F8">
        <v>18</v>
      </c>
      <c r="G8" s="8" t="str">
        <f t="shared" si="0"/>
        <v>Cloths</v>
      </c>
      <c r="H8" s="9" t="s">
        <v>125</v>
      </c>
      <c r="J8" s="9" t="s">
        <v>131</v>
      </c>
      <c r="L8" s="9" t="s">
        <v>132</v>
      </c>
      <c r="N8" s="9" t="s">
        <v>133</v>
      </c>
      <c r="P8" s="9" t="s">
        <v>134</v>
      </c>
      <c r="R8" s="9" t="s">
        <v>135</v>
      </c>
    </row>
    <row r="9" spans="1:20" ht="15.75" thickTop="1" x14ac:dyDescent="0.25">
      <c r="A9" s="2">
        <v>45764</v>
      </c>
      <c r="B9" s="8" t="s">
        <v>77</v>
      </c>
      <c r="C9" s="8" t="s">
        <v>83</v>
      </c>
      <c r="D9" s="8" t="s">
        <v>85</v>
      </c>
      <c r="E9">
        <v>1944</v>
      </c>
      <c r="F9">
        <v>18</v>
      </c>
      <c r="G9" s="8" t="str">
        <f t="shared" si="0"/>
        <v>Cloths</v>
      </c>
      <c r="H9">
        <f>FIND(J3,H5,3)</f>
        <v>3</v>
      </c>
      <c r="J9" t="str">
        <f>REPLACE(N5,5,4,2027)</f>
        <v>ABC-2027-001</v>
      </c>
      <c r="L9" t="str">
        <f>SUBSTITUTE(N5,"2026","2028")</f>
        <v>ABC-2028-001</v>
      </c>
      <c r="N9" t="str">
        <f>MID(N5,1,5)</f>
        <v>ABC-2</v>
      </c>
      <c r="P9">
        <f>SEARCH("P",H5)</f>
        <v>2</v>
      </c>
      <c r="R9" t="str">
        <f>CONCATENATE(R4,R5)</f>
        <v>SANTHOSH SANTHU</v>
      </c>
    </row>
    <row r="10" spans="1:20" x14ac:dyDescent="0.25">
      <c r="A10" s="2">
        <v>45735</v>
      </c>
      <c r="B10" s="8" t="s">
        <v>78</v>
      </c>
      <c r="C10" s="8" t="s">
        <v>84</v>
      </c>
      <c r="D10" s="8" t="s">
        <v>85</v>
      </c>
      <c r="E10">
        <v>7776</v>
      </c>
      <c r="F10">
        <v>8</v>
      </c>
      <c r="G10" s="8" t="str">
        <f t="shared" si="0"/>
        <v>Appliances</v>
      </c>
      <c r="H10">
        <f>FIND(J3,H5)</f>
        <v>2</v>
      </c>
      <c r="P10">
        <f>SEARCH("2026",N5)</f>
        <v>5</v>
      </c>
    </row>
    <row r="11" spans="1:20" x14ac:dyDescent="0.25">
      <c r="A11" s="2">
        <v>45778</v>
      </c>
      <c r="B11" s="8" t="s">
        <v>74</v>
      </c>
      <c r="C11" s="8" t="s">
        <v>82</v>
      </c>
      <c r="D11" s="8" t="s">
        <v>86</v>
      </c>
      <c r="E11">
        <v>2790</v>
      </c>
      <c r="F11">
        <v>18</v>
      </c>
      <c r="G11" s="8" t="str">
        <f t="shared" si="0"/>
        <v>Electronics</v>
      </c>
    </row>
    <row r="12" spans="1:20" x14ac:dyDescent="0.25">
      <c r="A12" s="2">
        <v>45693</v>
      </c>
      <c r="B12" s="8" t="s">
        <v>75</v>
      </c>
      <c r="C12" s="8" t="s">
        <v>83</v>
      </c>
      <c r="D12" s="8" t="s">
        <v>86</v>
      </c>
      <c r="E12">
        <v>7995</v>
      </c>
      <c r="F12">
        <v>13</v>
      </c>
      <c r="G12" s="8" t="str">
        <f t="shared" si="0"/>
        <v>Cloths</v>
      </c>
      <c r="H12" s="10" t="str">
        <f>IFERROR(FIND($D$2,D:D),"NOT FOUND")</f>
        <v>NOT FOUND</v>
      </c>
      <c r="L12" s="10" t="str">
        <f>SUBSTITUTE(C4,"ing","s")</f>
        <v>Cloths</v>
      </c>
      <c r="N12" s="10" t="str">
        <f>MID(C:C,1,4)</f>
        <v>Clot</v>
      </c>
      <c r="P12" s="10">
        <f>IFERROR(SEARCH($D$6,D:D),0)</f>
        <v>0</v>
      </c>
      <c r="R12" s="3" t="s">
        <v>139</v>
      </c>
      <c r="S12" s="3" t="s">
        <v>140</v>
      </c>
      <c r="T12" s="3" t="s">
        <v>145</v>
      </c>
    </row>
    <row r="13" spans="1:20" x14ac:dyDescent="0.25">
      <c r="A13" s="2">
        <v>45677</v>
      </c>
      <c r="B13" s="8" t="s">
        <v>75</v>
      </c>
      <c r="C13" s="8" t="s">
        <v>83</v>
      </c>
      <c r="D13" s="8" t="s">
        <v>85</v>
      </c>
      <c r="E13">
        <v>9984</v>
      </c>
      <c r="F13">
        <v>13</v>
      </c>
      <c r="G13" s="8" t="str">
        <f t="shared" si="0"/>
        <v>Cloths</v>
      </c>
      <c r="H13" s="10">
        <f t="shared" ref="H13:H21" si="1">IFERROR(FIND($D$2,D:D),"NOT FOUND")</f>
        <v>1</v>
      </c>
      <c r="L13" s="10" t="str">
        <f t="shared" ref="L13:L32" si="2">SUBSTITUTE(C5,"ing","s")</f>
        <v>Appliances</v>
      </c>
      <c r="N13" s="10" t="str">
        <f t="shared" ref="N13:N32" si="3">MID(C:C,1,4)</f>
        <v>Clot</v>
      </c>
      <c r="P13" s="10">
        <f t="shared" ref="P13:P32" si="4">IFERROR(SEARCH($D$6,D:D),0)</f>
        <v>0</v>
      </c>
      <c r="R13" t="s">
        <v>141</v>
      </c>
      <c r="S13" t="s">
        <v>142</v>
      </c>
      <c r="T13" t="str">
        <f>_xlfn.CONCAT(R13," ",S13)</f>
        <v>SHIV KESHAV</v>
      </c>
    </row>
    <row r="14" spans="1:20" x14ac:dyDescent="0.25">
      <c r="A14" s="2">
        <v>45739</v>
      </c>
      <c r="B14" s="8" t="s">
        <v>75</v>
      </c>
      <c r="C14" s="8" t="s">
        <v>83</v>
      </c>
      <c r="D14" s="8" t="s">
        <v>87</v>
      </c>
      <c r="E14">
        <v>7683</v>
      </c>
      <c r="F14">
        <v>13</v>
      </c>
      <c r="G14" s="8" t="str">
        <f t="shared" si="0"/>
        <v>Cloths</v>
      </c>
      <c r="H14" s="10" t="str">
        <f t="shared" si="1"/>
        <v>NOT FOUND</v>
      </c>
      <c r="L14" s="10" t="str">
        <f t="shared" si="2"/>
        <v>Electronics</v>
      </c>
      <c r="N14" s="10" t="str">
        <f t="shared" si="3"/>
        <v>Clot</v>
      </c>
      <c r="P14" s="10">
        <f t="shared" si="4"/>
        <v>1</v>
      </c>
      <c r="R14" t="s">
        <v>143</v>
      </c>
      <c r="S14" t="s">
        <v>144</v>
      </c>
      <c r="T14" t="str">
        <f>_xlfn.CONCAT(R14," ",S14)</f>
        <v>ASHOK G</v>
      </c>
    </row>
    <row r="15" spans="1:20" x14ac:dyDescent="0.25">
      <c r="A15" s="2">
        <v>45699</v>
      </c>
      <c r="B15" s="8" t="s">
        <v>76</v>
      </c>
      <c r="C15" s="8" t="s">
        <v>84</v>
      </c>
      <c r="D15" s="8" t="s">
        <v>88</v>
      </c>
      <c r="E15">
        <v>6885</v>
      </c>
      <c r="F15">
        <v>9</v>
      </c>
      <c r="G15" s="8" t="str">
        <f t="shared" si="0"/>
        <v>Appliances</v>
      </c>
      <c r="H15" s="10" t="str">
        <f t="shared" si="1"/>
        <v>NOT FOUND</v>
      </c>
      <c r="L15" s="10" t="str">
        <f t="shared" si="2"/>
        <v>Appliances</v>
      </c>
      <c r="N15" s="10" t="str">
        <f t="shared" si="3"/>
        <v>Appl</v>
      </c>
      <c r="P15" s="10">
        <f t="shared" si="4"/>
        <v>0</v>
      </c>
      <c r="R15" t="s">
        <v>146</v>
      </c>
      <c r="S15" t="s">
        <v>147</v>
      </c>
      <c r="T15" t="str">
        <f>_xlfn.CONCAT(R15," ",S15)</f>
        <v>UDAY KIRAN</v>
      </c>
    </row>
    <row r="16" spans="1:20" x14ac:dyDescent="0.25">
      <c r="A16" s="2">
        <v>45767</v>
      </c>
      <c r="B16" s="8" t="s">
        <v>79</v>
      </c>
      <c r="C16" s="8" t="s">
        <v>81</v>
      </c>
      <c r="D16" s="8" t="s">
        <v>87</v>
      </c>
      <c r="E16">
        <v>229</v>
      </c>
      <c r="F16">
        <v>1</v>
      </c>
      <c r="G16" s="8" t="str">
        <f t="shared" si="0"/>
        <v>Footwear</v>
      </c>
      <c r="H16" s="10" t="str">
        <f t="shared" si="1"/>
        <v>NOT FOUND</v>
      </c>
      <c r="L16" s="10" t="str">
        <f t="shared" si="2"/>
        <v>Cloths</v>
      </c>
      <c r="N16" s="10" t="str">
        <f t="shared" si="3"/>
        <v>Foot</v>
      </c>
      <c r="P16" s="10">
        <f t="shared" si="4"/>
        <v>1</v>
      </c>
    </row>
    <row r="17" spans="1:19" x14ac:dyDescent="0.25">
      <c r="A17" s="2">
        <v>45735</v>
      </c>
      <c r="B17" s="8" t="s">
        <v>80</v>
      </c>
      <c r="C17" s="8" t="s">
        <v>82</v>
      </c>
      <c r="D17" s="8" t="s">
        <v>87</v>
      </c>
      <c r="E17">
        <v>6104</v>
      </c>
      <c r="F17">
        <v>7</v>
      </c>
      <c r="G17" s="8" t="str">
        <f t="shared" si="0"/>
        <v>Electronics</v>
      </c>
      <c r="H17" s="10" t="str">
        <f t="shared" si="1"/>
        <v>NOT FOUND</v>
      </c>
      <c r="L17" s="10" t="str">
        <f t="shared" si="2"/>
        <v>Cloths</v>
      </c>
      <c r="N17" s="10" t="str">
        <f t="shared" si="3"/>
        <v>Elec</v>
      </c>
      <c r="P17" s="10">
        <f t="shared" si="4"/>
        <v>1</v>
      </c>
    </row>
    <row r="18" spans="1:19" x14ac:dyDescent="0.25">
      <c r="A18" s="2">
        <v>45722</v>
      </c>
      <c r="B18" s="8" t="s">
        <v>78</v>
      </c>
      <c r="C18" s="8" t="s">
        <v>84</v>
      </c>
      <c r="D18" s="8" t="s">
        <v>85</v>
      </c>
      <c r="E18">
        <v>558</v>
      </c>
      <c r="F18">
        <v>1</v>
      </c>
      <c r="G18" s="8" t="str">
        <f t="shared" si="0"/>
        <v>Appliances</v>
      </c>
      <c r="H18" s="10">
        <f t="shared" si="1"/>
        <v>1</v>
      </c>
      <c r="L18" s="10" t="str">
        <f t="shared" si="2"/>
        <v>Appliances</v>
      </c>
      <c r="N18" s="10" t="str">
        <f t="shared" si="3"/>
        <v>Appl</v>
      </c>
      <c r="P18" s="10">
        <f t="shared" si="4"/>
        <v>0</v>
      </c>
      <c r="R18" s="11" t="s">
        <v>148</v>
      </c>
      <c r="S18" s="11"/>
    </row>
    <row r="19" spans="1:19" x14ac:dyDescent="0.25">
      <c r="A19" s="2">
        <v>45741</v>
      </c>
      <c r="B19" s="8" t="s">
        <v>76</v>
      </c>
      <c r="C19" s="8" t="s">
        <v>84</v>
      </c>
      <c r="D19" s="8" t="s">
        <v>85</v>
      </c>
      <c r="E19">
        <v>6413</v>
      </c>
      <c r="F19">
        <v>11</v>
      </c>
      <c r="G19" s="8" t="str">
        <f t="shared" si="0"/>
        <v>Appliances</v>
      </c>
      <c r="H19" s="10">
        <f t="shared" si="1"/>
        <v>1</v>
      </c>
      <c r="L19" s="10" t="str">
        <f t="shared" si="2"/>
        <v>Electronics</v>
      </c>
      <c r="N19" s="10" t="str">
        <f t="shared" si="3"/>
        <v>Appl</v>
      </c>
      <c r="P19" s="10">
        <f t="shared" si="4"/>
        <v>0</v>
      </c>
      <c r="R19" s="11" t="s">
        <v>149</v>
      </c>
      <c r="S19" s="11"/>
    </row>
    <row r="20" spans="1:19" x14ac:dyDescent="0.25">
      <c r="A20" s="2">
        <v>45732</v>
      </c>
      <c r="B20" s="8" t="s">
        <v>74</v>
      </c>
      <c r="C20" s="8" t="s">
        <v>82</v>
      </c>
      <c r="D20" s="8" t="s">
        <v>88</v>
      </c>
      <c r="E20">
        <v>1017</v>
      </c>
      <c r="F20">
        <v>9</v>
      </c>
      <c r="G20" s="8" t="str">
        <f t="shared" si="0"/>
        <v>Electronics</v>
      </c>
      <c r="H20" s="10" t="str">
        <f t="shared" si="1"/>
        <v>NOT FOUND</v>
      </c>
      <c r="L20" s="10" t="str">
        <f t="shared" si="2"/>
        <v>Cloths</v>
      </c>
      <c r="N20" s="10" t="str">
        <f t="shared" si="3"/>
        <v>Elec</v>
      </c>
      <c r="P20" s="10">
        <f t="shared" si="4"/>
        <v>0</v>
      </c>
    </row>
    <row r="21" spans="1:19" x14ac:dyDescent="0.25">
      <c r="A21" s="2">
        <v>45721</v>
      </c>
      <c r="B21" s="8" t="s">
        <v>80</v>
      </c>
      <c r="C21" s="8" t="s">
        <v>82</v>
      </c>
      <c r="D21" s="8" t="s">
        <v>86</v>
      </c>
      <c r="E21">
        <v>9310</v>
      </c>
      <c r="F21">
        <v>10</v>
      </c>
      <c r="G21" s="8" t="str">
        <f t="shared" si="0"/>
        <v>Electronics</v>
      </c>
      <c r="H21" s="10" t="str">
        <f t="shared" si="1"/>
        <v>NOT FOUND</v>
      </c>
      <c r="L21" s="10" t="str">
        <f t="shared" si="2"/>
        <v>Cloths</v>
      </c>
      <c r="N21" s="10" t="str">
        <f t="shared" si="3"/>
        <v>Elec</v>
      </c>
      <c r="P21" s="10">
        <f t="shared" si="4"/>
        <v>0</v>
      </c>
    </row>
    <row r="22" spans="1:19" x14ac:dyDescent="0.25">
      <c r="A22" s="2">
        <v>45703</v>
      </c>
      <c r="B22" s="8" t="s">
        <v>75</v>
      </c>
      <c r="C22" s="8" t="s">
        <v>83</v>
      </c>
      <c r="D22" s="8" t="s">
        <v>87</v>
      </c>
      <c r="E22">
        <v>2560</v>
      </c>
      <c r="F22">
        <v>4</v>
      </c>
      <c r="G22" s="8" t="str">
        <f t="shared" si="0"/>
        <v>Cloths</v>
      </c>
      <c r="L22" s="10" t="str">
        <f t="shared" si="2"/>
        <v>Cloths</v>
      </c>
      <c r="N22" s="10" t="str">
        <f t="shared" si="3"/>
        <v>Clot</v>
      </c>
      <c r="P22" s="10">
        <f t="shared" si="4"/>
        <v>1</v>
      </c>
    </row>
    <row r="23" spans="1:19" x14ac:dyDescent="0.25">
      <c r="A23" s="2">
        <v>45681</v>
      </c>
      <c r="B23" s="8" t="s">
        <v>76</v>
      </c>
      <c r="C23" s="8" t="s">
        <v>84</v>
      </c>
      <c r="D23" s="8" t="s">
        <v>86</v>
      </c>
      <c r="E23">
        <v>6855</v>
      </c>
      <c r="F23">
        <v>15</v>
      </c>
      <c r="G23" s="8" t="str">
        <f t="shared" si="0"/>
        <v>Appliances</v>
      </c>
      <c r="L23" s="10" t="str">
        <f t="shared" si="2"/>
        <v>Appliances</v>
      </c>
      <c r="N23" s="10" t="str">
        <f t="shared" si="3"/>
        <v>Appl</v>
      </c>
      <c r="P23" s="10">
        <f t="shared" si="4"/>
        <v>0</v>
      </c>
    </row>
    <row r="24" spans="1:19" x14ac:dyDescent="0.25">
      <c r="A24" s="2">
        <v>45663</v>
      </c>
      <c r="B24" s="8" t="s">
        <v>78</v>
      </c>
      <c r="C24" s="8" t="s">
        <v>84</v>
      </c>
      <c r="D24" s="8" t="s">
        <v>86</v>
      </c>
      <c r="E24">
        <v>7398</v>
      </c>
      <c r="F24">
        <v>9</v>
      </c>
      <c r="G24" s="8" t="str">
        <f t="shared" si="0"/>
        <v>Appliances</v>
      </c>
      <c r="H24" s="3" t="s">
        <v>139</v>
      </c>
      <c r="I24" s="3" t="s">
        <v>140</v>
      </c>
      <c r="J24" s="3" t="s">
        <v>145</v>
      </c>
      <c r="L24" s="10" t="str">
        <f>SUBSTITUTE(C16,"ing","s")</f>
        <v>Footwear</v>
      </c>
      <c r="N24" s="10" t="str">
        <f>MID(C:C,1,4)</f>
        <v>Appl</v>
      </c>
      <c r="P24" s="10">
        <f>IFERROR(SEARCH($D$6,D:D),0)</f>
        <v>0</v>
      </c>
    </row>
    <row r="25" spans="1:19" x14ac:dyDescent="0.25">
      <c r="A25" s="2">
        <v>45660</v>
      </c>
      <c r="B25" s="8" t="s">
        <v>74</v>
      </c>
      <c r="C25" s="8" t="s">
        <v>82</v>
      </c>
      <c r="D25" s="8" t="s">
        <v>85</v>
      </c>
      <c r="E25">
        <v>2094</v>
      </c>
      <c r="F25">
        <v>6</v>
      </c>
      <c r="G25" s="8" t="str">
        <f t="shared" si="0"/>
        <v>Electronics</v>
      </c>
      <c r="H25" t="s">
        <v>141</v>
      </c>
      <c r="I25" t="s">
        <v>142</v>
      </c>
      <c r="J25" t="str">
        <f>_xlfn.CONCAT(H25," ",I25)</f>
        <v>SHIV KESHAV</v>
      </c>
      <c r="L25" s="10" t="str">
        <f>SUBSTITUTE(C17,"ing","s")</f>
        <v>Electronics</v>
      </c>
      <c r="N25" s="10" t="str">
        <f>MID(C:C,1,4)</f>
        <v>Elec</v>
      </c>
      <c r="P25" s="10">
        <f>IFERROR(SEARCH($D$6,D:D),0)</f>
        <v>0</v>
      </c>
    </row>
    <row r="26" spans="1:19" x14ac:dyDescent="0.25">
      <c r="A26" s="2">
        <v>45701</v>
      </c>
      <c r="B26" s="8" t="s">
        <v>74</v>
      </c>
      <c r="C26" s="8" t="s">
        <v>82</v>
      </c>
      <c r="D26" s="8" t="s">
        <v>88</v>
      </c>
      <c r="E26">
        <v>3996</v>
      </c>
      <c r="F26">
        <v>4</v>
      </c>
      <c r="G26" s="8" t="str">
        <f t="shared" si="0"/>
        <v>Electronics</v>
      </c>
      <c r="H26" t="s">
        <v>143</v>
      </c>
      <c r="I26" t="s">
        <v>144</v>
      </c>
      <c r="J26" t="str">
        <f>_xlfn.CONCAT(H26," ",I26)</f>
        <v>ASHOK G</v>
      </c>
      <c r="L26" s="10" t="str">
        <f>SUBSTITUTE(C18,"ing","s")</f>
        <v>Appliances</v>
      </c>
      <c r="N26" s="10" t="str">
        <f>MID(C:C,1,4)</f>
        <v>Elec</v>
      </c>
      <c r="P26" s="10">
        <f>IFERROR(SEARCH($D$6,D:D),0)</f>
        <v>0</v>
      </c>
    </row>
    <row r="27" spans="1:19" x14ac:dyDescent="0.25">
      <c r="A27" s="2">
        <v>45679</v>
      </c>
      <c r="B27" s="8" t="s">
        <v>78</v>
      </c>
      <c r="C27" s="8" t="s">
        <v>84</v>
      </c>
      <c r="D27" s="8" t="s">
        <v>87</v>
      </c>
      <c r="E27">
        <v>4884</v>
      </c>
      <c r="F27">
        <v>6</v>
      </c>
      <c r="G27" s="8" t="str">
        <f t="shared" si="0"/>
        <v>Appliances</v>
      </c>
      <c r="H27" t="s">
        <v>146</v>
      </c>
      <c r="I27" t="s">
        <v>147</v>
      </c>
      <c r="J27" t="str">
        <f>_xlfn.CONCAT(H27," ",I27)</f>
        <v>UDAY KIRAN</v>
      </c>
      <c r="L27" s="10" t="str">
        <f>SUBSTITUTE(C19,"ing","s")</f>
        <v>Appliances</v>
      </c>
      <c r="N27" s="10" t="str">
        <f>MID(C:C,1,4)</f>
        <v>Appl</v>
      </c>
      <c r="P27" s="10">
        <f>IFERROR(SEARCH($D$6,D:D),0)</f>
        <v>1</v>
      </c>
    </row>
    <row r="28" spans="1:19" x14ac:dyDescent="0.25">
      <c r="A28" s="2">
        <v>45693</v>
      </c>
      <c r="B28" s="8" t="s">
        <v>77</v>
      </c>
      <c r="C28" s="8" t="s">
        <v>83</v>
      </c>
      <c r="D28" s="8" t="s">
        <v>88</v>
      </c>
      <c r="E28">
        <v>1767</v>
      </c>
      <c r="F28">
        <v>3</v>
      </c>
      <c r="G28" s="8" t="str">
        <f t="shared" si="0"/>
        <v>Cloths</v>
      </c>
      <c r="L28" s="10" t="str">
        <f t="shared" si="2"/>
        <v>Electronics</v>
      </c>
      <c r="N28" s="10" t="str">
        <f>MID(C:C,1,4)</f>
        <v>Clot</v>
      </c>
      <c r="P28" s="10">
        <f>IFERROR(SEARCH($D$6,D:D),0)</f>
        <v>0</v>
      </c>
    </row>
    <row r="29" spans="1:19" x14ac:dyDescent="0.25">
      <c r="A29" s="2">
        <v>45744</v>
      </c>
      <c r="B29" s="8" t="s">
        <v>78</v>
      </c>
      <c r="C29" s="8" t="s">
        <v>84</v>
      </c>
      <c r="D29" s="8" t="s">
        <v>85</v>
      </c>
      <c r="E29">
        <v>7840</v>
      </c>
      <c r="F29">
        <v>14</v>
      </c>
      <c r="G29" s="8" t="str">
        <f t="shared" si="0"/>
        <v>Appliances</v>
      </c>
      <c r="L29" s="10" t="str">
        <f t="shared" si="2"/>
        <v>Electronics</v>
      </c>
      <c r="N29" s="10" t="str">
        <f t="shared" si="3"/>
        <v>Appl</v>
      </c>
      <c r="P29" s="10">
        <f t="shared" si="4"/>
        <v>0</v>
      </c>
    </row>
    <row r="30" spans="1:19" x14ac:dyDescent="0.25">
      <c r="A30" s="2">
        <v>45670</v>
      </c>
      <c r="B30" s="8" t="s">
        <v>78</v>
      </c>
      <c r="C30" s="8" t="s">
        <v>84</v>
      </c>
      <c r="D30" s="8" t="s">
        <v>86</v>
      </c>
      <c r="E30">
        <v>4806</v>
      </c>
      <c r="F30">
        <v>6</v>
      </c>
      <c r="G30" s="8" t="str">
        <f t="shared" si="0"/>
        <v>Appliances</v>
      </c>
      <c r="L30" s="10" t="str">
        <f t="shared" si="2"/>
        <v>Cloths</v>
      </c>
      <c r="N30" s="10" t="str">
        <f t="shared" si="3"/>
        <v>Appl</v>
      </c>
      <c r="P30" s="10">
        <f t="shared" si="4"/>
        <v>0</v>
      </c>
    </row>
    <row r="31" spans="1:19" x14ac:dyDescent="0.25">
      <c r="A31" s="2">
        <v>45716</v>
      </c>
      <c r="B31" s="8" t="s">
        <v>78</v>
      </c>
      <c r="C31" s="8" t="s">
        <v>84</v>
      </c>
      <c r="D31" s="8" t="s">
        <v>88</v>
      </c>
      <c r="E31">
        <v>2598</v>
      </c>
      <c r="F31">
        <v>3</v>
      </c>
      <c r="G31" s="8" t="str">
        <f t="shared" si="0"/>
        <v>Appliances</v>
      </c>
      <c r="L31" s="10" t="str">
        <f t="shared" si="2"/>
        <v>Appliances</v>
      </c>
      <c r="N31" s="10" t="str">
        <f t="shared" si="3"/>
        <v>Appl</v>
      </c>
      <c r="P31" s="10">
        <f t="shared" si="4"/>
        <v>0</v>
      </c>
    </row>
    <row r="32" spans="1:19" x14ac:dyDescent="0.25">
      <c r="A32" s="2">
        <v>45762</v>
      </c>
      <c r="B32" s="8" t="s">
        <v>73</v>
      </c>
      <c r="C32" s="8" t="s">
        <v>81</v>
      </c>
      <c r="D32" s="8" t="s">
        <v>88</v>
      </c>
      <c r="E32">
        <v>12920</v>
      </c>
      <c r="F32">
        <v>17</v>
      </c>
      <c r="G32" s="8" t="str">
        <f t="shared" si="0"/>
        <v>Footwear</v>
      </c>
      <c r="L32" s="10" t="str">
        <f t="shared" si="2"/>
        <v>Appliances</v>
      </c>
      <c r="N32" s="10" t="str">
        <f t="shared" si="3"/>
        <v>Foot</v>
      </c>
      <c r="P32" s="10">
        <f t="shared" si="4"/>
        <v>0</v>
      </c>
    </row>
    <row r="33" spans="1:7" x14ac:dyDescent="0.25">
      <c r="A33" s="2">
        <v>45692</v>
      </c>
      <c r="B33" s="8" t="s">
        <v>77</v>
      </c>
      <c r="C33" s="8" t="s">
        <v>83</v>
      </c>
      <c r="D33" s="8" t="s">
        <v>85</v>
      </c>
      <c r="E33">
        <v>2134</v>
      </c>
      <c r="F33">
        <v>11</v>
      </c>
      <c r="G33" s="8" t="str">
        <f t="shared" si="0"/>
        <v>Cloths</v>
      </c>
    </row>
    <row r="34" spans="1:7" x14ac:dyDescent="0.25">
      <c r="A34" s="2">
        <v>45747</v>
      </c>
      <c r="B34" s="8" t="s">
        <v>79</v>
      </c>
      <c r="C34" s="8" t="s">
        <v>81</v>
      </c>
      <c r="D34" s="8" t="s">
        <v>86</v>
      </c>
      <c r="E34">
        <v>311</v>
      </c>
      <c r="F34">
        <v>1</v>
      </c>
      <c r="G34" s="8" t="str">
        <f t="shared" ref="G34:G65" si="5">SUBSTITUTE(C:C,"ing","s")</f>
        <v>Footwear</v>
      </c>
    </row>
    <row r="35" spans="1:7" x14ac:dyDescent="0.25">
      <c r="A35" s="2">
        <v>45714</v>
      </c>
      <c r="B35" s="8" t="s">
        <v>73</v>
      </c>
      <c r="C35" s="8" t="s">
        <v>81</v>
      </c>
      <c r="D35" s="8" t="s">
        <v>85</v>
      </c>
      <c r="E35">
        <v>2388</v>
      </c>
      <c r="F35">
        <v>3</v>
      </c>
      <c r="G35" s="8" t="str">
        <f t="shared" si="5"/>
        <v>Footwear</v>
      </c>
    </row>
    <row r="36" spans="1:7" x14ac:dyDescent="0.25">
      <c r="A36" s="2">
        <v>45748</v>
      </c>
      <c r="B36" s="8" t="s">
        <v>76</v>
      </c>
      <c r="C36" s="8" t="s">
        <v>84</v>
      </c>
      <c r="D36" s="8" t="s">
        <v>85</v>
      </c>
      <c r="E36">
        <v>2853</v>
      </c>
      <c r="F36">
        <v>9</v>
      </c>
      <c r="G36" s="8" t="str">
        <f t="shared" si="5"/>
        <v>Appliances</v>
      </c>
    </row>
    <row r="37" spans="1:7" x14ac:dyDescent="0.25">
      <c r="A37" s="2">
        <v>45677</v>
      </c>
      <c r="B37" s="8" t="s">
        <v>80</v>
      </c>
      <c r="C37" s="8" t="s">
        <v>82</v>
      </c>
      <c r="D37" s="8" t="s">
        <v>88</v>
      </c>
      <c r="E37">
        <v>4382</v>
      </c>
      <c r="F37">
        <v>7</v>
      </c>
      <c r="G37" s="8" t="str">
        <f t="shared" si="5"/>
        <v>Electronics</v>
      </c>
    </row>
    <row r="38" spans="1:7" x14ac:dyDescent="0.25">
      <c r="A38" s="2">
        <v>45749</v>
      </c>
      <c r="B38" s="8" t="s">
        <v>73</v>
      </c>
      <c r="C38" s="8" t="s">
        <v>81</v>
      </c>
      <c r="D38" s="8" t="s">
        <v>85</v>
      </c>
      <c r="E38">
        <v>2690</v>
      </c>
      <c r="F38">
        <v>5</v>
      </c>
      <c r="G38" s="8" t="str">
        <f t="shared" si="5"/>
        <v>Footwear</v>
      </c>
    </row>
    <row r="39" spans="1:7" x14ac:dyDescent="0.25">
      <c r="A39" s="2">
        <v>45697</v>
      </c>
      <c r="B39" s="8" t="s">
        <v>77</v>
      </c>
      <c r="C39" s="8" t="s">
        <v>83</v>
      </c>
      <c r="D39" s="8" t="s">
        <v>87</v>
      </c>
      <c r="E39">
        <v>399</v>
      </c>
      <c r="F39">
        <v>3</v>
      </c>
      <c r="G39" s="8" t="str">
        <f t="shared" si="5"/>
        <v>Cloths</v>
      </c>
    </row>
    <row r="40" spans="1:7" x14ac:dyDescent="0.25">
      <c r="A40" s="2">
        <v>45670</v>
      </c>
      <c r="B40" s="8" t="s">
        <v>74</v>
      </c>
      <c r="C40" s="8" t="s">
        <v>82</v>
      </c>
      <c r="D40" s="8" t="s">
        <v>85</v>
      </c>
      <c r="E40">
        <v>4459</v>
      </c>
      <c r="F40">
        <v>7</v>
      </c>
      <c r="G40" s="8" t="str">
        <f t="shared" si="5"/>
        <v>Electronics</v>
      </c>
    </row>
    <row r="41" spans="1:7" x14ac:dyDescent="0.25">
      <c r="A41" s="2">
        <v>45704</v>
      </c>
      <c r="B41" s="8" t="s">
        <v>74</v>
      </c>
      <c r="C41" s="8" t="s">
        <v>82</v>
      </c>
      <c r="D41" s="8" t="s">
        <v>85</v>
      </c>
      <c r="E41">
        <v>2274</v>
      </c>
      <c r="F41">
        <v>3</v>
      </c>
      <c r="G41" s="8" t="str">
        <f t="shared" si="5"/>
        <v>Electronics</v>
      </c>
    </row>
    <row r="42" spans="1:7" x14ac:dyDescent="0.25">
      <c r="A42" s="2">
        <v>45725</v>
      </c>
      <c r="B42" s="8" t="s">
        <v>77</v>
      </c>
      <c r="C42" s="8" t="s">
        <v>83</v>
      </c>
      <c r="D42" s="8" t="s">
        <v>87</v>
      </c>
      <c r="E42">
        <v>11552</v>
      </c>
      <c r="F42">
        <v>19</v>
      </c>
      <c r="G42" s="8" t="str">
        <f t="shared" si="5"/>
        <v>Cloths</v>
      </c>
    </row>
    <row r="43" spans="1:7" x14ac:dyDescent="0.25">
      <c r="A43" s="2">
        <v>45749</v>
      </c>
      <c r="B43" s="8" t="s">
        <v>73</v>
      </c>
      <c r="C43" s="8" t="s">
        <v>81</v>
      </c>
      <c r="D43" s="8" t="s">
        <v>87</v>
      </c>
      <c r="E43">
        <v>4540</v>
      </c>
      <c r="F43">
        <v>5</v>
      </c>
      <c r="G43" s="8" t="str">
        <f t="shared" si="5"/>
        <v>Footwear</v>
      </c>
    </row>
    <row r="44" spans="1:7" x14ac:dyDescent="0.25">
      <c r="A44" s="2">
        <v>45695</v>
      </c>
      <c r="B44" s="8" t="s">
        <v>77</v>
      </c>
      <c r="C44" s="8" t="s">
        <v>83</v>
      </c>
      <c r="D44" s="8" t="s">
        <v>85</v>
      </c>
      <c r="E44">
        <v>4216</v>
      </c>
      <c r="F44">
        <v>8</v>
      </c>
      <c r="G44" s="8" t="str">
        <f t="shared" si="5"/>
        <v>Cloths</v>
      </c>
    </row>
    <row r="45" spans="1:7" x14ac:dyDescent="0.25">
      <c r="A45" s="2">
        <v>45705</v>
      </c>
      <c r="B45" s="8" t="s">
        <v>75</v>
      </c>
      <c r="C45" s="8" t="s">
        <v>83</v>
      </c>
      <c r="D45" s="8" t="s">
        <v>85</v>
      </c>
      <c r="E45">
        <v>4140</v>
      </c>
      <c r="F45">
        <v>18</v>
      </c>
      <c r="G45" s="8" t="str">
        <f t="shared" si="5"/>
        <v>Cloths</v>
      </c>
    </row>
    <row r="46" spans="1:7" x14ac:dyDescent="0.25">
      <c r="A46" s="2">
        <v>45728</v>
      </c>
      <c r="B46" s="8" t="s">
        <v>74</v>
      </c>
      <c r="C46" s="8" t="s">
        <v>82</v>
      </c>
      <c r="D46" s="8" t="s">
        <v>88</v>
      </c>
      <c r="E46">
        <v>8610</v>
      </c>
      <c r="F46">
        <v>10</v>
      </c>
      <c r="G46" s="8" t="str">
        <f t="shared" si="5"/>
        <v>Electronics</v>
      </c>
    </row>
    <row r="47" spans="1:7" x14ac:dyDescent="0.25">
      <c r="A47" s="2">
        <v>45719</v>
      </c>
      <c r="B47" s="8" t="s">
        <v>74</v>
      </c>
      <c r="C47" s="8" t="s">
        <v>82</v>
      </c>
      <c r="D47" s="8" t="s">
        <v>88</v>
      </c>
      <c r="E47">
        <v>7200</v>
      </c>
      <c r="F47">
        <v>8</v>
      </c>
      <c r="G47" s="8" t="str">
        <f t="shared" si="5"/>
        <v>Electronics</v>
      </c>
    </row>
    <row r="48" spans="1:7" x14ac:dyDescent="0.25">
      <c r="A48" s="2">
        <v>45746</v>
      </c>
      <c r="B48" s="8" t="s">
        <v>79</v>
      </c>
      <c r="C48" s="8" t="s">
        <v>81</v>
      </c>
      <c r="D48" s="8" t="s">
        <v>85</v>
      </c>
      <c r="E48">
        <v>10849</v>
      </c>
      <c r="F48">
        <v>19</v>
      </c>
      <c r="G48" s="8" t="str">
        <f t="shared" si="5"/>
        <v>Footwear</v>
      </c>
    </row>
    <row r="49" spans="1:7" x14ac:dyDescent="0.25">
      <c r="A49" s="2">
        <v>45660</v>
      </c>
      <c r="B49" s="8" t="s">
        <v>78</v>
      </c>
      <c r="C49" s="8" t="s">
        <v>84</v>
      </c>
      <c r="D49" s="8" t="s">
        <v>85</v>
      </c>
      <c r="E49">
        <v>14256</v>
      </c>
      <c r="F49">
        <v>16</v>
      </c>
      <c r="G49" s="8" t="str">
        <f t="shared" si="5"/>
        <v>Appliances</v>
      </c>
    </row>
    <row r="50" spans="1:7" x14ac:dyDescent="0.25">
      <c r="A50" s="2">
        <v>45701</v>
      </c>
      <c r="B50" s="8" t="s">
        <v>74</v>
      </c>
      <c r="C50" s="8" t="s">
        <v>82</v>
      </c>
      <c r="D50" s="8" t="s">
        <v>88</v>
      </c>
      <c r="E50">
        <v>1464</v>
      </c>
      <c r="F50">
        <v>2</v>
      </c>
      <c r="G50" s="8" t="str">
        <f t="shared" si="5"/>
        <v>Electronics</v>
      </c>
    </row>
    <row r="51" spans="1:7" x14ac:dyDescent="0.25">
      <c r="A51" s="2">
        <v>45732</v>
      </c>
      <c r="B51" s="8" t="s">
        <v>78</v>
      </c>
      <c r="C51" s="8" t="s">
        <v>84</v>
      </c>
      <c r="D51" s="8" t="s">
        <v>88</v>
      </c>
      <c r="E51">
        <v>9622</v>
      </c>
      <c r="F51">
        <v>17</v>
      </c>
      <c r="G51" s="8" t="str">
        <f t="shared" si="5"/>
        <v>Appliances</v>
      </c>
    </row>
    <row r="52" spans="1:7" x14ac:dyDescent="0.25">
      <c r="A52" s="2">
        <v>45707</v>
      </c>
      <c r="B52" s="8" t="s">
        <v>75</v>
      </c>
      <c r="C52" s="8" t="s">
        <v>83</v>
      </c>
      <c r="D52" s="8" t="s">
        <v>87</v>
      </c>
      <c r="E52">
        <v>13420</v>
      </c>
      <c r="F52">
        <v>20</v>
      </c>
      <c r="G52" s="8" t="str">
        <f t="shared" si="5"/>
        <v>Cloths</v>
      </c>
    </row>
    <row r="53" spans="1:7" x14ac:dyDescent="0.25">
      <c r="A53" s="2">
        <v>45705</v>
      </c>
      <c r="B53" s="8" t="s">
        <v>75</v>
      </c>
      <c r="C53" s="8" t="s">
        <v>83</v>
      </c>
      <c r="D53" s="8" t="s">
        <v>87</v>
      </c>
      <c r="E53">
        <v>3004</v>
      </c>
      <c r="F53">
        <v>4</v>
      </c>
      <c r="G53" s="8" t="str">
        <f t="shared" si="5"/>
        <v>Cloths</v>
      </c>
    </row>
    <row r="54" spans="1:7" x14ac:dyDescent="0.25">
      <c r="A54" s="2">
        <v>45754</v>
      </c>
      <c r="B54" s="8" t="s">
        <v>76</v>
      </c>
      <c r="C54" s="8" t="s">
        <v>84</v>
      </c>
      <c r="D54" s="8" t="s">
        <v>88</v>
      </c>
      <c r="E54">
        <v>11865</v>
      </c>
      <c r="F54">
        <v>15</v>
      </c>
      <c r="G54" s="8" t="str">
        <f t="shared" si="5"/>
        <v>Appliances</v>
      </c>
    </row>
    <row r="55" spans="1:7" x14ac:dyDescent="0.25">
      <c r="A55" s="2">
        <v>45719</v>
      </c>
      <c r="B55" s="8" t="s">
        <v>80</v>
      </c>
      <c r="C55" s="8" t="s">
        <v>82</v>
      </c>
      <c r="D55" s="8" t="s">
        <v>87</v>
      </c>
      <c r="E55">
        <v>7395</v>
      </c>
      <c r="F55">
        <v>17</v>
      </c>
      <c r="G55" s="8" t="str">
        <f t="shared" si="5"/>
        <v>Electronics</v>
      </c>
    </row>
    <row r="56" spans="1:7" x14ac:dyDescent="0.25">
      <c r="A56" s="2">
        <v>45704</v>
      </c>
      <c r="B56" s="8" t="s">
        <v>73</v>
      </c>
      <c r="C56" s="8" t="s">
        <v>81</v>
      </c>
      <c r="D56" s="8" t="s">
        <v>85</v>
      </c>
      <c r="E56">
        <v>12701</v>
      </c>
      <c r="F56">
        <v>13</v>
      </c>
      <c r="G56" s="8" t="str">
        <f t="shared" si="5"/>
        <v>Footwear</v>
      </c>
    </row>
    <row r="57" spans="1:7" x14ac:dyDescent="0.25">
      <c r="A57" s="2">
        <v>45766</v>
      </c>
      <c r="B57" s="8" t="s">
        <v>75</v>
      </c>
      <c r="C57" s="8" t="s">
        <v>83</v>
      </c>
      <c r="D57" s="8" t="s">
        <v>85</v>
      </c>
      <c r="E57">
        <v>8697</v>
      </c>
      <c r="F57">
        <v>13</v>
      </c>
      <c r="G57" s="8" t="str">
        <f t="shared" si="5"/>
        <v>Cloths</v>
      </c>
    </row>
    <row r="58" spans="1:7" x14ac:dyDescent="0.25">
      <c r="A58" s="2">
        <v>45693</v>
      </c>
      <c r="B58" s="8" t="s">
        <v>76</v>
      </c>
      <c r="C58" s="8" t="s">
        <v>84</v>
      </c>
      <c r="D58" s="8" t="s">
        <v>88</v>
      </c>
      <c r="E58">
        <v>2728</v>
      </c>
      <c r="F58">
        <v>11</v>
      </c>
      <c r="G58" s="8" t="str">
        <f t="shared" si="5"/>
        <v>Appliances</v>
      </c>
    </row>
    <row r="59" spans="1:7" x14ac:dyDescent="0.25">
      <c r="A59" s="2">
        <v>45658</v>
      </c>
      <c r="B59" s="8" t="s">
        <v>78</v>
      </c>
      <c r="C59" s="8" t="s">
        <v>84</v>
      </c>
      <c r="D59" s="8" t="s">
        <v>86</v>
      </c>
      <c r="E59">
        <v>7395</v>
      </c>
      <c r="F59">
        <v>17</v>
      </c>
      <c r="G59" s="8" t="str">
        <f t="shared" si="5"/>
        <v>Appliances</v>
      </c>
    </row>
    <row r="60" spans="1:7" x14ac:dyDescent="0.25">
      <c r="A60" s="2">
        <v>45744</v>
      </c>
      <c r="B60" s="8" t="s">
        <v>80</v>
      </c>
      <c r="C60" s="8" t="s">
        <v>82</v>
      </c>
      <c r="D60" s="8" t="s">
        <v>85</v>
      </c>
      <c r="E60">
        <v>632</v>
      </c>
      <c r="F60">
        <v>1</v>
      </c>
      <c r="G60" s="8" t="str">
        <f t="shared" si="5"/>
        <v>Electronics</v>
      </c>
    </row>
    <row r="61" spans="1:7" x14ac:dyDescent="0.25">
      <c r="A61" s="2">
        <v>45732</v>
      </c>
      <c r="B61" s="8" t="s">
        <v>77</v>
      </c>
      <c r="C61" s="8" t="s">
        <v>83</v>
      </c>
      <c r="D61" s="8" t="s">
        <v>88</v>
      </c>
      <c r="E61">
        <v>1044</v>
      </c>
      <c r="F61">
        <v>3</v>
      </c>
      <c r="G61" s="8" t="str">
        <f t="shared" si="5"/>
        <v>Cloths</v>
      </c>
    </row>
    <row r="62" spans="1:7" x14ac:dyDescent="0.25">
      <c r="A62" s="2">
        <v>45713</v>
      </c>
      <c r="B62" s="8" t="s">
        <v>75</v>
      </c>
      <c r="C62" s="8" t="s">
        <v>83</v>
      </c>
      <c r="D62" s="8" t="s">
        <v>85</v>
      </c>
      <c r="E62">
        <v>4779</v>
      </c>
      <c r="F62">
        <v>9</v>
      </c>
      <c r="G62" s="8" t="str">
        <f t="shared" si="5"/>
        <v>Cloths</v>
      </c>
    </row>
    <row r="63" spans="1:7" x14ac:dyDescent="0.25">
      <c r="A63" s="2">
        <v>45669</v>
      </c>
      <c r="B63" s="8" t="s">
        <v>73</v>
      </c>
      <c r="C63" s="8" t="s">
        <v>81</v>
      </c>
      <c r="D63" s="8" t="s">
        <v>85</v>
      </c>
      <c r="E63">
        <v>636</v>
      </c>
      <c r="F63">
        <v>2</v>
      </c>
      <c r="G63" s="8" t="str">
        <f t="shared" si="5"/>
        <v>Footwear</v>
      </c>
    </row>
    <row r="64" spans="1:7" x14ac:dyDescent="0.25">
      <c r="A64" s="2">
        <v>45702</v>
      </c>
      <c r="B64" s="8" t="s">
        <v>80</v>
      </c>
      <c r="C64" s="8" t="s">
        <v>82</v>
      </c>
      <c r="D64" s="8" t="s">
        <v>86</v>
      </c>
      <c r="E64">
        <v>7800</v>
      </c>
      <c r="F64">
        <v>10</v>
      </c>
      <c r="G64" s="8" t="str">
        <f t="shared" si="5"/>
        <v>Electronics</v>
      </c>
    </row>
    <row r="65" spans="1:7" x14ac:dyDescent="0.25">
      <c r="A65" s="2">
        <v>45686</v>
      </c>
      <c r="B65" s="8" t="s">
        <v>73</v>
      </c>
      <c r="C65" s="8" t="s">
        <v>81</v>
      </c>
      <c r="D65" s="8" t="s">
        <v>88</v>
      </c>
      <c r="E65">
        <v>545</v>
      </c>
      <c r="F65">
        <v>5</v>
      </c>
      <c r="G65" s="8" t="str">
        <f t="shared" si="5"/>
        <v>Footwear</v>
      </c>
    </row>
    <row r="66" spans="1:7" x14ac:dyDescent="0.25">
      <c r="A66" s="2">
        <v>45706</v>
      </c>
      <c r="B66" s="8" t="s">
        <v>75</v>
      </c>
      <c r="C66" s="8" t="s">
        <v>83</v>
      </c>
      <c r="D66" s="8" t="s">
        <v>85</v>
      </c>
      <c r="E66">
        <v>6040</v>
      </c>
      <c r="F66">
        <v>20</v>
      </c>
      <c r="G66" s="8" t="str">
        <f t="shared" ref="G66:G101" si="6">SUBSTITUTE(C:C,"ing","s")</f>
        <v>Cloths</v>
      </c>
    </row>
    <row r="67" spans="1:7" x14ac:dyDescent="0.25">
      <c r="A67" s="2">
        <v>45724</v>
      </c>
      <c r="B67" s="8" t="s">
        <v>74</v>
      </c>
      <c r="C67" s="8" t="s">
        <v>82</v>
      </c>
      <c r="D67" s="8" t="s">
        <v>88</v>
      </c>
      <c r="E67">
        <v>8136</v>
      </c>
      <c r="F67">
        <v>9</v>
      </c>
      <c r="G67" s="8" t="str">
        <f t="shared" si="6"/>
        <v>Electronics</v>
      </c>
    </row>
    <row r="68" spans="1:7" x14ac:dyDescent="0.25">
      <c r="A68" s="2">
        <v>45659</v>
      </c>
      <c r="B68" s="8" t="s">
        <v>80</v>
      </c>
      <c r="C68" s="8" t="s">
        <v>82</v>
      </c>
      <c r="D68" s="8" t="s">
        <v>88</v>
      </c>
      <c r="E68">
        <v>3928</v>
      </c>
      <c r="F68">
        <v>4</v>
      </c>
      <c r="G68" s="8" t="str">
        <f t="shared" si="6"/>
        <v>Electronics</v>
      </c>
    </row>
    <row r="69" spans="1:7" x14ac:dyDescent="0.25">
      <c r="A69" s="2">
        <v>45680</v>
      </c>
      <c r="B69" s="8" t="s">
        <v>80</v>
      </c>
      <c r="C69" s="8" t="s">
        <v>82</v>
      </c>
      <c r="D69" s="8" t="s">
        <v>87</v>
      </c>
      <c r="E69">
        <v>2968</v>
      </c>
      <c r="F69">
        <v>14</v>
      </c>
      <c r="G69" s="8" t="str">
        <f t="shared" si="6"/>
        <v>Electronics</v>
      </c>
    </row>
    <row r="70" spans="1:7" x14ac:dyDescent="0.25">
      <c r="A70" s="2">
        <v>45689</v>
      </c>
      <c r="B70" s="8" t="s">
        <v>74</v>
      </c>
      <c r="C70" s="8" t="s">
        <v>82</v>
      </c>
      <c r="D70" s="8" t="s">
        <v>87</v>
      </c>
      <c r="E70">
        <v>3955</v>
      </c>
      <c r="F70">
        <v>5</v>
      </c>
      <c r="G70" s="8" t="str">
        <f t="shared" si="6"/>
        <v>Electronics</v>
      </c>
    </row>
    <row r="71" spans="1:7" x14ac:dyDescent="0.25">
      <c r="A71" s="2">
        <v>45702</v>
      </c>
      <c r="B71" s="8" t="s">
        <v>75</v>
      </c>
      <c r="C71" s="8" t="s">
        <v>83</v>
      </c>
      <c r="D71" s="8" t="s">
        <v>85</v>
      </c>
      <c r="E71">
        <v>4048</v>
      </c>
      <c r="F71">
        <v>8</v>
      </c>
      <c r="G71" s="8" t="str">
        <f t="shared" si="6"/>
        <v>Cloths</v>
      </c>
    </row>
    <row r="72" spans="1:7" x14ac:dyDescent="0.25">
      <c r="A72" s="2">
        <v>45727</v>
      </c>
      <c r="B72" s="8" t="s">
        <v>78</v>
      </c>
      <c r="C72" s="8" t="s">
        <v>84</v>
      </c>
      <c r="D72" s="8" t="s">
        <v>87</v>
      </c>
      <c r="E72">
        <v>6464</v>
      </c>
      <c r="F72">
        <v>8</v>
      </c>
      <c r="G72" s="8" t="str">
        <f t="shared" si="6"/>
        <v>Appliances</v>
      </c>
    </row>
    <row r="73" spans="1:7" x14ac:dyDescent="0.25">
      <c r="A73" s="2">
        <v>45710</v>
      </c>
      <c r="B73" s="8" t="s">
        <v>73</v>
      </c>
      <c r="C73" s="8" t="s">
        <v>81</v>
      </c>
      <c r="D73" s="8" t="s">
        <v>88</v>
      </c>
      <c r="E73">
        <v>3042</v>
      </c>
      <c r="F73">
        <v>13</v>
      </c>
      <c r="G73" s="8" t="str">
        <f t="shared" si="6"/>
        <v>Footwear</v>
      </c>
    </row>
    <row r="74" spans="1:7" x14ac:dyDescent="0.25">
      <c r="A74" s="2">
        <v>45761</v>
      </c>
      <c r="B74" s="8" t="s">
        <v>80</v>
      </c>
      <c r="C74" s="8" t="s">
        <v>82</v>
      </c>
      <c r="D74" s="8" t="s">
        <v>88</v>
      </c>
      <c r="E74">
        <v>9480</v>
      </c>
      <c r="F74">
        <v>15</v>
      </c>
      <c r="G74" s="8" t="str">
        <f t="shared" si="6"/>
        <v>Electronics</v>
      </c>
    </row>
    <row r="75" spans="1:7" x14ac:dyDescent="0.25">
      <c r="A75" s="2">
        <v>45666</v>
      </c>
      <c r="B75" s="8" t="s">
        <v>75</v>
      </c>
      <c r="C75" s="8" t="s">
        <v>83</v>
      </c>
      <c r="D75" s="8" t="s">
        <v>88</v>
      </c>
      <c r="E75">
        <v>16321</v>
      </c>
      <c r="F75">
        <v>19</v>
      </c>
      <c r="G75" s="8" t="str">
        <f t="shared" si="6"/>
        <v>Cloths</v>
      </c>
    </row>
    <row r="76" spans="1:7" x14ac:dyDescent="0.25">
      <c r="A76" s="2">
        <v>45756</v>
      </c>
      <c r="B76" s="8" t="s">
        <v>74</v>
      </c>
      <c r="C76" s="8" t="s">
        <v>82</v>
      </c>
      <c r="D76" s="8" t="s">
        <v>87</v>
      </c>
      <c r="E76">
        <v>8436</v>
      </c>
      <c r="F76">
        <v>19</v>
      </c>
      <c r="G76" s="8" t="str">
        <f t="shared" si="6"/>
        <v>Electronics</v>
      </c>
    </row>
    <row r="77" spans="1:7" x14ac:dyDescent="0.25">
      <c r="A77" s="2">
        <v>45747</v>
      </c>
      <c r="B77" s="8" t="s">
        <v>74</v>
      </c>
      <c r="C77" s="8" t="s">
        <v>82</v>
      </c>
      <c r="D77" s="8" t="s">
        <v>85</v>
      </c>
      <c r="E77">
        <v>2832</v>
      </c>
      <c r="F77">
        <v>8</v>
      </c>
      <c r="G77" s="8" t="str">
        <f t="shared" si="6"/>
        <v>Electronics</v>
      </c>
    </row>
    <row r="78" spans="1:7" x14ac:dyDescent="0.25">
      <c r="A78" s="2">
        <v>45693</v>
      </c>
      <c r="B78" s="8" t="s">
        <v>79</v>
      </c>
      <c r="C78" s="8" t="s">
        <v>81</v>
      </c>
      <c r="D78" s="8" t="s">
        <v>86</v>
      </c>
      <c r="E78">
        <v>8604</v>
      </c>
      <c r="F78">
        <v>18</v>
      </c>
      <c r="G78" s="8" t="str">
        <f t="shared" si="6"/>
        <v>Footwear</v>
      </c>
    </row>
    <row r="79" spans="1:7" x14ac:dyDescent="0.25">
      <c r="A79" s="2">
        <v>45665</v>
      </c>
      <c r="B79" s="8" t="s">
        <v>73</v>
      </c>
      <c r="C79" s="8" t="s">
        <v>81</v>
      </c>
      <c r="D79" s="8" t="s">
        <v>86</v>
      </c>
      <c r="E79">
        <v>2805</v>
      </c>
      <c r="F79">
        <v>5</v>
      </c>
      <c r="G79" s="8" t="str">
        <f t="shared" si="6"/>
        <v>Footwear</v>
      </c>
    </row>
    <row r="80" spans="1:7" x14ac:dyDescent="0.25">
      <c r="A80" s="2">
        <v>45690</v>
      </c>
      <c r="B80" s="8" t="s">
        <v>79</v>
      </c>
      <c r="C80" s="8" t="s">
        <v>81</v>
      </c>
      <c r="D80" s="8" t="s">
        <v>87</v>
      </c>
      <c r="E80">
        <v>5544</v>
      </c>
      <c r="F80">
        <v>7</v>
      </c>
      <c r="G80" s="8" t="str">
        <f t="shared" si="6"/>
        <v>Footwear</v>
      </c>
    </row>
    <row r="81" spans="1:7" x14ac:dyDescent="0.25">
      <c r="A81" s="2">
        <v>45667</v>
      </c>
      <c r="B81" s="8" t="s">
        <v>77</v>
      </c>
      <c r="C81" s="8" t="s">
        <v>83</v>
      </c>
      <c r="D81" s="8" t="s">
        <v>88</v>
      </c>
      <c r="E81">
        <v>1694</v>
      </c>
      <c r="F81">
        <v>11</v>
      </c>
      <c r="G81" s="8" t="str">
        <f t="shared" si="6"/>
        <v>Cloths</v>
      </c>
    </row>
    <row r="82" spans="1:7" x14ac:dyDescent="0.25">
      <c r="A82" s="2">
        <v>45665</v>
      </c>
      <c r="B82" s="8" t="s">
        <v>75</v>
      </c>
      <c r="C82" s="8" t="s">
        <v>83</v>
      </c>
      <c r="D82" s="8" t="s">
        <v>86</v>
      </c>
      <c r="E82">
        <v>5760</v>
      </c>
      <c r="F82">
        <v>9</v>
      </c>
      <c r="G82" s="8" t="str">
        <f t="shared" si="6"/>
        <v>Cloths</v>
      </c>
    </row>
    <row r="83" spans="1:7" x14ac:dyDescent="0.25">
      <c r="A83" s="2">
        <v>45712</v>
      </c>
      <c r="B83" s="8" t="s">
        <v>78</v>
      </c>
      <c r="C83" s="8" t="s">
        <v>84</v>
      </c>
      <c r="D83" s="8" t="s">
        <v>85</v>
      </c>
      <c r="E83">
        <v>8550</v>
      </c>
      <c r="F83">
        <v>10</v>
      </c>
      <c r="G83" s="8" t="str">
        <f t="shared" si="6"/>
        <v>Appliances</v>
      </c>
    </row>
    <row r="84" spans="1:7" x14ac:dyDescent="0.25">
      <c r="A84" s="2">
        <v>45668</v>
      </c>
      <c r="B84" s="8" t="s">
        <v>79</v>
      </c>
      <c r="C84" s="8" t="s">
        <v>81</v>
      </c>
      <c r="D84" s="8" t="s">
        <v>86</v>
      </c>
      <c r="E84">
        <v>1220</v>
      </c>
      <c r="F84">
        <v>5</v>
      </c>
      <c r="G84" s="8" t="str">
        <f t="shared" si="6"/>
        <v>Footwear</v>
      </c>
    </row>
    <row r="85" spans="1:7" x14ac:dyDescent="0.25">
      <c r="A85" s="2">
        <v>45777</v>
      </c>
      <c r="B85" s="8" t="s">
        <v>77</v>
      </c>
      <c r="C85" s="8" t="s">
        <v>83</v>
      </c>
      <c r="D85" s="8" t="s">
        <v>88</v>
      </c>
      <c r="E85">
        <v>2490</v>
      </c>
      <c r="F85">
        <v>15</v>
      </c>
      <c r="G85" s="8" t="str">
        <f t="shared" si="6"/>
        <v>Cloths</v>
      </c>
    </row>
    <row r="86" spans="1:7" x14ac:dyDescent="0.25">
      <c r="A86" s="2">
        <v>45731</v>
      </c>
      <c r="B86" s="8" t="s">
        <v>73</v>
      </c>
      <c r="C86" s="8" t="s">
        <v>81</v>
      </c>
      <c r="D86" s="8" t="s">
        <v>88</v>
      </c>
      <c r="E86">
        <v>3225</v>
      </c>
      <c r="F86">
        <v>15</v>
      </c>
      <c r="G86" s="8" t="str">
        <f t="shared" si="6"/>
        <v>Footwear</v>
      </c>
    </row>
    <row r="87" spans="1:7" x14ac:dyDescent="0.25">
      <c r="A87" s="2">
        <v>45725</v>
      </c>
      <c r="B87" s="8" t="s">
        <v>79</v>
      </c>
      <c r="C87" s="8" t="s">
        <v>81</v>
      </c>
      <c r="D87" s="8" t="s">
        <v>88</v>
      </c>
      <c r="E87">
        <v>7930</v>
      </c>
      <c r="F87">
        <v>13</v>
      </c>
      <c r="G87" s="8" t="str">
        <f t="shared" si="6"/>
        <v>Footwear</v>
      </c>
    </row>
    <row r="88" spans="1:7" x14ac:dyDescent="0.25">
      <c r="A88" s="2">
        <v>45756</v>
      </c>
      <c r="B88" s="8" t="s">
        <v>78</v>
      </c>
      <c r="C88" s="8" t="s">
        <v>84</v>
      </c>
      <c r="D88" s="8" t="s">
        <v>85</v>
      </c>
      <c r="E88">
        <v>12920</v>
      </c>
      <c r="F88">
        <v>19</v>
      </c>
      <c r="G88" s="8" t="str">
        <f t="shared" si="6"/>
        <v>Appliances</v>
      </c>
    </row>
    <row r="89" spans="1:7" x14ac:dyDescent="0.25">
      <c r="A89" s="2">
        <v>45725</v>
      </c>
      <c r="B89" s="8" t="s">
        <v>77</v>
      </c>
      <c r="C89" s="8" t="s">
        <v>83</v>
      </c>
      <c r="D89" s="8" t="s">
        <v>85</v>
      </c>
      <c r="E89">
        <v>4685</v>
      </c>
      <c r="F89">
        <v>5</v>
      </c>
      <c r="G89" s="8" t="str">
        <f t="shared" si="6"/>
        <v>Cloths</v>
      </c>
    </row>
    <row r="90" spans="1:7" x14ac:dyDescent="0.25">
      <c r="A90" s="2">
        <v>45694</v>
      </c>
      <c r="B90" s="8" t="s">
        <v>74</v>
      </c>
      <c r="C90" s="8" t="s">
        <v>82</v>
      </c>
      <c r="D90" s="8" t="s">
        <v>88</v>
      </c>
      <c r="E90">
        <v>808</v>
      </c>
      <c r="F90">
        <v>8</v>
      </c>
      <c r="G90" s="8" t="str">
        <f t="shared" si="6"/>
        <v>Electronics</v>
      </c>
    </row>
    <row r="91" spans="1:7" x14ac:dyDescent="0.25">
      <c r="A91" s="2">
        <v>45749</v>
      </c>
      <c r="B91" s="8" t="s">
        <v>76</v>
      </c>
      <c r="C91" s="8" t="s">
        <v>84</v>
      </c>
      <c r="D91" s="8" t="s">
        <v>85</v>
      </c>
      <c r="E91">
        <v>1592</v>
      </c>
      <c r="F91">
        <v>4</v>
      </c>
      <c r="G91" s="8" t="str">
        <f t="shared" si="6"/>
        <v>Appliances</v>
      </c>
    </row>
    <row r="92" spans="1:7" x14ac:dyDescent="0.25">
      <c r="A92" s="2">
        <v>45778</v>
      </c>
      <c r="B92" s="8" t="s">
        <v>75</v>
      </c>
      <c r="C92" s="8" t="s">
        <v>83</v>
      </c>
      <c r="D92" s="8" t="s">
        <v>86</v>
      </c>
      <c r="E92">
        <v>14860</v>
      </c>
      <c r="F92">
        <v>20</v>
      </c>
      <c r="G92" s="8" t="str">
        <f t="shared" si="6"/>
        <v>Cloths</v>
      </c>
    </row>
    <row r="93" spans="1:7" x14ac:dyDescent="0.25">
      <c r="A93" s="2">
        <v>45658</v>
      </c>
      <c r="B93" s="8" t="s">
        <v>78</v>
      </c>
      <c r="C93" s="8" t="s">
        <v>84</v>
      </c>
      <c r="D93" s="8" t="s">
        <v>86</v>
      </c>
      <c r="E93">
        <v>8040</v>
      </c>
      <c r="F93">
        <v>10</v>
      </c>
      <c r="G93" s="8" t="str">
        <f t="shared" si="6"/>
        <v>Appliances</v>
      </c>
    </row>
    <row r="94" spans="1:7" x14ac:dyDescent="0.25">
      <c r="A94" s="2">
        <v>45762</v>
      </c>
      <c r="B94" s="8" t="s">
        <v>78</v>
      </c>
      <c r="C94" s="8" t="s">
        <v>84</v>
      </c>
      <c r="D94" s="8" t="s">
        <v>87</v>
      </c>
      <c r="E94">
        <v>3880</v>
      </c>
      <c r="F94">
        <v>20</v>
      </c>
      <c r="G94" s="8" t="str">
        <f t="shared" si="6"/>
        <v>Appliances</v>
      </c>
    </row>
    <row r="95" spans="1:7" x14ac:dyDescent="0.25">
      <c r="A95" s="2">
        <v>45765</v>
      </c>
      <c r="B95" s="8" t="s">
        <v>75</v>
      </c>
      <c r="C95" s="8" t="s">
        <v>83</v>
      </c>
      <c r="D95" s="8" t="s">
        <v>87</v>
      </c>
      <c r="E95">
        <v>2522</v>
      </c>
      <c r="F95">
        <v>13</v>
      </c>
      <c r="G95" s="8" t="str">
        <f t="shared" si="6"/>
        <v>Cloths</v>
      </c>
    </row>
    <row r="96" spans="1:7" x14ac:dyDescent="0.25">
      <c r="A96" s="2">
        <v>45701</v>
      </c>
      <c r="B96" s="8" t="s">
        <v>76</v>
      </c>
      <c r="C96" s="8" t="s">
        <v>84</v>
      </c>
      <c r="D96" s="8" t="s">
        <v>85</v>
      </c>
      <c r="E96">
        <v>852</v>
      </c>
      <c r="F96">
        <v>2</v>
      </c>
      <c r="G96" s="8" t="str">
        <f t="shared" si="6"/>
        <v>Appliances</v>
      </c>
    </row>
    <row r="97" spans="1:7" x14ac:dyDescent="0.25">
      <c r="A97" s="2">
        <v>45727</v>
      </c>
      <c r="B97" s="8" t="s">
        <v>73</v>
      </c>
      <c r="C97" s="8" t="s">
        <v>81</v>
      </c>
      <c r="D97" s="8" t="s">
        <v>85</v>
      </c>
      <c r="E97">
        <v>1185</v>
      </c>
      <c r="F97">
        <v>5</v>
      </c>
      <c r="G97" s="8" t="str">
        <f t="shared" si="6"/>
        <v>Footwear</v>
      </c>
    </row>
    <row r="98" spans="1:7" x14ac:dyDescent="0.25">
      <c r="A98" s="2">
        <v>45741</v>
      </c>
      <c r="B98" s="8" t="s">
        <v>73</v>
      </c>
      <c r="C98" s="8" t="s">
        <v>81</v>
      </c>
      <c r="D98" s="8" t="s">
        <v>85</v>
      </c>
      <c r="E98">
        <v>1836</v>
      </c>
      <c r="F98">
        <v>12</v>
      </c>
      <c r="G98" s="8" t="str">
        <f t="shared" si="6"/>
        <v>Footwear</v>
      </c>
    </row>
    <row r="99" spans="1:7" x14ac:dyDescent="0.25">
      <c r="A99" s="2">
        <v>45679</v>
      </c>
      <c r="B99" s="8" t="s">
        <v>80</v>
      </c>
      <c r="C99" s="8" t="s">
        <v>82</v>
      </c>
      <c r="D99" s="8" t="s">
        <v>87</v>
      </c>
      <c r="E99">
        <v>3835</v>
      </c>
      <c r="F99">
        <v>5</v>
      </c>
      <c r="G99" s="8" t="str">
        <f t="shared" si="6"/>
        <v>Electronics</v>
      </c>
    </row>
    <row r="100" spans="1:7" x14ac:dyDescent="0.25">
      <c r="A100" s="2">
        <v>45711</v>
      </c>
      <c r="B100" s="8" t="s">
        <v>75</v>
      </c>
      <c r="C100" s="8" t="s">
        <v>83</v>
      </c>
      <c r="D100" s="8" t="s">
        <v>85</v>
      </c>
      <c r="E100">
        <v>2460</v>
      </c>
      <c r="F100">
        <v>12</v>
      </c>
      <c r="G100" s="8" t="str">
        <f t="shared" si="6"/>
        <v>Cloths</v>
      </c>
    </row>
    <row r="101" spans="1:7" x14ac:dyDescent="0.25">
      <c r="A101" s="2">
        <v>45693</v>
      </c>
      <c r="B101" s="8" t="s">
        <v>78</v>
      </c>
      <c r="C101" s="8" t="s">
        <v>84</v>
      </c>
      <c r="D101" s="8" t="s">
        <v>88</v>
      </c>
      <c r="E101">
        <v>3941</v>
      </c>
      <c r="F101">
        <v>7</v>
      </c>
      <c r="G101" s="8" t="str">
        <f t="shared" si="6"/>
        <v>Appliances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6F5E6-B6F4-49DA-B450-2C142D715729}">
  <dimension ref="A1:R101"/>
  <sheetViews>
    <sheetView topLeftCell="A7" workbookViewId="0">
      <selection activeCell="O28" sqref="O28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3" width="11.140625" bestFit="1" customWidth="1"/>
    <col min="4" max="4" width="9.42578125" bestFit="1" customWidth="1"/>
    <col min="5" max="5" width="15.5703125" bestFit="1" customWidth="1"/>
    <col min="6" max="6" width="15.42578125" bestFit="1" customWidth="1"/>
    <col min="13" max="13" width="10.5703125" bestFit="1" customWidth="1"/>
    <col min="14" max="14" width="12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8" x14ac:dyDescent="0.25">
      <c r="A2" s="2">
        <v>45697</v>
      </c>
      <c r="B2" s="8" t="s">
        <v>73</v>
      </c>
      <c r="C2" s="8" t="s">
        <v>81</v>
      </c>
      <c r="D2" s="8" t="s">
        <v>85</v>
      </c>
      <c r="E2">
        <v>4053</v>
      </c>
      <c r="F2">
        <v>18</v>
      </c>
    </row>
    <row r="3" spans="1:18" x14ac:dyDescent="0.25">
      <c r="A3" s="2">
        <v>45734</v>
      </c>
      <c r="B3" s="8" t="s">
        <v>74</v>
      </c>
      <c r="C3" s="8" t="s">
        <v>82</v>
      </c>
      <c r="D3" s="8" t="s">
        <v>86</v>
      </c>
      <c r="E3">
        <v>7875</v>
      </c>
      <c r="F3">
        <v>15</v>
      </c>
    </row>
    <row r="4" spans="1:18" x14ac:dyDescent="0.25">
      <c r="A4" s="2">
        <v>45676</v>
      </c>
      <c r="B4" s="8" t="s">
        <v>75</v>
      </c>
      <c r="C4" s="8" t="s">
        <v>83</v>
      </c>
      <c r="D4" s="8" t="s">
        <v>85</v>
      </c>
      <c r="E4">
        <v>5832</v>
      </c>
      <c r="F4">
        <v>6</v>
      </c>
    </row>
    <row r="5" spans="1:18" x14ac:dyDescent="0.25">
      <c r="A5" s="2">
        <v>45694</v>
      </c>
      <c r="B5" s="8" t="s">
        <v>76</v>
      </c>
      <c r="C5" s="8" t="s">
        <v>84</v>
      </c>
      <c r="D5" s="8" t="s">
        <v>85</v>
      </c>
      <c r="E5">
        <v>676</v>
      </c>
      <c r="F5">
        <v>4</v>
      </c>
    </row>
    <row r="6" spans="1:18" x14ac:dyDescent="0.25">
      <c r="A6" s="2">
        <v>45693</v>
      </c>
      <c r="B6" s="8" t="s">
        <v>74</v>
      </c>
      <c r="C6" s="8" t="s">
        <v>82</v>
      </c>
      <c r="D6" s="8" t="s">
        <v>87</v>
      </c>
      <c r="E6">
        <v>6560</v>
      </c>
      <c r="F6">
        <v>10</v>
      </c>
    </row>
    <row r="7" spans="1:18" x14ac:dyDescent="0.25">
      <c r="A7" s="2">
        <v>45775</v>
      </c>
      <c r="B7" s="8" t="s">
        <v>76</v>
      </c>
      <c r="C7" s="8" t="s">
        <v>84</v>
      </c>
      <c r="D7" s="8" t="s">
        <v>87</v>
      </c>
      <c r="E7">
        <v>1905</v>
      </c>
      <c r="F7">
        <v>5</v>
      </c>
    </row>
    <row r="8" spans="1:18" ht="15.75" thickBot="1" x14ac:dyDescent="0.3">
      <c r="A8" s="2">
        <v>45720</v>
      </c>
      <c r="B8" s="8" t="s">
        <v>77</v>
      </c>
      <c r="C8" s="8" t="s">
        <v>83</v>
      </c>
      <c r="D8" s="8" t="s">
        <v>86</v>
      </c>
      <c r="E8">
        <v>6948</v>
      </c>
      <c r="F8">
        <v>18</v>
      </c>
      <c r="H8" s="12" t="s">
        <v>151</v>
      </c>
      <c r="J8" s="12" t="s">
        <v>156</v>
      </c>
      <c r="L8" s="12" t="s">
        <v>90</v>
      </c>
      <c r="N8" s="12" t="s">
        <v>152</v>
      </c>
      <c r="P8" s="12" t="s">
        <v>153</v>
      </c>
      <c r="R8" s="12" t="s">
        <v>154</v>
      </c>
    </row>
    <row r="9" spans="1:18" ht="15.75" thickTop="1" x14ac:dyDescent="0.25">
      <c r="A9" s="2">
        <v>45764</v>
      </c>
      <c r="B9" s="8" t="s">
        <v>77</v>
      </c>
      <c r="C9" s="8" t="s">
        <v>83</v>
      </c>
      <c r="D9" s="8" t="s">
        <v>85</v>
      </c>
      <c r="E9">
        <v>1944</v>
      </c>
      <c r="F9">
        <v>18</v>
      </c>
      <c r="G9">
        <v>1</v>
      </c>
      <c r="H9" s="11">
        <f>PRODUCT(E2,F2)</f>
        <v>72954</v>
      </c>
      <c r="J9" s="11">
        <f>MOD(E2,F2)</f>
        <v>3</v>
      </c>
      <c r="L9" s="11">
        <f>SQRT(F2)</f>
        <v>4.2426406871192848</v>
      </c>
      <c r="N9" s="13">
        <f>FACT(G9)</f>
        <v>1</v>
      </c>
      <c r="P9" s="10">
        <f>ROUNDUP(L9,1)</f>
        <v>4.3</v>
      </c>
      <c r="R9" s="10">
        <f>ROUNDDOWN(L9,1)</f>
        <v>4.2</v>
      </c>
    </row>
    <row r="10" spans="1:18" x14ac:dyDescent="0.25">
      <c r="A10" s="2">
        <v>45735</v>
      </c>
      <c r="B10" s="8" t="s">
        <v>78</v>
      </c>
      <c r="C10" s="8" t="s">
        <v>84</v>
      </c>
      <c r="D10" s="8" t="s">
        <v>85</v>
      </c>
      <c r="E10">
        <v>7776</v>
      </c>
      <c r="F10">
        <v>8</v>
      </c>
      <c r="G10">
        <v>2</v>
      </c>
      <c r="H10" s="11">
        <f t="shared" ref="H10:H24" si="0">PRODUCT(E3,F3)</f>
        <v>118125</v>
      </c>
      <c r="J10" s="11">
        <f t="shared" ref="J10:J31" si="1">MOD(E3,F3)</f>
        <v>0</v>
      </c>
      <c r="L10" s="11">
        <f t="shared" ref="L10:L24" si="2">SQRT(F3)</f>
        <v>3.872983346207417</v>
      </c>
      <c r="N10" s="13">
        <f t="shared" ref="N10:N24" si="3">FACT(G10)</f>
        <v>2</v>
      </c>
      <c r="P10" s="10">
        <f t="shared" ref="P10:P24" si="4">ROUNDUP(L10,1)</f>
        <v>3.9</v>
      </c>
      <c r="R10" s="10">
        <f t="shared" ref="R10:R24" si="5">ROUNDDOWN(L10,1)</f>
        <v>3.8</v>
      </c>
    </row>
    <row r="11" spans="1:18" x14ac:dyDescent="0.25">
      <c r="A11" s="2">
        <v>45778</v>
      </c>
      <c r="B11" s="8" t="s">
        <v>74</v>
      </c>
      <c r="C11" s="8" t="s">
        <v>82</v>
      </c>
      <c r="D11" s="8" t="s">
        <v>86</v>
      </c>
      <c r="E11">
        <v>2790</v>
      </c>
      <c r="F11">
        <v>18</v>
      </c>
      <c r="G11">
        <v>3</v>
      </c>
      <c r="H11" s="11">
        <f t="shared" si="0"/>
        <v>34992</v>
      </c>
      <c r="J11" s="11">
        <f t="shared" si="1"/>
        <v>0</v>
      </c>
      <c r="L11" s="11">
        <f t="shared" si="2"/>
        <v>2.4494897427831779</v>
      </c>
      <c r="N11" s="13">
        <f t="shared" si="3"/>
        <v>6</v>
      </c>
      <c r="P11" s="10">
        <f t="shared" si="4"/>
        <v>2.5</v>
      </c>
      <c r="R11" s="10">
        <f t="shared" si="5"/>
        <v>2.4</v>
      </c>
    </row>
    <row r="12" spans="1:18" x14ac:dyDescent="0.25">
      <c r="A12" s="2">
        <v>45693</v>
      </c>
      <c r="B12" s="8" t="s">
        <v>75</v>
      </c>
      <c r="C12" s="8" t="s">
        <v>83</v>
      </c>
      <c r="D12" s="8" t="s">
        <v>86</v>
      </c>
      <c r="E12">
        <v>7995</v>
      </c>
      <c r="F12">
        <v>13</v>
      </c>
      <c r="G12">
        <v>4</v>
      </c>
      <c r="H12" s="11">
        <f t="shared" si="0"/>
        <v>2704</v>
      </c>
      <c r="J12" s="11">
        <f t="shared" si="1"/>
        <v>0</v>
      </c>
      <c r="L12" s="11">
        <f t="shared" si="2"/>
        <v>2</v>
      </c>
      <c r="N12" s="13">
        <f t="shared" si="3"/>
        <v>24</v>
      </c>
      <c r="P12" s="10">
        <f t="shared" si="4"/>
        <v>2</v>
      </c>
      <c r="R12" s="10">
        <f t="shared" si="5"/>
        <v>2</v>
      </c>
    </row>
    <row r="13" spans="1:18" x14ac:dyDescent="0.25">
      <c r="A13" s="2">
        <v>45677</v>
      </c>
      <c r="B13" s="8" t="s">
        <v>75</v>
      </c>
      <c r="C13" s="8" t="s">
        <v>83</v>
      </c>
      <c r="D13" s="8" t="s">
        <v>85</v>
      </c>
      <c r="E13">
        <v>9984</v>
      </c>
      <c r="F13">
        <v>13</v>
      </c>
      <c r="G13">
        <v>5</v>
      </c>
      <c r="H13" s="11">
        <f t="shared" si="0"/>
        <v>65600</v>
      </c>
      <c r="J13" s="11">
        <f t="shared" si="1"/>
        <v>0</v>
      </c>
      <c r="L13" s="11">
        <f t="shared" si="2"/>
        <v>3.1622776601683795</v>
      </c>
      <c r="N13" s="13">
        <f t="shared" si="3"/>
        <v>120</v>
      </c>
      <c r="P13" s="10">
        <f t="shared" si="4"/>
        <v>3.2</v>
      </c>
      <c r="R13" s="10">
        <f t="shared" si="5"/>
        <v>3.1</v>
      </c>
    </row>
    <row r="14" spans="1:18" x14ac:dyDescent="0.25">
      <c r="A14" s="2">
        <v>45739</v>
      </c>
      <c r="B14" s="8" t="s">
        <v>75</v>
      </c>
      <c r="C14" s="8" t="s">
        <v>83</v>
      </c>
      <c r="D14" s="8" t="s">
        <v>87</v>
      </c>
      <c r="E14">
        <v>7682</v>
      </c>
      <c r="F14">
        <v>13</v>
      </c>
      <c r="G14">
        <v>6</v>
      </c>
      <c r="H14" s="11">
        <f t="shared" si="0"/>
        <v>9525</v>
      </c>
      <c r="J14" s="11">
        <f t="shared" si="1"/>
        <v>0</v>
      </c>
      <c r="L14" s="11">
        <f t="shared" si="2"/>
        <v>2.2360679774997898</v>
      </c>
      <c r="N14" s="13">
        <f t="shared" si="3"/>
        <v>720</v>
      </c>
      <c r="P14" s="10">
        <f t="shared" si="4"/>
        <v>2.3000000000000003</v>
      </c>
      <c r="R14" s="10">
        <f t="shared" si="5"/>
        <v>2.2000000000000002</v>
      </c>
    </row>
    <row r="15" spans="1:18" x14ac:dyDescent="0.25">
      <c r="A15" s="2">
        <v>45699</v>
      </c>
      <c r="B15" s="8" t="s">
        <v>76</v>
      </c>
      <c r="C15" s="8" t="s">
        <v>84</v>
      </c>
      <c r="D15" s="8" t="s">
        <v>88</v>
      </c>
      <c r="E15">
        <v>6885</v>
      </c>
      <c r="F15">
        <v>9</v>
      </c>
      <c r="G15">
        <v>7</v>
      </c>
      <c r="H15" s="11">
        <f t="shared" si="0"/>
        <v>125064</v>
      </c>
      <c r="J15" s="11">
        <f t="shared" si="1"/>
        <v>0</v>
      </c>
      <c r="L15" s="11">
        <f t="shared" si="2"/>
        <v>4.2426406871192848</v>
      </c>
      <c r="N15" s="13">
        <f t="shared" si="3"/>
        <v>5040</v>
      </c>
      <c r="P15" s="10">
        <f t="shared" si="4"/>
        <v>4.3</v>
      </c>
      <c r="R15" s="10">
        <f t="shared" si="5"/>
        <v>4.2</v>
      </c>
    </row>
    <row r="16" spans="1:18" x14ac:dyDescent="0.25">
      <c r="A16" s="2">
        <v>45767</v>
      </c>
      <c r="B16" s="8" t="s">
        <v>79</v>
      </c>
      <c r="C16" s="8" t="s">
        <v>81</v>
      </c>
      <c r="D16" s="8" t="s">
        <v>87</v>
      </c>
      <c r="E16">
        <v>229</v>
      </c>
      <c r="F16">
        <v>1</v>
      </c>
      <c r="G16">
        <v>8</v>
      </c>
      <c r="H16" s="11">
        <f t="shared" si="0"/>
        <v>34992</v>
      </c>
      <c r="J16" s="11">
        <f t="shared" si="1"/>
        <v>0</v>
      </c>
      <c r="L16" s="11">
        <f t="shared" si="2"/>
        <v>4.2426406871192848</v>
      </c>
      <c r="N16" s="13">
        <f t="shared" si="3"/>
        <v>40320</v>
      </c>
      <c r="P16" s="10">
        <f t="shared" si="4"/>
        <v>4.3</v>
      </c>
      <c r="R16" s="10">
        <f t="shared" si="5"/>
        <v>4.2</v>
      </c>
    </row>
    <row r="17" spans="1:18" x14ac:dyDescent="0.25">
      <c r="A17" s="2">
        <v>45735</v>
      </c>
      <c r="B17" s="8" t="s">
        <v>80</v>
      </c>
      <c r="C17" s="8" t="s">
        <v>82</v>
      </c>
      <c r="D17" s="8" t="s">
        <v>87</v>
      </c>
      <c r="E17">
        <v>6104</v>
      </c>
      <c r="F17">
        <v>7</v>
      </c>
      <c r="G17">
        <v>9</v>
      </c>
      <c r="H17" s="11">
        <f t="shared" si="0"/>
        <v>62208</v>
      </c>
      <c r="J17" s="11">
        <f t="shared" si="1"/>
        <v>0</v>
      </c>
      <c r="L17" s="11">
        <f t="shared" si="2"/>
        <v>2.8284271247461903</v>
      </c>
      <c r="N17" s="13">
        <f t="shared" si="3"/>
        <v>362880</v>
      </c>
      <c r="P17" s="10">
        <f t="shared" si="4"/>
        <v>2.9</v>
      </c>
      <c r="R17" s="10">
        <f t="shared" si="5"/>
        <v>2.8</v>
      </c>
    </row>
    <row r="18" spans="1:18" x14ac:dyDescent="0.25">
      <c r="A18" s="2">
        <v>45722</v>
      </c>
      <c r="B18" s="8" t="s">
        <v>78</v>
      </c>
      <c r="C18" s="8" t="s">
        <v>84</v>
      </c>
      <c r="D18" s="8" t="s">
        <v>85</v>
      </c>
      <c r="E18">
        <v>558</v>
      </c>
      <c r="F18">
        <v>1</v>
      </c>
      <c r="G18">
        <v>10</v>
      </c>
      <c r="H18" s="11">
        <f t="shared" si="0"/>
        <v>50220</v>
      </c>
      <c r="J18" s="11">
        <f t="shared" si="1"/>
        <v>0</v>
      </c>
      <c r="L18" s="11">
        <f t="shared" si="2"/>
        <v>4.2426406871192848</v>
      </c>
      <c r="N18" s="13">
        <f t="shared" si="3"/>
        <v>3628800</v>
      </c>
      <c r="P18" s="10">
        <f t="shared" si="4"/>
        <v>4.3</v>
      </c>
      <c r="R18" s="10">
        <f t="shared" si="5"/>
        <v>4.2</v>
      </c>
    </row>
    <row r="19" spans="1:18" x14ac:dyDescent="0.25">
      <c r="A19" s="2">
        <v>45741</v>
      </c>
      <c r="B19" s="8" t="s">
        <v>76</v>
      </c>
      <c r="C19" s="8" t="s">
        <v>84</v>
      </c>
      <c r="D19" s="8" t="s">
        <v>85</v>
      </c>
      <c r="E19">
        <v>6413</v>
      </c>
      <c r="F19">
        <v>11</v>
      </c>
      <c r="G19">
        <v>11</v>
      </c>
      <c r="H19" s="11">
        <f t="shared" si="0"/>
        <v>103935</v>
      </c>
      <c r="J19" s="11">
        <f t="shared" si="1"/>
        <v>0</v>
      </c>
      <c r="L19" s="11">
        <f t="shared" si="2"/>
        <v>3.6055512754639891</v>
      </c>
      <c r="N19" s="13">
        <f t="shared" si="3"/>
        <v>39916800</v>
      </c>
      <c r="P19" s="10">
        <f t="shared" si="4"/>
        <v>3.7</v>
      </c>
      <c r="R19" s="10">
        <f t="shared" si="5"/>
        <v>3.6</v>
      </c>
    </row>
    <row r="20" spans="1:18" x14ac:dyDescent="0.25">
      <c r="A20" s="2">
        <v>45732</v>
      </c>
      <c r="B20" s="8" t="s">
        <v>74</v>
      </c>
      <c r="C20" s="8" t="s">
        <v>82</v>
      </c>
      <c r="D20" s="8" t="s">
        <v>88</v>
      </c>
      <c r="E20">
        <v>1017</v>
      </c>
      <c r="F20">
        <v>9</v>
      </c>
      <c r="G20">
        <v>12</v>
      </c>
      <c r="H20" s="11">
        <f t="shared" si="0"/>
        <v>129792</v>
      </c>
      <c r="J20" s="11">
        <f t="shared" si="1"/>
        <v>0</v>
      </c>
      <c r="L20" s="11">
        <f t="shared" si="2"/>
        <v>3.6055512754639891</v>
      </c>
      <c r="N20" s="13">
        <f t="shared" si="3"/>
        <v>479001600</v>
      </c>
      <c r="P20" s="10">
        <f t="shared" si="4"/>
        <v>3.7</v>
      </c>
      <c r="R20" s="10">
        <f t="shared" si="5"/>
        <v>3.6</v>
      </c>
    </row>
    <row r="21" spans="1:18" x14ac:dyDescent="0.25">
      <c r="A21" s="2">
        <v>45721</v>
      </c>
      <c r="B21" s="8" t="s">
        <v>80</v>
      </c>
      <c r="C21" s="8" t="s">
        <v>82</v>
      </c>
      <c r="D21" s="8" t="s">
        <v>86</v>
      </c>
      <c r="E21">
        <v>9310</v>
      </c>
      <c r="F21">
        <v>10</v>
      </c>
      <c r="G21">
        <v>13</v>
      </c>
      <c r="H21" s="11">
        <f t="shared" si="0"/>
        <v>99866</v>
      </c>
      <c r="J21" s="11">
        <f t="shared" si="1"/>
        <v>12</v>
      </c>
      <c r="L21" s="11">
        <f t="shared" si="2"/>
        <v>3.6055512754639891</v>
      </c>
      <c r="N21" s="13">
        <f t="shared" si="3"/>
        <v>6227020800</v>
      </c>
      <c r="P21" s="10">
        <f t="shared" si="4"/>
        <v>3.7</v>
      </c>
      <c r="R21" s="10">
        <f t="shared" si="5"/>
        <v>3.6</v>
      </c>
    </row>
    <row r="22" spans="1:18" x14ac:dyDescent="0.25">
      <c r="A22" s="2">
        <v>45703</v>
      </c>
      <c r="B22" s="8" t="s">
        <v>75</v>
      </c>
      <c r="C22" s="8" t="s">
        <v>83</v>
      </c>
      <c r="D22" s="8" t="s">
        <v>87</v>
      </c>
      <c r="E22">
        <v>2560</v>
      </c>
      <c r="F22">
        <v>4</v>
      </c>
      <c r="G22">
        <v>14</v>
      </c>
      <c r="H22" s="11">
        <f t="shared" si="0"/>
        <v>61965</v>
      </c>
      <c r="J22" s="11">
        <f t="shared" si="1"/>
        <v>0</v>
      </c>
      <c r="L22" s="11">
        <f t="shared" si="2"/>
        <v>3</v>
      </c>
      <c r="N22" s="13">
        <f t="shared" si="3"/>
        <v>87178291200</v>
      </c>
      <c r="P22" s="10">
        <f t="shared" si="4"/>
        <v>3</v>
      </c>
      <c r="R22" s="10">
        <f t="shared" si="5"/>
        <v>3</v>
      </c>
    </row>
    <row r="23" spans="1:18" x14ac:dyDescent="0.25">
      <c r="A23" s="2">
        <v>45681</v>
      </c>
      <c r="B23" s="8" t="s">
        <v>76</v>
      </c>
      <c r="C23" s="8" t="s">
        <v>84</v>
      </c>
      <c r="D23" s="8" t="s">
        <v>86</v>
      </c>
      <c r="E23">
        <v>6855</v>
      </c>
      <c r="F23">
        <v>15</v>
      </c>
      <c r="G23">
        <v>15</v>
      </c>
      <c r="H23" s="11">
        <f t="shared" si="0"/>
        <v>229</v>
      </c>
      <c r="J23" s="11">
        <f t="shared" si="1"/>
        <v>0</v>
      </c>
      <c r="L23" s="11">
        <f t="shared" si="2"/>
        <v>1</v>
      </c>
      <c r="N23" s="13">
        <f t="shared" si="3"/>
        <v>1307674368000</v>
      </c>
      <c r="P23" s="10">
        <f t="shared" si="4"/>
        <v>1</v>
      </c>
      <c r="R23" s="10">
        <f t="shared" si="5"/>
        <v>1</v>
      </c>
    </row>
    <row r="24" spans="1:18" x14ac:dyDescent="0.25">
      <c r="A24" s="2">
        <v>45663</v>
      </c>
      <c r="B24" s="8" t="s">
        <v>78</v>
      </c>
      <c r="C24" s="8" t="s">
        <v>84</v>
      </c>
      <c r="D24" s="8" t="s">
        <v>86</v>
      </c>
      <c r="E24">
        <v>7398</v>
      </c>
      <c r="F24">
        <v>9</v>
      </c>
      <c r="G24">
        <v>16</v>
      </c>
      <c r="H24" s="11">
        <f t="shared" si="0"/>
        <v>42728</v>
      </c>
      <c r="J24" s="11">
        <f t="shared" si="1"/>
        <v>0</v>
      </c>
      <c r="L24" s="11">
        <f t="shared" si="2"/>
        <v>2.6457513110645907</v>
      </c>
      <c r="N24" s="13">
        <f t="shared" si="3"/>
        <v>20922789888000</v>
      </c>
      <c r="P24" s="10">
        <f t="shared" si="4"/>
        <v>2.7</v>
      </c>
      <c r="R24" s="10">
        <f t="shared" si="5"/>
        <v>2.6</v>
      </c>
    </row>
    <row r="25" spans="1:18" x14ac:dyDescent="0.25">
      <c r="A25" s="2">
        <v>45660</v>
      </c>
      <c r="B25" s="8" t="s">
        <v>74</v>
      </c>
      <c r="C25" s="8" t="s">
        <v>82</v>
      </c>
      <c r="D25" s="8" t="s">
        <v>85</v>
      </c>
      <c r="E25">
        <v>2094</v>
      </c>
      <c r="F25">
        <v>6</v>
      </c>
    </row>
    <row r="26" spans="1:18" x14ac:dyDescent="0.25">
      <c r="A26" s="2">
        <v>45701</v>
      </c>
      <c r="B26" s="8" t="s">
        <v>74</v>
      </c>
      <c r="C26" s="8" t="s">
        <v>82</v>
      </c>
      <c r="D26" s="8" t="s">
        <v>88</v>
      </c>
      <c r="E26">
        <v>3996</v>
      </c>
      <c r="F26">
        <v>4</v>
      </c>
    </row>
    <row r="27" spans="1:18" x14ac:dyDescent="0.25">
      <c r="A27" s="2">
        <v>45679</v>
      </c>
      <c r="B27" s="8" t="s">
        <v>78</v>
      </c>
      <c r="C27" s="8" t="s">
        <v>84</v>
      </c>
      <c r="D27" s="8" t="s">
        <v>87</v>
      </c>
      <c r="E27">
        <v>4884</v>
      </c>
      <c r="F27">
        <v>6</v>
      </c>
    </row>
    <row r="28" spans="1:18" x14ac:dyDescent="0.25">
      <c r="A28" s="2">
        <v>45693</v>
      </c>
      <c r="B28" s="8" t="s">
        <v>77</v>
      </c>
      <c r="C28" s="8" t="s">
        <v>83</v>
      </c>
      <c r="D28" s="8" t="s">
        <v>88</v>
      </c>
      <c r="E28">
        <v>1767</v>
      </c>
      <c r="F28">
        <v>3</v>
      </c>
    </row>
    <row r="29" spans="1:18" x14ac:dyDescent="0.25">
      <c r="A29" s="2">
        <v>45744</v>
      </c>
      <c r="B29" s="8" t="s">
        <v>78</v>
      </c>
      <c r="C29" s="8" t="s">
        <v>84</v>
      </c>
      <c r="D29" s="8" t="s">
        <v>85</v>
      </c>
      <c r="E29">
        <v>7840</v>
      </c>
      <c r="F29">
        <v>14</v>
      </c>
    </row>
    <row r="30" spans="1:18" x14ac:dyDescent="0.25">
      <c r="A30" s="2">
        <v>45670</v>
      </c>
      <c r="B30" s="8" t="s">
        <v>78</v>
      </c>
      <c r="C30" s="8" t="s">
        <v>84</v>
      </c>
      <c r="D30" s="8" t="s">
        <v>86</v>
      </c>
      <c r="E30">
        <v>4806</v>
      </c>
      <c r="F30">
        <v>6</v>
      </c>
      <c r="I30" s="15" t="s">
        <v>158</v>
      </c>
      <c r="J30" s="16">
        <f>SUM(E:E)</f>
        <v>528122</v>
      </c>
      <c r="L30" s="14" t="s">
        <v>2</v>
      </c>
      <c r="M30" s="3" t="s">
        <v>82</v>
      </c>
      <c r="O30" s="16" t="s">
        <v>160</v>
      </c>
      <c r="P30" s="15">
        <f>AVERAGE(E:E)</f>
        <v>5281.22</v>
      </c>
    </row>
    <row r="31" spans="1:18" x14ac:dyDescent="0.25">
      <c r="A31" s="2">
        <v>45716</v>
      </c>
      <c r="B31" s="8" t="s">
        <v>78</v>
      </c>
      <c r="C31" s="8" t="s">
        <v>84</v>
      </c>
      <c r="D31" s="8" t="s">
        <v>88</v>
      </c>
      <c r="E31">
        <v>2598</v>
      </c>
      <c r="F31">
        <v>3</v>
      </c>
    </row>
    <row r="32" spans="1:18" ht="15.75" thickBot="1" x14ac:dyDescent="0.3">
      <c r="A32" s="2">
        <v>45762</v>
      </c>
      <c r="B32" s="8" t="s">
        <v>73</v>
      </c>
      <c r="C32" s="8" t="s">
        <v>81</v>
      </c>
      <c r="D32" s="8" t="s">
        <v>88</v>
      </c>
      <c r="E32">
        <v>12920</v>
      </c>
      <c r="F32">
        <v>17</v>
      </c>
      <c r="I32" s="12" t="s">
        <v>157</v>
      </c>
      <c r="K32" s="12" t="s">
        <v>155</v>
      </c>
      <c r="O32" s="12" t="s">
        <v>161</v>
      </c>
      <c r="Q32" s="12" t="s">
        <v>162</v>
      </c>
    </row>
    <row r="33" spans="1:17" ht="15.75" thickTop="1" x14ac:dyDescent="0.25">
      <c r="A33" s="2">
        <v>45692</v>
      </c>
      <c r="B33" s="8" t="s">
        <v>77</v>
      </c>
      <c r="C33" s="8" t="s">
        <v>83</v>
      </c>
      <c r="D33" s="8" t="s">
        <v>85</v>
      </c>
      <c r="E33">
        <v>2134</v>
      </c>
      <c r="F33">
        <v>11</v>
      </c>
      <c r="H33" s="14" t="s">
        <v>85</v>
      </c>
      <c r="I33" s="3">
        <f>SUMIF(D:D,H33,E:E)</f>
        <v>171874</v>
      </c>
      <c r="K33" s="3">
        <f>SUMIFS(E:E,D:D,H33,C:C,$M$30)</f>
        <v>12291</v>
      </c>
      <c r="O33" s="3">
        <f>AVERAGEIF(D:D,H33,E:E)</f>
        <v>4774.2777777777774</v>
      </c>
      <c r="Q33" s="3">
        <f>AVERAGEIFS(E:E,D:D,H33,C:C,$M$30)</f>
        <v>2458.1999999999998</v>
      </c>
    </row>
    <row r="34" spans="1:17" x14ac:dyDescent="0.25">
      <c r="A34" s="2">
        <v>45747</v>
      </c>
      <c r="B34" s="8" t="s">
        <v>79</v>
      </c>
      <c r="C34" s="8" t="s">
        <v>81</v>
      </c>
      <c r="D34" s="8" t="s">
        <v>86</v>
      </c>
      <c r="E34">
        <v>311</v>
      </c>
      <c r="F34">
        <v>1</v>
      </c>
      <c r="H34" s="14" t="s">
        <v>87</v>
      </c>
      <c r="I34" s="3">
        <f t="shared" ref="I34:I36" si="6">SUMIF(D:D,H34,E:E)</f>
        <v>107838</v>
      </c>
      <c r="K34" s="3">
        <f>SUMIFS(E:E,D:D,H34,C:C,$M$30)</f>
        <v>39253</v>
      </c>
      <c r="O34" s="3">
        <f t="shared" ref="O34:O36" si="7">AVERAGEIF(D:D,H34,E:E)</f>
        <v>5135.1428571428569</v>
      </c>
      <c r="Q34" s="3">
        <f>AVERAGEIFS(E:E,D:D,H34,C:C,$M$30)</f>
        <v>5607.5714285714284</v>
      </c>
    </row>
    <row r="35" spans="1:17" x14ac:dyDescent="0.25">
      <c r="A35" s="2">
        <v>45714</v>
      </c>
      <c r="B35" s="8" t="s">
        <v>73</v>
      </c>
      <c r="C35" s="8" t="s">
        <v>81</v>
      </c>
      <c r="D35" s="8" t="s">
        <v>85</v>
      </c>
      <c r="E35">
        <v>2388</v>
      </c>
      <c r="F35">
        <v>3</v>
      </c>
      <c r="H35" s="14" t="s">
        <v>88</v>
      </c>
      <c r="I35" s="3">
        <f t="shared" si="6"/>
        <v>137638</v>
      </c>
      <c r="K35" s="3">
        <f>SUMIFS(E:E,D:D,H35,C:C,$M$30)</f>
        <v>49021</v>
      </c>
      <c r="O35" s="3">
        <f t="shared" si="7"/>
        <v>5293.7692307692305</v>
      </c>
      <c r="Q35" s="3">
        <f>AVERAGEIFS(E:E,D:D,H35,C:C,$M$30)</f>
        <v>4902.1000000000004</v>
      </c>
    </row>
    <row r="36" spans="1:17" x14ac:dyDescent="0.25">
      <c r="A36" s="2">
        <v>45748</v>
      </c>
      <c r="B36" s="8" t="s">
        <v>76</v>
      </c>
      <c r="C36" s="8" t="s">
        <v>84</v>
      </c>
      <c r="D36" s="8" t="s">
        <v>85</v>
      </c>
      <c r="E36">
        <v>2853</v>
      </c>
      <c r="F36">
        <v>9</v>
      </c>
      <c r="H36" s="14" t="s">
        <v>86</v>
      </c>
      <c r="I36" s="3">
        <f t="shared" si="6"/>
        <v>110772</v>
      </c>
      <c r="K36" s="3">
        <f>SUMIFS(E:E,D:D,H36,C:C,$M$30)</f>
        <v>27775</v>
      </c>
      <c r="O36" s="3">
        <f t="shared" si="7"/>
        <v>6516</v>
      </c>
      <c r="Q36" s="3">
        <f>AVERAGEIFS(E:E,D:D,H36,C:C,$M$30)</f>
        <v>6943.75</v>
      </c>
    </row>
    <row r="37" spans="1:17" x14ac:dyDescent="0.25">
      <c r="A37" s="2">
        <v>45677</v>
      </c>
      <c r="B37" s="8" t="s">
        <v>80</v>
      </c>
      <c r="C37" s="8" t="s">
        <v>82</v>
      </c>
      <c r="D37" s="8" t="s">
        <v>88</v>
      </c>
      <c r="E37">
        <v>4382</v>
      </c>
      <c r="F37">
        <v>7</v>
      </c>
    </row>
    <row r="38" spans="1:17" x14ac:dyDescent="0.25">
      <c r="A38" s="2">
        <v>45749</v>
      </c>
      <c r="B38" s="8" t="s">
        <v>73</v>
      </c>
      <c r="C38" s="8" t="s">
        <v>81</v>
      </c>
      <c r="D38" s="8" t="s">
        <v>85</v>
      </c>
      <c r="E38">
        <v>2690</v>
      </c>
      <c r="F38">
        <v>5</v>
      </c>
      <c r="H38" s="15" t="s">
        <v>159</v>
      </c>
      <c r="I38" s="16">
        <f>SUM(I33:I36)</f>
        <v>528122</v>
      </c>
    </row>
    <row r="39" spans="1:17" x14ac:dyDescent="0.25">
      <c r="A39" s="2">
        <v>45697</v>
      </c>
      <c r="B39" s="8" t="s">
        <v>77</v>
      </c>
      <c r="C39" s="8" t="s">
        <v>83</v>
      </c>
      <c r="D39" s="8" t="s">
        <v>87</v>
      </c>
      <c r="E39">
        <v>399</v>
      </c>
      <c r="F39">
        <v>3</v>
      </c>
    </row>
    <row r="40" spans="1:17" x14ac:dyDescent="0.25">
      <c r="A40" s="2">
        <v>45670</v>
      </c>
      <c r="B40" s="8" t="s">
        <v>74</v>
      </c>
      <c r="C40" s="8" t="s">
        <v>82</v>
      </c>
      <c r="D40" s="8" t="s">
        <v>85</v>
      </c>
      <c r="E40">
        <v>4459</v>
      </c>
      <c r="F40">
        <v>7</v>
      </c>
    </row>
    <row r="41" spans="1:17" x14ac:dyDescent="0.25">
      <c r="A41" s="2">
        <v>45704</v>
      </c>
      <c r="B41" s="8" t="s">
        <v>74</v>
      </c>
      <c r="C41" s="8" t="s">
        <v>82</v>
      </c>
      <c r="D41" s="8" t="s">
        <v>85</v>
      </c>
      <c r="E41">
        <v>2274</v>
      </c>
      <c r="F41">
        <v>3</v>
      </c>
    </row>
    <row r="42" spans="1:17" x14ac:dyDescent="0.25">
      <c r="A42" s="2">
        <v>45725</v>
      </c>
      <c r="B42" s="8" t="s">
        <v>77</v>
      </c>
      <c r="C42" s="8" t="s">
        <v>83</v>
      </c>
      <c r="D42" s="8" t="s">
        <v>87</v>
      </c>
      <c r="E42">
        <v>11552</v>
      </c>
      <c r="F42">
        <v>19</v>
      </c>
    </row>
    <row r="43" spans="1:17" x14ac:dyDescent="0.25">
      <c r="A43" s="2">
        <v>45749</v>
      </c>
      <c r="B43" s="8" t="s">
        <v>73</v>
      </c>
      <c r="C43" s="8" t="s">
        <v>81</v>
      </c>
      <c r="D43" s="8" t="s">
        <v>87</v>
      </c>
      <c r="E43">
        <v>4540</v>
      </c>
      <c r="F43">
        <v>5</v>
      </c>
    </row>
    <row r="44" spans="1:17" x14ac:dyDescent="0.25">
      <c r="A44" s="2">
        <v>45695</v>
      </c>
      <c r="B44" s="8" t="s">
        <v>77</v>
      </c>
      <c r="C44" s="8" t="s">
        <v>83</v>
      </c>
      <c r="D44" s="8" t="s">
        <v>85</v>
      </c>
      <c r="E44">
        <v>4216</v>
      </c>
      <c r="F44">
        <v>8</v>
      </c>
    </row>
    <row r="45" spans="1:17" x14ac:dyDescent="0.25">
      <c r="A45" s="2">
        <v>45705</v>
      </c>
      <c r="B45" s="8" t="s">
        <v>75</v>
      </c>
      <c r="C45" s="8" t="s">
        <v>83</v>
      </c>
      <c r="D45" s="8" t="s">
        <v>85</v>
      </c>
      <c r="E45">
        <v>4140</v>
      </c>
      <c r="F45">
        <v>18</v>
      </c>
    </row>
    <row r="46" spans="1:17" x14ac:dyDescent="0.25">
      <c r="A46" s="2">
        <v>45728</v>
      </c>
      <c r="B46" s="8" t="s">
        <v>74</v>
      </c>
      <c r="C46" s="8" t="s">
        <v>82</v>
      </c>
      <c r="D46" s="8" t="s">
        <v>88</v>
      </c>
      <c r="E46">
        <v>8610</v>
      </c>
      <c r="F46">
        <v>10</v>
      </c>
    </row>
    <row r="47" spans="1:17" x14ac:dyDescent="0.25">
      <c r="A47" s="2">
        <v>45719</v>
      </c>
      <c r="B47" s="8" t="s">
        <v>74</v>
      </c>
      <c r="C47" s="8" t="s">
        <v>82</v>
      </c>
      <c r="D47" s="8" t="s">
        <v>88</v>
      </c>
      <c r="E47">
        <v>7200</v>
      </c>
      <c r="F47">
        <v>8</v>
      </c>
    </row>
    <row r="48" spans="1:17" x14ac:dyDescent="0.25">
      <c r="A48" s="2">
        <v>45746</v>
      </c>
      <c r="B48" s="8" t="s">
        <v>79</v>
      </c>
      <c r="C48" s="8" t="s">
        <v>81</v>
      </c>
      <c r="D48" s="8" t="s">
        <v>85</v>
      </c>
      <c r="E48">
        <v>10849</v>
      </c>
      <c r="F48">
        <v>19</v>
      </c>
    </row>
    <row r="49" spans="1:6" x14ac:dyDescent="0.25">
      <c r="A49" s="2">
        <v>45660</v>
      </c>
      <c r="B49" s="8" t="s">
        <v>78</v>
      </c>
      <c r="C49" s="8" t="s">
        <v>84</v>
      </c>
      <c r="D49" s="8" t="s">
        <v>85</v>
      </c>
      <c r="E49">
        <v>14256</v>
      </c>
      <c r="F49">
        <v>16</v>
      </c>
    </row>
    <row r="50" spans="1:6" x14ac:dyDescent="0.25">
      <c r="A50" s="2">
        <v>45701</v>
      </c>
      <c r="B50" s="8" t="s">
        <v>74</v>
      </c>
      <c r="C50" s="8" t="s">
        <v>82</v>
      </c>
      <c r="D50" s="8" t="s">
        <v>88</v>
      </c>
      <c r="E50">
        <v>1464</v>
      </c>
      <c r="F50">
        <v>2</v>
      </c>
    </row>
    <row r="51" spans="1:6" x14ac:dyDescent="0.25">
      <c r="A51" s="2">
        <v>45732</v>
      </c>
      <c r="B51" s="8" t="s">
        <v>78</v>
      </c>
      <c r="C51" s="8" t="s">
        <v>84</v>
      </c>
      <c r="D51" s="8" t="s">
        <v>88</v>
      </c>
      <c r="E51">
        <v>9622</v>
      </c>
      <c r="F51">
        <v>17</v>
      </c>
    </row>
    <row r="52" spans="1:6" x14ac:dyDescent="0.25">
      <c r="A52" s="2">
        <v>45707</v>
      </c>
      <c r="B52" s="8" t="s">
        <v>75</v>
      </c>
      <c r="C52" s="8" t="s">
        <v>83</v>
      </c>
      <c r="D52" s="8" t="s">
        <v>87</v>
      </c>
      <c r="E52">
        <v>13420</v>
      </c>
      <c r="F52">
        <v>20</v>
      </c>
    </row>
    <row r="53" spans="1:6" x14ac:dyDescent="0.25">
      <c r="A53" s="2">
        <v>45705</v>
      </c>
      <c r="B53" s="8" t="s">
        <v>75</v>
      </c>
      <c r="C53" s="8" t="s">
        <v>83</v>
      </c>
      <c r="D53" s="8" t="s">
        <v>87</v>
      </c>
      <c r="E53">
        <v>3004</v>
      </c>
      <c r="F53">
        <v>4</v>
      </c>
    </row>
    <row r="54" spans="1:6" x14ac:dyDescent="0.25">
      <c r="A54" s="2">
        <v>45754</v>
      </c>
      <c r="B54" s="8" t="s">
        <v>76</v>
      </c>
      <c r="C54" s="8" t="s">
        <v>84</v>
      </c>
      <c r="D54" s="8" t="s">
        <v>88</v>
      </c>
      <c r="E54">
        <v>11865</v>
      </c>
      <c r="F54">
        <v>15</v>
      </c>
    </row>
    <row r="55" spans="1:6" x14ac:dyDescent="0.25">
      <c r="A55" s="2">
        <v>45719</v>
      </c>
      <c r="B55" s="8" t="s">
        <v>80</v>
      </c>
      <c r="C55" s="8" t="s">
        <v>82</v>
      </c>
      <c r="D55" s="8" t="s">
        <v>87</v>
      </c>
      <c r="E55">
        <v>7395</v>
      </c>
      <c r="F55">
        <v>17</v>
      </c>
    </row>
    <row r="56" spans="1:6" x14ac:dyDescent="0.25">
      <c r="A56" s="2">
        <v>45704</v>
      </c>
      <c r="B56" s="8" t="s">
        <v>73</v>
      </c>
      <c r="C56" s="8" t="s">
        <v>81</v>
      </c>
      <c r="D56" s="8" t="s">
        <v>85</v>
      </c>
      <c r="E56">
        <v>12701</v>
      </c>
      <c r="F56">
        <v>13</v>
      </c>
    </row>
    <row r="57" spans="1:6" x14ac:dyDescent="0.25">
      <c r="A57" s="2">
        <v>45766</v>
      </c>
      <c r="B57" s="8" t="s">
        <v>75</v>
      </c>
      <c r="C57" s="8" t="s">
        <v>83</v>
      </c>
      <c r="D57" s="8" t="s">
        <v>85</v>
      </c>
      <c r="E57">
        <v>8697</v>
      </c>
      <c r="F57">
        <v>13</v>
      </c>
    </row>
    <row r="58" spans="1:6" x14ac:dyDescent="0.25">
      <c r="A58" s="2">
        <v>45693</v>
      </c>
      <c r="B58" s="8" t="s">
        <v>76</v>
      </c>
      <c r="C58" s="8" t="s">
        <v>84</v>
      </c>
      <c r="D58" s="8" t="s">
        <v>88</v>
      </c>
      <c r="E58">
        <v>2728</v>
      </c>
      <c r="F58">
        <v>11</v>
      </c>
    </row>
    <row r="59" spans="1:6" x14ac:dyDescent="0.25">
      <c r="A59" s="2">
        <v>45658</v>
      </c>
      <c r="B59" s="8" t="s">
        <v>78</v>
      </c>
      <c r="C59" s="8" t="s">
        <v>84</v>
      </c>
      <c r="D59" s="8" t="s">
        <v>86</v>
      </c>
      <c r="E59">
        <v>7395</v>
      </c>
      <c r="F59">
        <v>17</v>
      </c>
    </row>
    <row r="60" spans="1:6" x14ac:dyDescent="0.25">
      <c r="A60" s="2">
        <v>45744</v>
      </c>
      <c r="B60" s="8" t="s">
        <v>80</v>
      </c>
      <c r="C60" s="8" t="s">
        <v>82</v>
      </c>
      <c r="D60" s="8" t="s">
        <v>85</v>
      </c>
      <c r="E60">
        <v>632</v>
      </c>
      <c r="F60">
        <v>1</v>
      </c>
    </row>
    <row r="61" spans="1:6" x14ac:dyDescent="0.25">
      <c r="A61" s="2">
        <v>45732</v>
      </c>
      <c r="B61" s="8" t="s">
        <v>77</v>
      </c>
      <c r="C61" s="8" t="s">
        <v>83</v>
      </c>
      <c r="D61" s="8" t="s">
        <v>88</v>
      </c>
      <c r="E61">
        <v>1044</v>
      </c>
      <c r="F61">
        <v>3</v>
      </c>
    </row>
    <row r="62" spans="1:6" x14ac:dyDescent="0.25">
      <c r="A62" s="2">
        <v>45713</v>
      </c>
      <c r="B62" s="8" t="s">
        <v>75</v>
      </c>
      <c r="C62" s="8" t="s">
        <v>83</v>
      </c>
      <c r="D62" s="8" t="s">
        <v>85</v>
      </c>
      <c r="E62">
        <v>4779</v>
      </c>
      <c r="F62">
        <v>9</v>
      </c>
    </row>
    <row r="63" spans="1:6" x14ac:dyDescent="0.25">
      <c r="A63" s="2">
        <v>45669</v>
      </c>
      <c r="B63" s="8" t="s">
        <v>73</v>
      </c>
      <c r="C63" s="8" t="s">
        <v>81</v>
      </c>
      <c r="D63" s="8" t="s">
        <v>85</v>
      </c>
      <c r="E63">
        <v>636</v>
      </c>
      <c r="F63">
        <v>2</v>
      </c>
    </row>
    <row r="64" spans="1:6" x14ac:dyDescent="0.25">
      <c r="A64" s="2">
        <v>45702</v>
      </c>
      <c r="B64" s="8" t="s">
        <v>80</v>
      </c>
      <c r="C64" s="8" t="s">
        <v>82</v>
      </c>
      <c r="D64" s="8" t="s">
        <v>86</v>
      </c>
      <c r="E64">
        <v>7800</v>
      </c>
      <c r="F64">
        <v>10</v>
      </c>
    </row>
    <row r="65" spans="1:6" x14ac:dyDescent="0.25">
      <c r="A65" s="2">
        <v>45686</v>
      </c>
      <c r="B65" s="8" t="s">
        <v>73</v>
      </c>
      <c r="C65" s="8" t="s">
        <v>81</v>
      </c>
      <c r="D65" s="8" t="s">
        <v>88</v>
      </c>
      <c r="E65">
        <v>545</v>
      </c>
      <c r="F65">
        <v>5</v>
      </c>
    </row>
    <row r="66" spans="1:6" x14ac:dyDescent="0.25">
      <c r="A66" s="2">
        <v>45706</v>
      </c>
      <c r="B66" s="8" t="s">
        <v>75</v>
      </c>
      <c r="C66" s="8" t="s">
        <v>83</v>
      </c>
      <c r="D66" s="8" t="s">
        <v>85</v>
      </c>
      <c r="E66">
        <v>6040</v>
      </c>
      <c r="F66">
        <v>20</v>
      </c>
    </row>
    <row r="67" spans="1:6" x14ac:dyDescent="0.25">
      <c r="A67" s="2">
        <v>45724</v>
      </c>
      <c r="B67" s="8" t="s">
        <v>74</v>
      </c>
      <c r="C67" s="8" t="s">
        <v>82</v>
      </c>
      <c r="D67" s="8" t="s">
        <v>88</v>
      </c>
      <c r="E67">
        <v>8136</v>
      </c>
      <c r="F67">
        <v>9</v>
      </c>
    </row>
    <row r="68" spans="1:6" x14ac:dyDescent="0.25">
      <c r="A68" s="2">
        <v>45659</v>
      </c>
      <c r="B68" s="8" t="s">
        <v>80</v>
      </c>
      <c r="C68" s="8" t="s">
        <v>82</v>
      </c>
      <c r="D68" s="8" t="s">
        <v>88</v>
      </c>
      <c r="E68">
        <v>3928</v>
      </c>
      <c r="F68">
        <v>4</v>
      </c>
    </row>
    <row r="69" spans="1:6" x14ac:dyDescent="0.25">
      <c r="A69" s="2">
        <v>45680</v>
      </c>
      <c r="B69" s="8" t="s">
        <v>80</v>
      </c>
      <c r="C69" s="8" t="s">
        <v>82</v>
      </c>
      <c r="D69" s="8" t="s">
        <v>87</v>
      </c>
      <c r="E69">
        <v>2968</v>
      </c>
      <c r="F69">
        <v>14</v>
      </c>
    </row>
    <row r="70" spans="1:6" x14ac:dyDescent="0.25">
      <c r="A70" s="2">
        <v>45689</v>
      </c>
      <c r="B70" s="8" t="s">
        <v>74</v>
      </c>
      <c r="C70" s="8" t="s">
        <v>82</v>
      </c>
      <c r="D70" s="8" t="s">
        <v>87</v>
      </c>
      <c r="E70">
        <v>3955</v>
      </c>
      <c r="F70">
        <v>5</v>
      </c>
    </row>
    <row r="71" spans="1:6" x14ac:dyDescent="0.25">
      <c r="A71" s="2">
        <v>45702</v>
      </c>
      <c r="B71" s="8" t="s">
        <v>75</v>
      </c>
      <c r="C71" s="8" t="s">
        <v>83</v>
      </c>
      <c r="D71" s="8" t="s">
        <v>85</v>
      </c>
      <c r="E71">
        <v>4048</v>
      </c>
      <c r="F71">
        <v>8</v>
      </c>
    </row>
    <row r="72" spans="1:6" x14ac:dyDescent="0.25">
      <c r="A72" s="2">
        <v>45727</v>
      </c>
      <c r="B72" s="8" t="s">
        <v>78</v>
      </c>
      <c r="C72" s="8" t="s">
        <v>84</v>
      </c>
      <c r="D72" s="8" t="s">
        <v>87</v>
      </c>
      <c r="E72">
        <v>6464</v>
      </c>
      <c r="F72">
        <v>8</v>
      </c>
    </row>
    <row r="73" spans="1:6" x14ac:dyDescent="0.25">
      <c r="A73" s="2">
        <v>45710</v>
      </c>
      <c r="B73" s="8" t="s">
        <v>73</v>
      </c>
      <c r="C73" s="8" t="s">
        <v>81</v>
      </c>
      <c r="D73" s="8" t="s">
        <v>88</v>
      </c>
      <c r="E73">
        <v>3042</v>
      </c>
      <c r="F73">
        <v>13</v>
      </c>
    </row>
    <row r="74" spans="1:6" x14ac:dyDescent="0.25">
      <c r="A74" s="2">
        <v>45761</v>
      </c>
      <c r="B74" s="8" t="s">
        <v>80</v>
      </c>
      <c r="C74" s="8" t="s">
        <v>82</v>
      </c>
      <c r="D74" s="8" t="s">
        <v>88</v>
      </c>
      <c r="E74">
        <v>9480</v>
      </c>
      <c r="F74">
        <v>15</v>
      </c>
    </row>
    <row r="75" spans="1:6" x14ac:dyDescent="0.25">
      <c r="A75" s="2">
        <v>45666</v>
      </c>
      <c r="B75" s="8" t="s">
        <v>75</v>
      </c>
      <c r="C75" s="8" t="s">
        <v>83</v>
      </c>
      <c r="D75" s="8" t="s">
        <v>88</v>
      </c>
      <c r="E75">
        <v>16321</v>
      </c>
      <c r="F75">
        <v>19</v>
      </c>
    </row>
    <row r="76" spans="1:6" x14ac:dyDescent="0.25">
      <c r="A76" s="2">
        <v>45756</v>
      </c>
      <c r="B76" s="8" t="s">
        <v>74</v>
      </c>
      <c r="C76" s="8" t="s">
        <v>82</v>
      </c>
      <c r="D76" s="8" t="s">
        <v>87</v>
      </c>
      <c r="E76">
        <v>8436</v>
      </c>
      <c r="F76">
        <v>19</v>
      </c>
    </row>
    <row r="77" spans="1:6" x14ac:dyDescent="0.25">
      <c r="A77" s="2">
        <v>45747</v>
      </c>
      <c r="B77" s="8" t="s">
        <v>74</v>
      </c>
      <c r="C77" s="8" t="s">
        <v>82</v>
      </c>
      <c r="D77" s="8" t="s">
        <v>85</v>
      </c>
      <c r="E77">
        <v>2832</v>
      </c>
      <c r="F77">
        <v>8</v>
      </c>
    </row>
    <row r="78" spans="1:6" x14ac:dyDescent="0.25">
      <c r="A78" s="2">
        <v>45693</v>
      </c>
      <c r="B78" s="8" t="s">
        <v>79</v>
      </c>
      <c r="C78" s="8" t="s">
        <v>81</v>
      </c>
      <c r="D78" s="8" t="s">
        <v>86</v>
      </c>
      <c r="E78">
        <v>8604</v>
      </c>
      <c r="F78">
        <v>18</v>
      </c>
    </row>
    <row r="79" spans="1:6" x14ac:dyDescent="0.25">
      <c r="A79" s="2">
        <v>45665</v>
      </c>
      <c r="B79" s="8" t="s">
        <v>73</v>
      </c>
      <c r="C79" s="8" t="s">
        <v>81</v>
      </c>
      <c r="D79" s="8" t="s">
        <v>86</v>
      </c>
      <c r="E79">
        <v>2805</v>
      </c>
      <c r="F79">
        <v>5</v>
      </c>
    </row>
    <row r="80" spans="1:6" x14ac:dyDescent="0.25">
      <c r="A80" s="2">
        <v>45690</v>
      </c>
      <c r="B80" s="8" t="s">
        <v>79</v>
      </c>
      <c r="C80" s="8" t="s">
        <v>81</v>
      </c>
      <c r="D80" s="8" t="s">
        <v>87</v>
      </c>
      <c r="E80">
        <v>5544</v>
      </c>
      <c r="F80">
        <v>7</v>
      </c>
    </row>
    <row r="81" spans="1:6" x14ac:dyDescent="0.25">
      <c r="A81" s="2">
        <v>45667</v>
      </c>
      <c r="B81" s="8" t="s">
        <v>77</v>
      </c>
      <c r="C81" s="8" t="s">
        <v>83</v>
      </c>
      <c r="D81" s="8" t="s">
        <v>88</v>
      </c>
      <c r="E81">
        <v>1694</v>
      </c>
      <c r="F81">
        <v>11</v>
      </c>
    </row>
    <row r="82" spans="1:6" x14ac:dyDescent="0.25">
      <c r="A82" s="2">
        <v>45665</v>
      </c>
      <c r="B82" s="8" t="s">
        <v>75</v>
      </c>
      <c r="C82" s="8" t="s">
        <v>83</v>
      </c>
      <c r="D82" s="8" t="s">
        <v>86</v>
      </c>
      <c r="E82">
        <v>5760</v>
      </c>
      <c r="F82">
        <v>9</v>
      </c>
    </row>
    <row r="83" spans="1:6" x14ac:dyDescent="0.25">
      <c r="A83" s="2">
        <v>45712</v>
      </c>
      <c r="B83" s="8" t="s">
        <v>78</v>
      </c>
      <c r="C83" s="8" t="s">
        <v>84</v>
      </c>
      <c r="D83" s="8" t="s">
        <v>85</v>
      </c>
      <c r="E83">
        <v>8550</v>
      </c>
      <c r="F83">
        <v>10</v>
      </c>
    </row>
    <row r="84" spans="1:6" x14ac:dyDescent="0.25">
      <c r="A84" s="2">
        <v>45668</v>
      </c>
      <c r="B84" s="8" t="s">
        <v>79</v>
      </c>
      <c r="C84" s="8" t="s">
        <v>81</v>
      </c>
      <c r="D84" s="8" t="s">
        <v>86</v>
      </c>
      <c r="E84">
        <v>1220</v>
      </c>
      <c r="F84">
        <v>5</v>
      </c>
    </row>
    <row r="85" spans="1:6" x14ac:dyDescent="0.25">
      <c r="A85" s="2">
        <v>45777</v>
      </c>
      <c r="B85" s="8" t="s">
        <v>77</v>
      </c>
      <c r="C85" s="8" t="s">
        <v>83</v>
      </c>
      <c r="D85" s="8" t="s">
        <v>88</v>
      </c>
      <c r="E85">
        <v>2490</v>
      </c>
      <c r="F85">
        <v>15</v>
      </c>
    </row>
    <row r="86" spans="1:6" x14ac:dyDescent="0.25">
      <c r="A86" s="2">
        <v>45731</v>
      </c>
      <c r="B86" s="8" t="s">
        <v>73</v>
      </c>
      <c r="C86" s="8" t="s">
        <v>81</v>
      </c>
      <c r="D86" s="8" t="s">
        <v>88</v>
      </c>
      <c r="E86">
        <v>3225</v>
      </c>
      <c r="F86">
        <v>15</v>
      </c>
    </row>
    <row r="87" spans="1:6" x14ac:dyDescent="0.25">
      <c r="A87" s="2">
        <v>45725</v>
      </c>
      <c r="B87" s="8" t="s">
        <v>79</v>
      </c>
      <c r="C87" s="8" t="s">
        <v>81</v>
      </c>
      <c r="D87" s="8" t="s">
        <v>88</v>
      </c>
      <c r="E87">
        <v>7930</v>
      </c>
      <c r="F87">
        <v>13</v>
      </c>
    </row>
    <row r="88" spans="1:6" x14ac:dyDescent="0.25">
      <c r="A88" s="2">
        <v>45756</v>
      </c>
      <c r="B88" s="8" t="s">
        <v>78</v>
      </c>
      <c r="C88" s="8" t="s">
        <v>84</v>
      </c>
      <c r="D88" s="8" t="s">
        <v>85</v>
      </c>
      <c r="E88">
        <v>12920</v>
      </c>
      <c r="F88">
        <v>19</v>
      </c>
    </row>
    <row r="89" spans="1:6" x14ac:dyDescent="0.25">
      <c r="A89" s="2">
        <v>45725</v>
      </c>
      <c r="B89" s="8" t="s">
        <v>77</v>
      </c>
      <c r="C89" s="8" t="s">
        <v>83</v>
      </c>
      <c r="D89" s="8" t="s">
        <v>85</v>
      </c>
      <c r="E89">
        <v>4685</v>
      </c>
      <c r="F89">
        <v>5</v>
      </c>
    </row>
    <row r="90" spans="1:6" x14ac:dyDescent="0.25">
      <c r="A90" s="2">
        <v>45694</v>
      </c>
      <c r="B90" s="8" t="s">
        <v>74</v>
      </c>
      <c r="C90" s="8" t="s">
        <v>82</v>
      </c>
      <c r="D90" s="8" t="s">
        <v>88</v>
      </c>
      <c r="E90">
        <v>808</v>
      </c>
      <c r="F90">
        <v>8</v>
      </c>
    </row>
    <row r="91" spans="1:6" x14ac:dyDescent="0.25">
      <c r="A91" s="2">
        <v>45749</v>
      </c>
      <c r="B91" s="8" t="s">
        <v>76</v>
      </c>
      <c r="C91" s="8" t="s">
        <v>84</v>
      </c>
      <c r="D91" s="8" t="s">
        <v>85</v>
      </c>
      <c r="E91">
        <v>1592</v>
      </c>
      <c r="F91">
        <v>4</v>
      </c>
    </row>
    <row r="92" spans="1:6" x14ac:dyDescent="0.25">
      <c r="A92" s="2">
        <v>45778</v>
      </c>
      <c r="B92" s="8" t="s">
        <v>75</v>
      </c>
      <c r="C92" s="8" t="s">
        <v>83</v>
      </c>
      <c r="D92" s="8" t="s">
        <v>86</v>
      </c>
      <c r="E92">
        <v>14860</v>
      </c>
      <c r="F92">
        <v>20</v>
      </c>
    </row>
    <row r="93" spans="1:6" x14ac:dyDescent="0.25">
      <c r="A93" s="2">
        <v>45658</v>
      </c>
      <c r="B93" s="8" t="s">
        <v>78</v>
      </c>
      <c r="C93" s="8" t="s">
        <v>84</v>
      </c>
      <c r="D93" s="8" t="s">
        <v>86</v>
      </c>
      <c r="E93">
        <v>8040</v>
      </c>
      <c r="F93">
        <v>10</v>
      </c>
    </row>
    <row r="94" spans="1:6" x14ac:dyDescent="0.25">
      <c r="A94" s="2">
        <v>45762</v>
      </c>
      <c r="B94" s="8" t="s">
        <v>78</v>
      </c>
      <c r="C94" s="8" t="s">
        <v>84</v>
      </c>
      <c r="D94" s="8" t="s">
        <v>87</v>
      </c>
      <c r="E94">
        <v>3880</v>
      </c>
      <c r="F94">
        <v>20</v>
      </c>
    </row>
    <row r="95" spans="1:6" x14ac:dyDescent="0.25">
      <c r="A95" s="2">
        <v>45765</v>
      </c>
      <c r="B95" s="8" t="s">
        <v>75</v>
      </c>
      <c r="C95" s="8" t="s">
        <v>83</v>
      </c>
      <c r="D95" s="8" t="s">
        <v>87</v>
      </c>
      <c r="E95">
        <v>2522</v>
      </c>
      <c r="F95">
        <v>13</v>
      </c>
    </row>
    <row r="96" spans="1:6" x14ac:dyDescent="0.25">
      <c r="A96" s="2">
        <v>45701</v>
      </c>
      <c r="B96" s="8" t="s">
        <v>76</v>
      </c>
      <c r="C96" s="8" t="s">
        <v>84</v>
      </c>
      <c r="D96" s="8" t="s">
        <v>85</v>
      </c>
      <c r="E96">
        <v>852</v>
      </c>
      <c r="F96">
        <v>2</v>
      </c>
    </row>
    <row r="97" spans="1:6" x14ac:dyDescent="0.25">
      <c r="A97" s="2">
        <v>45727</v>
      </c>
      <c r="B97" s="8" t="s">
        <v>73</v>
      </c>
      <c r="C97" s="8" t="s">
        <v>81</v>
      </c>
      <c r="D97" s="8" t="s">
        <v>85</v>
      </c>
      <c r="E97">
        <v>1185</v>
      </c>
      <c r="F97">
        <v>5</v>
      </c>
    </row>
    <row r="98" spans="1:6" x14ac:dyDescent="0.25">
      <c r="A98" s="2">
        <v>45741</v>
      </c>
      <c r="B98" s="8" t="s">
        <v>73</v>
      </c>
      <c r="C98" s="8" t="s">
        <v>81</v>
      </c>
      <c r="D98" s="8" t="s">
        <v>85</v>
      </c>
      <c r="E98">
        <v>1836</v>
      </c>
      <c r="F98">
        <v>12</v>
      </c>
    </row>
    <row r="99" spans="1:6" x14ac:dyDescent="0.25">
      <c r="A99" s="2">
        <v>45679</v>
      </c>
      <c r="B99" s="8" t="s">
        <v>80</v>
      </c>
      <c r="C99" s="8" t="s">
        <v>82</v>
      </c>
      <c r="D99" s="8" t="s">
        <v>87</v>
      </c>
      <c r="E99">
        <v>3835</v>
      </c>
      <c r="F99">
        <v>5</v>
      </c>
    </row>
    <row r="100" spans="1:6" x14ac:dyDescent="0.25">
      <c r="A100" s="2">
        <v>45711</v>
      </c>
      <c r="B100" s="8" t="s">
        <v>75</v>
      </c>
      <c r="C100" s="8" t="s">
        <v>83</v>
      </c>
      <c r="D100" s="8" t="s">
        <v>85</v>
      </c>
      <c r="E100">
        <v>2460</v>
      </c>
      <c r="F100">
        <v>12</v>
      </c>
    </row>
    <row r="101" spans="1:6" x14ac:dyDescent="0.25">
      <c r="A101" s="2">
        <v>45693</v>
      </c>
      <c r="B101" s="8" t="s">
        <v>78</v>
      </c>
      <c r="C101" s="8" t="s">
        <v>84</v>
      </c>
      <c r="D101" s="8" t="s">
        <v>88</v>
      </c>
      <c r="E101">
        <v>3941</v>
      </c>
      <c r="F101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1"/>
  <sheetViews>
    <sheetView tabSelected="1" topLeftCell="A4" workbookViewId="0">
      <selection activeCell="K18" sqref="K18"/>
    </sheetView>
  </sheetViews>
  <sheetFormatPr defaultRowHeight="15" x14ac:dyDescent="0.25"/>
  <cols>
    <col min="1" max="1" width="16" style="6" customWidth="1"/>
    <col min="2" max="2" width="12.42578125" bestFit="1" customWidth="1"/>
    <col min="3" max="3" width="13.42578125" bestFit="1" customWidth="1"/>
    <col min="4" max="4" width="11.7109375" bestFit="1" customWidth="1"/>
    <col min="5" max="5" width="17.85546875" bestFit="1" customWidth="1"/>
    <col min="6" max="6" width="17.7109375" bestFit="1" customWidth="1"/>
    <col min="12" max="12" width="22.140625" customWidth="1"/>
    <col min="15" max="15" width="18.85546875" customWidth="1"/>
  </cols>
  <sheetData>
    <row r="1" spans="1:15" x14ac:dyDescent="0.2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  <c r="H1" s="4"/>
      <c r="I1" s="4"/>
      <c r="J1" s="4"/>
      <c r="K1" s="4"/>
      <c r="L1" s="4"/>
      <c r="M1" s="4"/>
      <c r="N1" s="4"/>
    </row>
    <row r="2" spans="1:15" x14ac:dyDescent="0.25">
      <c r="A2" s="6" t="s">
        <v>6</v>
      </c>
      <c r="B2" t="s">
        <v>73</v>
      </c>
      <c r="C2" t="s">
        <v>81</v>
      </c>
      <c r="D2" t="s">
        <v>85</v>
      </c>
      <c r="E2">
        <v>4050</v>
      </c>
      <c r="F2">
        <v>18</v>
      </c>
    </row>
    <row r="3" spans="1:15" x14ac:dyDescent="0.25">
      <c r="A3" s="6" t="s">
        <v>7</v>
      </c>
      <c r="B3" t="s">
        <v>74</v>
      </c>
      <c r="C3" t="s">
        <v>82</v>
      </c>
      <c r="D3" t="s">
        <v>86</v>
      </c>
      <c r="E3">
        <v>7875</v>
      </c>
      <c r="F3">
        <v>15</v>
      </c>
    </row>
    <row r="4" spans="1:15" x14ac:dyDescent="0.25">
      <c r="A4" s="6" t="s">
        <v>8</v>
      </c>
      <c r="B4" t="s">
        <v>75</v>
      </c>
      <c r="C4" t="s">
        <v>83</v>
      </c>
      <c r="D4" t="s">
        <v>85</v>
      </c>
      <c r="E4">
        <v>5832</v>
      </c>
      <c r="F4">
        <v>6</v>
      </c>
    </row>
    <row r="5" spans="1:15" x14ac:dyDescent="0.25">
      <c r="A5" s="6" t="s">
        <v>9</v>
      </c>
      <c r="B5" t="s">
        <v>76</v>
      </c>
      <c r="C5" t="s">
        <v>84</v>
      </c>
      <c r="D5" t="s">
        <v>85</v>
      </c>
      <c r="E5">
        <v>676</v>
      </c>
      <c r="F5">
        <v>4</v>
      </c>
    </row>
    <row r="6" spans="1:15" x14ac:dyDescent="0.25">
      <c r="A6" s="6" t="s">
        <v>10</v>
      </c>
      <c r="B6" t="s">
        <v>74</v>
      </c>
      <c r="C6" t="s">
        <v>82</v>
      </c>
      <c r="D6" t="s">
        <v>87</v>
      </c>
      <c r="E6">
        <v>6560</v>
      </c>
      <c r="F6">
        <v>10</v>
      </c>
    </row>
    <row r="7" spans="1:15" x14ac:dyDescent="0.25">
      <c r="A7" s="6" t="s">
        <v>11</v>
      </c>
      <c r="B7" t="s">
        <v>76</v>
      </c>
      <c r="C7" t="s">
        <v>84</v>
      </c>
      <c r="D7" t="s">
        <v>87</v>
      </c>
      <c r="E7">
        <v>1905</v>
      </c>
      <c r="F7">
        <v>5</v>
      </c>
    </row>
    <row r="8" spans="1:15" x14ac:dyDescent="0.25">
      <c r="A8" s="6" t="s">
        <v>12</v>
      </c>
      <c r="B8" t="s">
        <v>77</v>
      </c>
      <c r="C8" t="s">
        <v>83</v>
      </c>
      <c r="D8" t="s">
        <v>86</v>
      </c>
      <c r="E8">
        <v>6948</v>
      </c>
      <c r="F8">
        <v>18</v>
      </c>
    </row>
    <row r="9" spans="1:15" x14ac:dyDescent="0.25">
      <c r="A9" s="6" t="s">
        <v>13</v>
      </c>
      <c r="B9" t="s">
        <v>77</v>
      </c>
      <c r="C9" t="s">
        <v>83</v>
      </c>
      <c r="D9" t="s">
        <v>85</v>
      </c>
      <c r="E9">
        <v>1944</v>
      </c>
      <c r="F9">
        <v>18</v>
      </c>
      <c r="L9" s="3" t="s">
        <v>163</v>
      </c>
      <c r="O9" s="3" t="s">
        <v>176</v>
      </c>
    </row>
    <row r="10" spans="1:15" x14ac:dyDescent="0.25">
      <c r="A10" s="6" t="s">
        <v>14</v>
      </c>
      <c r="B10" t="s">
        <v>78</v>
      </c>
      <c r="C10" t="s">
        <v>84</v>
      </c>
      <c r="D10" t="s">
        <v>85</v>
      </c>
      <c r="E10">
        <v>7776</v>
      </c>
      <c r="F10">
        <v>8</v>
      </c>
      <c r="K10">
        <v>1</v>
      </c>
      <c r="L10" t="s">
        <v>95</v>
      </c>
      <c r="N10">
        <v>1</v>
      </c>
      <c r="O10" t="s">
        <v>177</v>
      </c>
    </row>
    <row r="11" spans="1:15" x14ac:dyDescent="0.25">
      <c r="A11" s="6" t="s">
        <v>15</v>
      </c>
      <c r="B11" t="s">
        <v>74</v>
      </c>
      <c r="C11" t="s">
        <v>82</v>
      </c>
      <c r="D11" t="s">
        <v>86</v>
      </c>
      <c r="E11">
        <v>2790</v>
      </c>
      <c r="F11">
        <v>18</v>
      </c>
      <c r="K11">
        <v>2</v>
      </c>
      <c r="L11" t="s">
        <v>96</v>
      </c>
      <c r="N11">
        <v>2</v>
      </c>
      <c r="O11" t="s">
        <v>178</v>
      </c>
    </row>
    <row r="12" spans="1:15" x14ac:dyDescent="0.25">
      <c r="A12" s="6" t="s">
        <v>10</v>
      </c>
      <c r="B12" t="s">
        <v>75</v>
      </c>
      <c r="C12" t="s">
        <v>83</v>
      </c>
      <c r="D12" t="s">
        <v>86</v>
      </c>
      <c r="E12">
        <v>7995</v>
      </c>
      <c r="F12">
        <v>13</v>
      </c>
      <c r="K12">
        <v>3</v>
      </c>
      <c r="L12" t="s">
        <v>94</v>
      </c>
      <c r="N12">
        <v>3</v>
      </c>
      <c r="O12" t="s">
        <v>179</v>
      </c>
    </row>
    <row r="13" spans="1:15" x14ac:dyDescent="0.25">
      <c r="A13" s="6" t="s">
        <v>16</v>
      </c>
      <c r="B13" t="s">
        <v>75</v>
      </c>
      <c r="C13" t="s">
        <v>83</v>
      </c>
      <c r="D13" t="s">
        <v>85</v>
      </c>
      <c r="E13">
        <v>9984</v>
      </c>
      <c r="F13">
        <v>13</v>
      </c>
      <c r="K13">
        <v>4</v>
      </c>
      <c r="L13" t="s">
        <v>164</v>
      </c>
      <c r="N13">
        <v>4</v>
      </c>
      <c r="O13" t="s">
        <v>180</v>
      </c>
    </row>
    <row r="14" spans="1:15" x14ac:dyDescent="0.25">
      <c r="A14" s="6" t="s">
        <v>17</v>
      </c>
      <c r="B14" t="s">
        <v>75</v>
      </c>
      <c r="C14" t="s">
        <v>83</v>
      </c>
      <c r="D14" t="s">
        <v>87</v>
      </c>
      <c r="E14">
        <v>7683</v>
      </c>
      <c r="F14">
        <v>13</v>
      </c>
      <c r="K14">
        <v>5</v>
      </c>
      <c r="L14" t="s">
        <v>165</v>
      </c>
      <c r="N14">
        <v>5</v>
      </c>
      <c r="O14" t="s">
        <v>181</v>
      </c>
    </row>
    <row r="15" spans="1:15" x14ac:dyDescent="0.25">
      <c r="A15" s="6" t="s">
        <v>18</v>
      </c>
      <c r="B15" t="s">
        <v>76</v>
      </c>
      <c r="C15" t="s">
        <v>84</v>
      </c>
      <c r="D15" t="s">
        <v>88</v>
      </c>
      <c r="E15">
        <v>6885</v>
      </c>
      <c r="F15">
        <v>9</v>
      </c>
      <c r="K15">
        <v>6</v>
      </c>
      <c r="L15" t="s">
        <v>166</v>
      </c>
      <c r="N15">
        <v>6</v>
      </c>
      <c r="O15" t="s">
        <v>182</v>
      </c>
    </row>
    <row r="16" spans="1:15" x14ac:dyDescent="0.25">
      <c r="A16" s="6" t="s">
        <v>19</v>
      </c>
      <c r="B16" t="s">
        <v>79</v>
      </c>
      <c r="C16" t="s">
        <v>81</v>
      </c>
      <c r="D16" t="s">
        <v>87</v>
      </c>
      <c r="E16">
        <v>229</v>
      </c>
      <c r="F16">
        <v>1</v>
      </c>
      <c r="K16">
        <v>7</v>
      </c>
      <c r="L16" t="s">
        <v>89</v>
      </c>
    </row>
    <row r="17" spans="1:15" x14ac:dyDescent="0.25">
      <c r="A17" s="6" t="s">
        <v>14</v>
      </c>
      <c r="B17" t="s">
        <v>80</v>
      </c>
      <c r="C17" t="s">
        <v>82</v>
      </c>
      <c r="D17" t="s">
        <v>87</v>
      </c>
      <c r="E17">
        <v>6104</v>
      </c>
      <c r="F17">
        <v>7</v>
      </c>
      <c r="K17">
        <v>8</v>
      </c>
      <c r="L17" t="s">
        <v>167</v>
      </c>
    </row>
    <row r="18" spans="1:15" x14ac:dyDescent="0.25">
      <c r="A18" s="6" t="s">
        <v>20</v>
      </c>
      <c r="B18" t="s">
        <v>78</v>
      </c>
      <c r="C18" t="s">
        <v>84</v>
      </c>
      <c r="D18" t="s">
        <v>85</v>
      </c>
      <c r="E18">
        <v>558</v>
      </c>
      <c r="F18">
        <v>1</v>
      </c>
      <c r="K18">
        <v>9</v>
      </c>
      <c r="L18" t="s">
        <v>90</v>
      </c>
    </row>
    <row r="19" spans="1:15" x14ac:dyDescent="0.25">
      <c r="A19" s="6" t="s">
        <v>21</v>
      </c>
      <c r="B19" t="s">
        <v>76</v>
      </c>
      <c r="C19" t="s">
        <v>84</v>
      </c>
      <c r="D19" t="s">
        <v>85</v>
      </c>
      <c r="E19">
        <v>6413</v>
      </c>
      <c r="F19">
        <v>11</v>
      </c>
      <c r="K19">
        <v>10</v>
      </c>
      <c r="L19" t="s">
        <v>99</v>
      </c>
    </row>
    <row r="20" spans="1:15" x14ac:dyDescent="0.25">
      <c r="A20" s="6" t="s">
        <v>22</v>
      </c>
      <c r="B20" t="s">
        <v>74</v>
      </c>
      <c r="C20" t="s">
        <v>82</v>
      </c>
      <c r="D20" t="s">
        <v>88</v>
      </c>
      <c r="E20">
        <v>1017</v>
      </c>
      <c r="F20">
        <v>9</v>
      </c>
      <c r="K20">
        <v>11</v>
      </c>
      <c r="L20" t="s">
        <v>98</v>
      </c>
    </row>
    <row r="21" spans="1:15" x14ac:dyDescent="0.25">
      <c r="A21" s="6" t="s">
        <v>23</v>
      </c>
      <c r="B21" t="s">
        <v>80</v>
      </c>
      <c r="C21" t="s">
        <v>82</v>
      </c>
      <c r="D21" t="s">
        <v>86</v>
      </c>
      <c r="E21">
        <v>9310</v>
      </c>
      <c r="F21">
        <v>10</v>
      </c>
    </row>
    <row r="22" spans="1:15" x14ac:dyDescent="0.25">
      <c r="A22" s="6" t="s">
        <v>24</v>
      </c>
      <c r="B22" t="s">
        <v>75</v>
      </c>
      <c r="C22" t="s">
        <v>83</v>
      </c>
      <c r="D22" t="s">
        <v>87</v>
      </c>
      <c r="E22">
        <v>2560</v>
      </c>
      <c r="F22">
        <v>4</v>
      </c>
      <c r="L22" s="3" t="s">
        <v>168</v>
      </c>
      <c r="O22" s="3" t="s">
        <v>183</v>
      </c>
    </row>
    <row r="23" spans="1:15" x14ac:dyDescent="0.25">
      <c r="A23" s="6" t="s">
        <v>25</v>
      </c>
      <c r="B23" t="s">
        <v>76</v>
      </c>
      <c r="C23" t="s">
        <v>84</v>
      </c>
      <c r="D23" t="s">
        <v>86</v>
      </c>
      <c r="E23">
        <v>6855</v>
      </c>
      <c r="F23">
        <v>15</v>
      </c>
      <c r="K23">
        <v>1</v>
      </c>
      <c r="L23" t="s">
        <v>169</v>
      </c>
      <c r="N23">
        <v>1</v>
      </c>
      <c r="O23" t="s">
        <v>1</v>
      </c>
    </row>
    <row r="24" spans="1:15" x14ac:dyDescent="0.25">
      <c r="A24" s="6" t="s">
        <v>26</v>
      </c>
      <c r="B24" t="s">
        <v>78</v>
      </c>
      <c r="C24" t="s">
        <v>84</v>
      </c>
      <c r="D24" t="s">
        <v>86</v>
      </c>
      <c r="E24">
        <v>7398</v>
      </c>
      <c r="F24">
        <v>9</v>
      </c>
      <c r="K24">
        <v>2</v>
      </c>
      <c r="L24" t="s">
        <v>122</v>
      </c>
      <c r="N24">
        <v>2</v>
      </c>
      <c r="O24" t="s">
        <v>184</v>
      </c>
    </row>
    <row r="25" spans="1:15" x14ac:dyDescent="0.25">
      <c r="A25" s="6" t="s">
        <v>27</v>
      </c>
      <c r="B25" t="s">
        <v>74</v>
      </c>
      <c r="C25" t="s">
        <v>82</v>
      </c>
      <c r="D25" t="s">
        <v>85</v>
      </c>
      <c r="E25">
        <v>2094</v>
      </c>
      <c r="F25">
        <v>6</v>
      </c>
      <c r="K25">
        <v>3</v>
      </c>
      <c r="L25" t="s">
        <v>170</v>
      </c>
      <c r="N25">
        <v>3</v>
      </c>
      <c r="O25" t="s">
        <v>185</v>
      </c>
    </row>
    <row r="26" spans="1:15" x14ac:dyDescent="0.25">
      <c r="A26" s="6" t="s">
        <v>28</v>
      </c>
      <c r="B26" t="s">
        <v>74</v>
      </c>
      <c r="C26" t="s">
        <v>82</v>
      </c>
      <c r="D26" t="s">
        <v>88</v>
      </c>
      <c r="E26">
        <v>3996</v>
      </c>
      <c r="F26">
        <v>4</v>
      </c>
      <c r="K26">
        <v>4</v>
      </c>
      <c r="L26" t="s">
        <v>171</v>
      </c>
      <c r="N26">
        <v>4</v>
      </c>
      <c r="O26" t="s">
        <v>186</v>
      </c>
    </row>
    <row r="27" spans="1:15" x14ac:dyDescent="0.25">
      <c r="A27" s="6" t="s">
        <v>29</v>
      </c>
      <c r="B27" t="s">
        <v>78</v>
      </c>
      <c r="C27" t="s">
        <v>84</v>
      </c>
      <c r="D27" t="s">
        <v>87</v>
      </c>
      <c r="E27">
        <v>4884</v>
      </c>
      <c r="F27">
        <v>6</v>
      </c>
      <c r="K27">
        <v>5</v>
      </c>
      <c r="L27" t="s">
        <v>172</v>
      </c>
      <c r="N27">
        <v>5</v>
      </c>
      <c r="O27" t="s">
        <v>187</v>
      </c>
    </row>
    <row r="28" spans="1:15" x14ac:dyDescent="0.25">
      <c r="A28" s="6" t="s">
        <v>10</v>
      </c>
      <c r="B28" t="s">
        <v>77</v>
      </c>
      <c r="C28" t="s">
        <v>83</v>
      </c>
      <c r="D28" t="s">
        <v>88</v>
      </c>
      <c r="E28">
        <v>1767</v>
      </c>
      <c r="F28">
        <v>3</v>
      </c>
      <c r="K28">
        <v>6</v>
      </c>
      <c r="L28" t="s">
        <v>173</v>
      </c>
      <c r="N28">
        <v>6</v>
      </c>
      <c r="O28" t="s">
        <v>188</v>
      </c>
    </row>
    <row r="29" spans="1:15" x14ac:dyDescent="0.25">
      <c r="A29" s="6" t="s">
        <v>30</v>
      </c>
      <c r="B29" t="s">
        <v>78</v>
      </c>
      <c r="C29" t="s">
        <v>84</v>
      </c>
      <c r="D29" t="s">
        <v>85</v>
      </c>
      <c r="E29">
        <v>7840</v>
      </c>
      <c r="F29">
        <v>14</v>
      </c>
      <c r="K29">
        <v>7</v>
      </c>
      <c r="L29" t="s">
        <v>174</v>
      </c>
      <c r="N29">
        <v>7</v>
      </c>
      <c r="O29" t="s">
        <v>89</v>
      </c>
    </row>
    <row r="30" spans="1:15" x14ac:dyDescent="0.25">
      <c r="A30" s="6" t="s">
        <v>31</v>
      </c>
      <c r="B30" t="s">
        <v>78</v>
      </c>
      <c r="C30" t="s">
        <v>84</v>
      </c>
      <c r="D30" t="s">
        <v>86</v>
      </c>
      <c r="E30">
        <v>4806</v>
      </c>
      <c r="F30">
        <v>6</v>
      </c>
      <c r="K30">
        <v>8</v>
      </c>
      <c r="L30" t="s">
        <v>175</v>
      </c>
      <c r="N30">
        <v>8</v>
      </c>
      <c r="O30" t="s">
        <v>157</v>
      </c>
    </row>
    <row r="31" spans="1:15" x14ac:dyDescent="0.25">
      <c r="A31" s="6" t="s">
        <v>32</v>
      </c>
      <c r="B31" t="s">
        <v>78</v>
      </c>
      <c r="C31" t="s">
        <v>84</v>
      </c>
      <c r="D31" t="s">
        <v>88</v>
      </c>
      <c r="E31">
        <v>2598</v>
      </c>
      <c r="F31">
        <v>3</v>
      </c>
      <c r="N31">
        <v>9</v>
      </c>
      <c r="O31" t="s">
        <v>155</v>
      </c>
    </row>
    <row r="32" spans="1:15" x14ac:dyDescent="0.25">
      <c r="A32" s="6" t="s">
        <v>33</v>
      </c>
      <c r="B32" t="s">
        <v>73</v>
      </c>
      <c r="C32" t="s">
        <v>81</v>
      </c>
      <c r="D32" t="s">
        <v>88</v>
      </c>
      <c r="E32">
        <v>12920</v>
      </c>
      <c r="F32">
        <v>17</v>
      </c>
      <c r="N32">
        <v>10</v>
      </c>
      <c r="O32" t="s">
        <v>189</v>
      </c>
    </row>
    <row r="33" spans="1:15" x14ac:dyDescent="0.25">
      <c r="A33" s="6" t="s">
        <v>34</v>
      </c>
      <c r="B33" t="s">
        <v>77</v>
      </c>
      <c r="C33" t="s">
        <v>83</v>
      </c>
      <c r="D33" t="s">
        <v>85</v>
      </c>
      <c r="E33">
        <v>2134</v>
      </c>
      <c r="F33">
        <v>11</v>
      </c>
      <c r="N33">
        <v>11</v>
      </c>
      <c r="O33" t="s">
        <v>161</v>
      </c>
    </row>
    <row r="34" spans="1:15" x14ac:dyDescent="0.25">
      <c r="A34" s="6" t="s">
        <v>35</v>
      </c>
      <c r="B34" t="s">
        <v>79</v>
      </c>
      <c r="C34" t="s">
        <v>81</v>
      </c>
      <c r="D34" t="s">
        <v>86</v>
      </c>
      <c r="E34">
        <v>311</v>
      </c>
      <c r="F34">
        <v>1</v>
      </c>
      <c r="N34">
        <v>12</v>
      </c>
      <c r="O34" t="s">
        <v>162</v>
      </c>
    </row>
    <row r="35" spans="1:15" x14ac:dyDescent="0.25">
      <c r="A35" s="6" t="s">
        <v>36</v>
      </c>
      <c r="B35" t="s">
        <v>73</v>
      </c>
      <c r="C35" t="s">
        <v>81</v>
      </c>
      <c r="D35" t="s">
        <v>85</v>
      </c>
      <c r="E35">
        <v>2388</v>
      </c>
      <c r="F35">
        <v>3</v>
      </c>
    </row>
    <row r="36" spans="1:15" x14ac:dyDescent="0.25">
      <c r="A36" s="6" t="s">
        <v>37</v>
      </c>
      <c r="B36" t="s">
        <v>76</v>
      </c>
      <c r="C36" t="s">
        <v>84</v>
      </c>
      <c r="D36" t="s">
        <v>85</v>
      </c>
      <c r="E36">
        <v>2853</v>
      </c>
      <c r="F36">
        <v>9</v>
      </c>
    </row>
    <row r="37" spans="1:15" x14ac:dyDescent="0.25">
      <c r="A37" s="6" t="s">
        <v>16</v>
      </c>
      <c r="B37" t="s">
        <v>80</v>
      </c>
      <c r="C37" t="s">
        <v>82</v>
      </c>
      <c r="D37" t="s">
        <v>88</v>
      </c>
      <c r="E37">
        <v>4382</v>
      </c>
      <c r="F37">
        <v>7</v>
      </c>
    </row>
    <row r="38" spans="1:15" x14ac:dyDescent="0.25">
      <c r="A38" s="6" t="s">
        <v>38</v>
      </c>
      <c r="B38" t="s">
        <v>73</v>
      </c>
      <c r="C38" t="s">
        <v>81</v>
      </c>
      <c r="D38" t="s">
        <v>85</v>
      </c>
      <c r="E38">
        <v>2690</v>
      </c>
      <c r="F38">
        <v>5</v>
      </c>
    </row>
    <row r="39" spans="1:15" x14ac:dyDescent="0.25">
      <c r="A39" s="6" t="s">
        <v>6</v>
      </c>
      <c r="B39" t="s">
        <v>77</v>
      </c>
      <c r="C39" t="s">
        <v>83</v>
      </c>
      <c r="D39" t="s">
        <v>87</v>
      </c>
      <c r="E39">
        <v>399</v>
      </c>
      <c r="F39">
        <v>3</v>
      </c>
    </row>
    <row r="40" spans="1:15" x14ac:dyDescent="0.25">
      <c r="A40" s="6" t="s">
        <v>31</v>
      </c>
      <c r="B40" t="s">
        <v>74</v>
      </c>
      <c r="C40" t="s">
        <v>82</v>
      </c>
      <c r="D40" t="s">
        <v>85</v>
      </c>
      <c r="E40">
        <v>4459</v>
      </c>
      <c r="F40">
        <v>7</v>
      </c>
    </row>
    <row r="41" spans="1:15" x14ac:dyDescent="0.25">
      <c r="A41" s="6" t="s">
        <v>39</v>
      </c>
      <c r="B41" t="s">
        <v>74</v>
      </c>
      <c r="C41" t="s">
        <v>82</v>
      </c>
      <c r="D41" t="s">
        <v>85</v>
      </c>
      <c r="E41">
        <v>2274</v>
      </c>
      <c r="F41">
        <v>3</v>
      </c>
    </row>
    <row r="42" spans="1:15" x14ac:dyDescent="0.25">
      <c r="A42" s="6" t="s">
        <v>40</v>
      </c>
      <c r="B42" t="s">
        <v>77</v>
      </c>
      <c r="C42" t="s">
        <v>83</v>
      </c>
      <c r="D42" t="s">
        <v>87</v>
      </c>
      <c r="E42">
        <v>11552</v>
      </c>
      <c r="F42">
        <v>19</v>
      </c>
    </row>
    <row r="43" spans="1:15" x14ac:dyDescent="0.25">
      <c r="A43" s="6" t="s">
        <v>38</v>
      </c>
      <c r="B43" t="s">
        <v>73</v>
      </c>
      <c r="C43" t="s">
        <v>81</v>
      </c>
      <c r="D43" t="s">
        <v>87</v>
      </c>
      <c r="E43">
        <v>4540</v>
      </c>
      <c r="F43">
        <v>5</v>
      </c>
    </row>
    <row r="44" spans="1:15" x14ac:dyDescent="0.25">
      <c r="A44" s="6" t="s">
        <v>41</v>
      </c>
      <c r="B44" t="s">
        <v>77</v>
      </c>
      <c r="C44" t="s">
        <v>83</v>
      </c>
      <c r="D44" t="s">
        <v>85</v>
      </c>
      <c r="E44">
        <v>4216</v>
      </c>
      <c r="F44">
        <v>8</v>
      </c>
    </row>
    <row r="45" spans="1:15" x14ac:dyDescent="0.25">
      <c r="A45" s="6" t="s">
        <v>42</v>
      </c>
      <c r="B45" t="s">
        <v>75</v>
      </c>
      <c r="C45" t="s">
        <v>83</v>
      </c>
      <c r="D45" t="s">
        <v>85</v>
      </c>
      <c r="E45">
        <v>4140</v>
      </c>
      <c r="F45">
        <v>18</v>
      </c>
    </row>
    <row r="46" spans="1:15" x14ac:dyDescent="0.25">
      <c r="A46" s="6" t="s">
        <v>43</v>
      </c>
      <c r="B46" t="s">
        <v>74</v>
      </c>
      <c r="C46" t="s">
        <v>82</v>
      </c>
      <c r="D46" t="s">
        <v>88</v>
      </c>
      <c r="E46">
        <v>8610</v>
      </c>
      <c r="F46">
        <v>10</v>
      </c>
    </row>
    <row r="47" spans="1:15" x14ac:dyDescent="0.25">
      <c r="A47" s="6" t="s">
        <v>44</v>
      </c>
      <c r="B47" t="s">
        <v>74</v>
      </c>
      <c r="C47" t="s">
        <v>82</v>
      </c>
      <c r="D47" t="s">
        <v>88</v>
      </c>
      <c r="E47">
        <v>7200</v>
      </c>
      <c r="F47">
        <v>8</v>
      </c>
    </row>
    <row r="48" spans="1:15" x14ac:dyDescent="0.25">
      <c r="A48" s="6" t="s">
        <v>45</v>
      </c>
      <c r="B48" t="s">
        <v>79</v>
      </c>
      <c r="C48" t="s">
        <v>81</v>
      </c>
      <c r="D48" t="s">
        <v>85</v>
      </c>
      <c r="E48">
        <v>10849</v>
      </c>
      <c r="F48">
        <v>19</v>
      </c>
    </row>
    <row r="49" spans="1:6" x14ac:dyDescent="0.25">
      <c r="A49" s="6" t="s">
        <v>27</v>
      </c>
      <c r="B49" t="s">
        <v>78</v>
      </c>
      <c r="C49" t="s">
        <v>84</v>
      </c>
      <c r="D49" t="s">
        <v>85</v>
      </c>
      <c r="E49">
        <v>14256</v>
      </c>
      <c r="F49">
        <v>16</v>
      </c>
    </row>
    <row r="50" spans="1:6" x14ac:dyDescent="0.25">
      <c r="A50" s="6" t="s">
        <v>28</v>
      </c>
      <c r="B50" t="s">
        <v>74</v>
      </c>
      <c r="C50" t="s">
        <v>82</v>
      </c>
      <c r="D50" t="s">
        <v>88</v>
      </c>
      <c r="E50">
        <v>1464</v>
      </c>
      <c r="F50">
        <v>2</v>
      </c>
    </row>
    <row r="51" spans="1:6" x14ac:dyDescent="0.25">
      <c r="A51" s="6" t="s">
        <v>22</v>
      </c>
      <c r="B51" t="s">
        <v>78</v>
      </c>
      <c r="C51" t="s">
        <v>84</v>
      </c>
      <c r="D51" t="s">
        <v>88</v>
      </c>
      <c r="E51">
        <v>9622</v>
      </c>
      <c r="F51">
        <v>17</v>
      </c>
    </row>
    <row r="52" spans="1:6" x14ac:dyDescent="0.25">
      <c r="A52" s="6" t="s">
        <v>46</v>
      </c>
      <c r="B52" t="s">
        <v>75</v>
      </c>
      <c r="C52" t="s">
        <v>83</v>
      </c>
      <c r="D52" t="s">
        <v>87</v>
      </c>
      <c r="E52">
        <v>13420</v>
      </c>
      <c r="F52">
        <v>20</v>
      </c>
    </row>
    <row r="53" spans="1:6" x14ac:dyDescent="0.25">
      <c r="A53" s="6" t="s">
        <v>42</v>
      </c>
      <c r="B53" t="s">
        <v>75</v>
      </c>
      <c r="C53" t="s">
        <v>83</v>
      </c>
      <c r="D53" t="s">
        <v>87</v>
      </c>
      <c r="E53">
        <v>3004</v>
      </c>
      <c r="F53">
        <v>4</v>
      </c>
    </row>
    <row r="54" spans="1:6" x14ac:dyDescent="0.25">
      <c r="A54" s="6" t="s">
        <v>47</v>
      </c>
      <c r="B54" t="s">
        <v>76</v>
      </c>
      <c r="C54" t="s">
        <v>84</v>
      </c>
      <c r="D54" t="s">
        <v>88</v>
      </c>
      <c r="E54">
        <v>11865</v>
      </c>
      <c r="F54">
        <v>15</v>
      </c>
    </row>
    <row r="55" spans="1:6" x14ac:dyDescent="0.25">
      <c r="A55" s="6" t="s">
        <v>44</v>
      </c>
      <c r="B55" t="s">
        <v>80</v>
      </c>
      <c r="C55" t="s">
        <v>82</v>
      </c>
      <c r="D55" t="s">
        <v>87</v>
      </c>
      <c r="E55">
        <v>7395</v>
      </c>
      <c r="F55">
        <v>17</v>
      </c>
    </row>
    <row r="56" spans="1:6" x14ac:dyDescent="0.25">
      <c r="A56" s="6" t="s">
        <v>39</v>
      </c>
      <c r="B56" t="s">
        <v>73</v>
      </c>
      <c r="C56" t="s">
        <v>81</v>
      </c>
      <c r="D56" t="s">
        <v>85</v>
      </c>
      <c r="E56">
        <v>12701</v>
      </c>
      <c r="F56">
        <v>13</v>
      </c>
    </row>
    <row r="57" spans="1:6" x14ac:dyDescent="0.25">
      <c r="A57" s="6" t="s">
        <v>48</v>
      </c>
      <c r="B57" t="s">
        <v>75</v>
      </c>
      <c r="C57" t="s">
        <v>83</v>
      </c>
      <c r="D57" t="s">
        <v>85</v>
      </c>
      <c r="E57">
        <v>8697</v>
      </c>
      <c r="F57">
        <v>13</v>
      </c>
    </row>
    <row r="58" spans="1:6" x14ac:dyDescent="0.25">
      <c r="A58" s="6" t="s">
        <v>10</v>
      </c>
      <c r="B58" t="s">
        <v>76</v>
      </c>
      <c r="C58" t="s">
        <v>84</v>
      </c>
      <c r="D58" t="s">
        <v>88</v>
      </c>
      <c r="E58">
        <v>2728</v>
      </c>
      <c r="F58">
        <v>11</v>
      </c>
    </row>
    <row r="59" spans="1:6" x14ac:dyDescent="0.25">
      <c r="A59" s="6" t="s">
        <v>49</v>
      </c>
      <c r="B59" t="s">
        <v>78</v>
      </c>
      <c r="C59" t="s">
        <v>84</v>
      </c>
      <c r="D59" t="s">
        <v>86</v>
      </c>
      <c r="E59">
        <v>7395</v>
      </c>
      <c r="F59">
        <v>17</v>
      </c>
    </row>
    <row r="60" spans="1:6" x14ac:dyDescent="0.25">
      <c r="A60" s="6" t="s">
        <v>30</v>
      </c>
      <c r="B60" t="s">
        <v>80</v>
      </c>
      <c r="C60" t="s">
        <v>82</v>
      </c>
      <c r="D60" t="s">
        <v>85</v>
      </c>
      <c r="E60">
        <v>632</v>
      </c>
      <c r="F60">
        <v>1</v>
      </c>
    </row>
    <row r="61" spans="1:6" x14ac:dyDescent="0.25">
      <c r="A61" s="6" t="s">
        <v>22</v>
      </c>
      <c r="B61" t="s">
        <v>77</v>
      </c>
      <c r="C61" t="s">
        <v>83</v>
      </c>
      <c r="D61" t="s">
        <v>88</v>
      </c>
      <c r="E61">
        <v>1044</v>
      </c>
      <c r="F61">
        <v>3</v>
      </c>
    </row>
    <row r="62" spans="1:6" x14ac:dyDescent="0.25">
      <c r="A62" s="6" t="s">
        <v>50</v>
      </c>
      <c r="B62" t="s">
        <v>75</v>
      </c>
      <c r="C62" t="s">
        <v>83</v>
      </c>
      <c r="D62" t="s">
        <v>85</v>
      </c>
      <c r="E62">
        <v>4779</v>
      </c>
      <c r="F62">
        <v>9</v>
      </c>
    </row>
    <row r="63" spans="1:6" x14ac:dyDescent="0.25">
      <c r="A63" s="6" t="s">
        <v>51</v>
      </c>
      <c r="B63" t="s">
        <v>73</v>
      </c>
      <c r="C63" t="s">
        <v>81</v>
      </c>
      <c r="D63" t="s">
        <v>85</v>
      </c>
      <c r="E63">
        <v>636</v>
      </c>
      <c r="F63">
        <v>2</v>
      </c>
    </row>
    <row r="64" spans="1:6" x14ac:dyDescent="0.25">
      <c r="A64" s="6" t="s">
        <v>52</v>
      </c>
      <c r="B64" t="s">
        <v>80</v>
      </c>
      <c r="C64" t="s">
        <v>82</v>
      </c>
      <c r="D64" t="s">
        <v>86</v>
      </c>
      <c r="E64">
        <v>7800</v>
      </c>
      <c r="F64">
        <v>10</v>
      </c>
    </row>
    <row r="65" spans="1:6" x14ac:dyDescent="0.25">
      <c r="A65" s="6" t="s">
        <v>53</v>
      </c>
      <c r="B65" t="s">
        <v>73</v>
      </c>
      <c r="C65" t="s">
        <v>81</v>
      </c>
      <c r="D65" t="s">
        <v>88</v>
      </c>
      <c r="E65">
        <v>545</v>
      </c>
      <c r="F65">
        <v>5</v>
      </c>
    </row>
    <row r="66" spans="1:6" x14ac:dyDescent="0.25">
      <c r="A66" s="6" t="s">
        <v>54</v>
      </c>
      <c r="B66" t="s">
        <v>75</v>
      </c>
      <c r="C66" t="s">
        <v>83</v>
      </c>
      <c r="D66" t="s">
        <v>85</v>
      </c>
      <c r="E66">
        <v>6040</v>
      </c>
      <c r="F66">
        <v>20</v>
      </c>
    </row>
    <row r="67" spans="1:6" x14ac:dyDescent="0.25">
      <c r="A67" s="6" t="s">
        <v>55</v>
      </c>
      <c r="B67" t="s">
        <v>74</v>
      </c>
      <c r="C67" t="s">
        <v>82</v>
      </c>
      <c r="D67" t="s">
        <v>88</v>
      </c>
      <c r="E67">
        <v>8136</v>
      </c>
      <c r="F67">
        <v>9</v>
      </c>
    </row>
    <row r="68" spans="1:6" x14ac:dyDescent="0.25">
      <c r="A68" s="6" t="s">
        <v>56</v>
      </c>
      <c r="B68" t="s">
        <v>80</v>
      </c>
      <c r="C68" t="s">
        <v>82</v>
      </c>
      <c r="D68" t="s">
        <v>88</v>
      </c>
      <c r="E68">
        <v>3928</v>
      </c>
      <c r="F68">
        <v>4</v>
      </c>
    </row>
    <row r="69" spans="1:6" x14ac:dyDescent="0.25">
      <c r="A69" s="6" t="s">
        <v>57</v>
      </c>
      <c r="B69" t="s">
        <v>80</v>
      </c>
      <c r="C69" t="s">
        <v>82</v>
      </c>
      <c r="D69" t="s">
        <v>87</v>
      </c>
      <c r="E69">
        <v>2968</v>
      </c>
      <c r="F69">
        <v>14</v>
      </c>
    </row>
    <row r="70" spans="1:6" x14ac:dyDescent="0.25">
      <c r="A70" s="6" t="s">
        <v>58</v>
      </c>
      <c r="B70" t="s">
        <v>74</v>
      </c>
      <c r="C70" t="s">
        <v>82</v>
      </c>
      <c r="D70" t="s">
        <v>87</v>
      </c>
      <c r="E70">
        <v>3955</v>
      </c>
      <c r="F70">
        <v>5</v>
      </c>
    </row>
    <row r="71" spans="1:6" x14ac:dyDescent="0.25">
      <c r="A71" s="6" t="s">
        <v>52</v>
      </c>
      <c r="B71" t="s">
        <v>75</v>
      </c>
      <c r="C71" t="s">
        <v>83</v>
      </c>
      <c r="D71" t="s">
        <v>85</v>
      </c>
      <c r="E71">
        <v>4048</v>
      </c>
      <c r="F71">
        <v>8</v>
      </c>
    </row>
    <row r="72" spans="1:6" x14ac:dyDescent="0.25">
      <c r="A72" s="6" t="s">
        <v>59</v>
      </c>
      <c r="B72" t="s">
        <v>78</v>
      </c>
      <c r="C72" t="s">
        <v>84</v>
      </c>
      <c r="D72" t="s">
        <v>87</v>
      </c>
      <c r="E72">
        <v>6464</v>
      </c>
      <c r="F72">
        <v>8</v>
      </c>
    </row>
    <row r="73" spans="1:6" x14ac:dyDescent="0.25">
      <c r="A73" s="6" t="s">
        <v>60</v>
      </c>
      <c r="B73" t="s">
        <v>73</v>
      </c>
      <c r="C73" t="s">
        <v>81</v>
      </c>
      <c r="D73" t="s">
        <v>88</v>
      </c>
      <c r="E73">
        <v>3042</v>
      </c>
      <c r="F73">
        <v>13</v>
      </c>
    </row>
    <row r="74" spans="1:6" x14ac:dyDescent="0.25">
      <c r="A74" s="6" t="s">
        <v>61</v>
      </c>
      <c r="B74" t="s">
        <v>80</v>
      </c>
      <c r="C74" t="s">
        <v>82</v>
      </c>
      <c r="D74" t="s">
        <v>88</v>
      </c>
      <c r="E74">
        <v>9480</v>
      </c>
      <c r="F74">
        <v>15</v>
      </c>
    </row>
    <row r="75" spans="1:6" x14ac:dyDescent="0.25">
      <c r="A75" s="6" t="s">
        <v>62</v>
      </c>
      <c r="B75" t="s">
        <v>75</v>
      </c>
      <c r="C75" t="s">
        <v>83</v>
      </c>
      <c r="D75" t="s">
        <v>88</v>
      </c>
      <c r="E75">
        <v>16321</v>
      </c>
      <c r="F75">
        <v>19</v>
      </c>
    </row>
    <row r="76" spans="1:6" x14ac:dyDescent="0.25">
      <c r="A76" s="6" t="s">
        <v>63</v>
      </c>
      <c r="B76" t="s">
        <v>74</v>
      </c>
      <c r="C76" t="s">
        <v>82</v>
      </c>
      <c r="D76" t="s">
        <v>87</v>
      </c>
      <c r="E76">
        <v>8436</v>
      </c>
      <c r="F76">
        <v>19</v>
      </c>
    </row>
    <row r="77" spans="1:6" x14ac:dyDescent="0.25">
      <c r="A77" s="6" t="s">
        <v>35</v>
      </c>
      <c r="B77" t="s">
        <v>74</v>
      </c>
      <c r="C77" t="s">
        <v>82</v>
      </c>
      <c r="D77" t="s">
        <v>85</v>
      </c>
      <c r="E77">
        <v>2832</v>
      </c>
      <c r="F77">
        <v>8</v>
      </c>
    </row>
    <row r="78" spans="1:6" x14ac:dyDescent="0.25">
      <c r="A78" s="6" t="s">
        <v>10</v>
      </c>
      <c r="B78" t="s">
        <v>79</v>
      </c>
      <c r="C78" t="s">
        <v>81</v>
      </c>
      <c r="D78" t="s">
        <v>86</v>
      </c>
      <c r="E78">
        <v>8604</v>
      </c>
      <c r="F78">
        <v>18</v>
      </c>
    </row>
    <row r="79" spans="1:6" x14ac:dyDescent="0.25">
      <c r="A79" s="6" t="s">
        <v>64</v>
      </c>
      <c r="B79" t="s">
        <v>73</v>
      </c>
      <c r="C79" t="s">
        <v>81</v>
      </c>
      <c r="D79" t="s">
        <v>86</v>
      </c>
      <c r="E79">
        <v>2805</v>
      </c>
      <c r="F79">
        <v>5</v>
      </c>
    </row>
    <row r="80" spans="1:6" x14ac:dyDescent="0.25">
      <c r="A80" s="6" t="s">
        <v>65</v>
      </c>
      <c r="B80" t="s">
        <v>79</v>
      </c>
      <c r="C80" t="s">
        <v>81</v>
      </c>
      <c r="D80" t="s">
        <v>87</v>
      </c>
      <c r="E80">
        <v>5544</v>
      </c>
      <c r="F80">
        <v>7</v>
      </c>
    </row>
    <row r="81" spans="1:6" x14ac:dyDescent="0.25">
      <c r="A81" s="6" t="s">
        <v>66</v>
      </c>
      <c r="B81" t="s">
        <v>77</v>
      </c>
      <c r="C81" t="s">
        <v>83</v>
      </c>
      <c r="D81" t="s">
        <v>88</v>
      </c>
      <c r="E81">
        <v>1694</v>
      </c>
      <c r="F81">
        <v>11</v>
      </c>
    </row>
    <row r="82" spans="1:6" x14ac:dyDescent="0.25">
      <c r="A82" s="6" t="s">
        <v>64</v>
      </c>
      <c r="B82" t="s">
        <v>75</v>
      </c>
      <c r="C82" t="s">
        <v>83</v>
      </c>
      <c r="D82" t="s">
        <v>86</v>
      </c>
      <c r="E82">
        <v>5760</v>
      </c>
      <c r="F82">
        <v>9</v>
      </c>
    </row>
    <row r="83" spans="1:6" x14ac:dyDescent="0.25">
      <c r="A83" s="6" t="s">
        <v>67</v>
      </c>
      <c r="B83" t="s">
        <v>78</v>
      </c>
      <c r="C83" t="s">
        <v>84</v>
      </c>
      <c r="D83" t="s">
        <v>85</v>
      </c>
      <c r="E83">
        <v>8550</v>
      </c>
      <c r="F83">
        <v>10</v>
      </c>
    </row>
    <row r="84" spans="1:6" x14ac:dyDescent="0.25">
      <c r="A84" s="6" t="s">
        <v>68</v>
      </c>
      <c r="B84" t="s">
        <v>79</v>
      </c>
      <c r="C84" t="s">
        <v>81</v>
      </c>
      <c r="D84" t="s">
        <v>86</v>
      </c>
      <c r="E84">
        <v>1220</v>
      </c>
      <c r="F84">
        <v>5</v>
      </c>
    </row>
    <row r="85" spans="1:6" x14ac:dyDescent="0.25">
      <c r="A85" s="6" t="s">
        <v>69</v>
      </c>
      <c r="B85" t="s">
        <v>77</v>
      </c>
      <c r="C85" t="s">
        <v>83</v>
      </c>
      <c r="D85" t="s">
        <v>88</v>
      </c>
      <c r="E85">
        <v>2490</v>
      </c>
      <c r="F85">
        <v>15</v>
      </c>
    </row>
    <row r="86" spans="1:6" x14ac:dyDescent="0.25">
      <c r="A86" s="6" t="s">
        <v>70</v>
      </c>
      <c r="B86" t="s">
        <v>73</v>
      </c>
      <c r="C86" t="s">
        <v>81</v>
      </c>
      <c r="D86" t="s">
        <v>88</v>
      </c>
      <c r="E86">
        <v>3225</v>
      </c>
      <c r="F86">
        <v>15</v>
      </c>
    </row>
    <row r="87" spans="1:6" x14ac:dyDescent="0.25">
      <c r="A87" s="6" t="s">
        <v>40</v>
      </c>
      <c r="B87" t="s">
        <v>79</v>
      </c>
      <c r="C87" t="s">
        <v>81</v>
      </c>
      <c r="D87" t="s">
        <v>88</v>
      </c>
      <c r="E87">
        <v>7930</v>
      </c>
      <c r="F87">
        <v>13</v>
      </c>
    </row>
    <row r="88" spans="1:6" x14ac:dyDescent="0.25">
      <c r="A88" s="6" t="s">
        <v>63</v>
      </c>
      <c r="B88" t="s">
        <v>78</v>
      </c>
      <c r="C88" t="s">
        <v>84</v>
      </c>
      <c r="D88" t="s">
        <v>85</v>
      </c>
      <c r="E88">
        <v>12920</v>
      </c>
      <c r="F88">
        <v>19</v>
      </c>
    </row>
    <row r="89" spans="1:6" x14ac:dyDescent="0.25">
      <c r="A89" s="6" t="s">
        <v>40</v>
      </c>
      <c r="B89" t="s">
        <v>77</v>
      </c>
      <c r="C89" t="s">
        <v>83</v>
      </c>
      <c r="D89" t="s">
        <v>85</v>
      </c>
      <c r="E89">
        <v>4685</v>
      </c>
      <c r="F89">
        <v>5</v>
      </c>
    </row>
    <row r="90" spans="1:6" x14ac:dyDescent="0.25">
      <c r="A90" s="6" t="s">
        <v>9</v>
      </c>
      <c r="B90" t="s">
        <v>74</v>
      </c>
      <c r="C90" t="s">
        <v>82</v>
      </c>
      <c r="D90" t="s">
        <v>88</v>
      </c>
      <c r="E90">
        <v>808</v>
      </c>
      <c r="F90">
        <v>8</v>
      </c>
    </row>
    <row r="91" spans="1:6" x14ac:dyDescent="0.25">
      <c r="A91" s="6" t="s">
        <v>38</v>
      </c>
      <c r="B91" t="s">
        <v>76</v>
      </c>
      <c r="C91" t="s">
        <v>84</v>
      </c>
      <c r="D91" t="s">
        <v>85</v>
      </c>
      <c r="E91">
        <v>1592</v>
      </c>
      <c r="F91">
        <v>4</v>
      </c>
    </row>
    <row r="92" spans="1:6" x14ac:dyDescent="0.25">
      <c r="A92" s="6" t="s">
        <v>15</v>
      </c>
      <c r="B92" t="s">
        <v>75</v>
      </c>
      <c r="C92" t="s">
        <v>83</v>
      </c>
      <c r="D92" t="s">
        <v>86</v>
      </c>
      <c r="E92">
        <v>14860</v>
      </c>
      <c r="F92">
        <v>20</v>
      </c>
    </row>
    <row r="93" spans="1:6" x14ac:dyDescent="0.25">
      <c r="A93" s="6" t="s">
        <v>49</v>
      </c>
      <c r="B93" t="s">
        <v>78</v>
      </c>
      <c r="C93" t="s">
        <v>84</v>
      </c>
      <c r="D93" t="s">
        <v>86</v>
      </c>
      <c r="E93">
        <v>8040</v>
      </c>
      <c r="F93">
        <v>10</v>
      </c>
    </row>
    <row r="94" spans="1:6" x14ac:dyDescent="0.25">
      <c r="A94" s="6" t="s">
        <v>33</v>
      </c>
      <c r="B94" t="s">
        <v>78</v>
      </c>
      <c r="C94" t="s">
        <v>84</v>
      </c>
      <c r="D94" t="s">
        <v>87</v>
      </c>
      <c r="E94">
        <v>3880</v>
      </c>
      <c r="F94">
        <v>20</v>
      </c>
    </row>
    <row r="95" spans="1:6" x14ac:dyDescent="0.25">
      <c r="A95" s="6" t="s">
        <v>71</v>
      </c>
      <c r="B95" t="s">
        <v>75</v>
      </c>
      <c r="C95" t="s">
        <v>83</v>
      </c>
      <c r="D95" t="s">
        <v>87</v>
      </c>
      <c r="E95">
        <v>2522</v>
      </c>
      <c r="F95">
        <v>13</v>
      </c>
    </row>
    <row r="96" spans="1:6" x14ac:dyDescent="0.25">
      <c r="A96" s="6" t="s">
        <v>28</v>
      </c>
      <c r="B96" t="s">
        <v>76</v>
      </c>
      <c r="C96" t="s">
        <v>84</v>
      </c>
      <c r="D96" t="s">
        <v>85</v>
      </c>
      <c r="E96">
        <v>852</v>
      </c>
      <c r="F96">
        <v>2</v>
      </c>
    </row>
    <row r="97" spans="1:6" x14ac:dyDescent="0.25">
      <c r="A97" s="6" t="s">
        <v>59</v>
      </c>
      <c r="B97" t="s">
        <v>73</v>
      </c>
      <c r="C97" t="s">
        <v>81</v>
      </c>
      <c r="D97" t="s">
        <v>85</v>
      </c>
      <c r="E97">
        <v>1185</v>
      </c>
      <c r="F97">
        <v>5</v>
      </c>
    </row>
    <row r="98" spans="1:6" x14ac:dyDescent="0.25">
      <c r="A98" s="6" t="s">
        <v>21</v>
      </c>
      <c r="B98" t="s">
        <v>73</v>
      </c>
      <c r="C98" t="s">
        <v>81</v>
      </c>
      <c r="D98" t="s">
        <v>85</v>
      </c>
      <c r="E98">
        <v>1836</v>
      </c>
      <c r="F98">
        <v>12</v>
      </c>
    </row>
    <row r="99" spans="1:6" x14ac:dyDescent="0.25">
      <c r="A99" s="6" t="s">
        <v>29</v>
      </c>
      <c r="B99" t="s">
        <v>80</v>
      </c>
      <c r="C99" t="s">
        <v>82</v>
      </c>
      <c r="D99" t="s">
        <v>87</v>
      </c>
      <c r="E99">
        <v>3835</v>
      </c>
      <c r="F99">
        <v>5</v>
      </c>
    </row>
    <row r="100" spans="1:6" x14ac:dyDescent="0.25">
      <c r="A100" s="6" t="s">
        <v>72</v>
      </c>
      <c r="B100" t="s">
        <v>75</v>
      </c>
      <c r="C100" t="s">
        <v>83</v>
      </c>
      <c r="D100" t="s">
        <v>85</v>
      </c>
      <c r="E100">
        <v>2460</v>
      </c>
      <c r="F100">
        <v>12</v>
      </c>
    </row>
    <row r="101" spans="1:6" x14ac:dyDescent="0.25">
      <c r="A101" s="6" t="s">
        <v>10</v>
      </c>
      <c r="B101" t="s">
        <v>78</v>
      </c>
      <c r="C101" t="s">
        <v>84</v>
      </c>
      <c r="D101" t="s">
        <v>88</v>
      </c>
      <c r="E101">
        <v>3941</v>
      </c>
      <c r="F101">
        <v>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23F700-B724-4C9A-9354-FCFB60B296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formulasbasic</vt:lpstr>
      <vt:lpstr>Sheet2</vt:lpstr>
      <vt:lpstr>datefunctions</vt:lpstr>
      <vt:lpstr>stringfunctions</vt:lpstr>
      <vt:lpstr>mathfunctions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2025-06-05T17:27:55Z</dcterms:created>
  <dcterms:modified xsi:type="dcterms:W3CDTF">2026-06-01T11:28:21Z</dcterms:modified>
</cp:coreProperties>
</file>