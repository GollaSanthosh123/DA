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CC75EE5-E146-492C-961D-31CA0D913B3D}" xr6:coauthVersionLast="36" xr6:coauthVersionMax="36" xr10:uidLastSave="{00000000-0000-0000-0000-000000000000}"/>
  <bookViews>
    <workbookView xWindow="0" yWindow="0" windowWidth="19200" windowHeight="6810" xr2:uid="{2179568C-972C-4BDF-AEEE-93E8CF1985FF}"/>
  </bookViews>
  <sheets>
    <sheet name="scenario-1" sheetId="2" r:id="rId1"/>
    <sheet name="descriptive-1" sheetId="3" r:id="rId2"/>
    <sheet name="regreseion-1" sheetId="4" r:id="rId3"/>
    <sheet name="scernario-2" sheetId="5" r:id="rId4"/>
    <sheet name="regrission" sheetId="6" r:id="rId5"/>
    <sheet name="descriptive-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5" l="1"/>
  <c r="B18" i="5"/>
  <c r="B17" i="5"/>
  <c r="B15" i="5"/>
  <c r="B14" i="5"/>
  <c r="B13" i="5"/>
  <c r="B20" i="2"/>
  <c r="D9" i="2" s="1"/>
  <c r="B18" i="2"/>
  <c r="D7" i="2" s="1"/>
  <c r="B16" i="2"/>
  <c r="D5" i="2" s="1"/>
  <c r="D4" i="2"/>
  <c r="D6" i="2"/>
  <c r="D8" i="2"/>
  <c r="D10" i="2"/>
  <c r="B14" i="2"/>
  <c r="D3" i="2" s="1"/>
  <c r="B13" i="2"/>
  <c r="D2" i="2" s="1"/>
  <c r="B12" i="2"/>
  <c r="D11" i="2" l="1"/>
</calcChain>
</file>

<file path=xl/sharedStrings.xml><?xml version="1.0" encoding="utf-8"?>
<sst xmlns="http://schemas.openxmlformats.org/spreadsheetml/2006/main" count="124" uniqueCount="73">
  <si>
    <t>Column1</t>
  </si>
  <si>
    <t>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</si>
  <si>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</si>
  <si>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</si>
  <si>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</si>
  <si>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</si>
  <si>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</si>
  <si>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</si>
  <si>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</si>
  <si>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</si>
  <si>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</si>
  <si>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income</t>
  </si>
  <si>
    <t>mean</t>
  </si>
  <si>
    <t>median</t>
  </si>
  <si>
    <t>mode</t>
  </si>
  <si>
    <t>deviation</t>
  </si>
  <si>
    <t>std</t>
  </si>
  <si>
    <t>variance</t>
  </si>
  <si>
    <t>work hours</t>
  </si>
  <si>
    <t>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</si>
  <si>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</si>
  <si>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</si>
  <si>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</si>
  <si>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</si>
  <si>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</si>
  <si>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</si>
  <si>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</si>
  <si>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</si>
  <si>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</si>
  <si>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</si>
  <si>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</si>
  <si>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</si>
  <si>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</si>
  <si>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</si>
  <si>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</si>
  <si>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</si>
  <si>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</si>
  <si>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</si>
  <si>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</si>
  <si>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</si>
  <si>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</si>
  <si>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</si>
  <si>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</si>
  <si>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</si>
  <si>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</si>
  <si>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</si>
  <si>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</si>
  <si>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</si>
  <si>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</si>
  <si>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</si>
  <si>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</si>
  <si>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</si>
  <si>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</si>
  <si>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</si>
  <si>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</si>
  <si>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</si>
  <si>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</si>
  <si>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</si>
  <si>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</si>
  <si>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</si>
  <si>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sl.no</t>
  </si>
  <si>
    <t>product name</t>
  </si>
  <si>
    <t>pen</t>
  </si>
  <si>
    <t>pencil</t>
  </si>
  <si>
    <t>chocalate</t>
  </si>
  <si>
    <t>5-star</t>
  </si>
  <si>
    <t>dairy milk</t>
  </si>
  <si>
    <t>curd</t>
  </si>
  <si>
    <t>juices</t>
  </si>
  <si>
    <t>biscuits</t>
  </si>
  <si>
    <t>sales</t>
  </si>
  <si>
    <t>prices</t>
  </si>
  <si>
    <t>soaps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</si>
</sst>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'scenario-1'!$A$2:$A$10</c:f>
              <c:strCache>
                <c:ptCount val="9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  <c:pt idx="6">
                  <c:v>a7</c:v>
                </c:pt>
                <c:pt idx="7">
                  <c:v>a8</c:v>
                </c:pt>
                <c:pt idx="8">
                  <c:v>a9</c:v>
                </c:pt>
              </c:strCache>
            </c:strRef>
          </c:cat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B-42F0-8847-0E93A6D55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166079"/>
        <c:axId val="1493165119"/>
      </c:barChart>
      <c:catAx>
        <c:axId val="14931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65119"/>
        <c:crosses val="autoZero"/>
        <c:auto val="1"/>
        <c:lblAlgn val="ctr"/>
        <c:lblOffset val="100"/>
        <c:noMultiLvlLbl val="0"/>
      </c:catAx>
      <c:valAx>
        <c:axId val="14931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0D-4614-98D2-F1AAD5DF43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0D-4614-98D2-F1AAD5DF43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0D-4614-98D2-F1AAD5DF43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60D-4614-98D2-F1AAD5DF43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60D-4614-98D2-F1AAD5DF43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60D-4614-98D2-F1AAD5DF43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60D-4614-98D2-F1AAD5DF43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60D-4614-98D2-F1AAD5DF43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60D-4614-98D2-F1AAD5DF43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3-4FEA-A242-2EEB1AF500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114258160318686E-2"/>
          <c:y val="0.15128217926800355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xVal>
          <c:yVal>
            <c:numRef>
              <c:f>'scenario-1'!$C$2:$C$10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5.5</c:v>
                </c:pt>
                <c:pt idx="5">
                  <c:v>8</c:v>
                </c:pt>
                <c:pt idx="6">
                  <c:v>7.5</c:v>
                </c:pt>
                <c:pt idx="7">
                  <c:v>4</c:v>
                </c:pt>
                <c:pt idx="8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6-4A72-9B0C-FEF341CF6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690719"/>
        <c:axId val="1961703199"/>
      </c:scatterChart>
      <c:valAx>
        <c:axId val="196169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03199"/>
        <c:crosses val="autoZero"/>
        <c:crossBetween val="midCat"/>
      </c:valAx>
      <c:valAx>
        <c:axId val="19617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9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16708333333333336"/>
          <c:w val="0.86486351706036746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C-4919-8FBE-C792F97007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'scenario-1'!$C$2:$C$10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5.5</c:v>
                </c:pt>
                <c:pt idx="5">
                  <c:v>8</c:v>
                </c:pt>
                <c:pt idx="6">
                  <c:v>7.5</c:v>
                </c:pt>
                <c:pt idx="7">
                  <c:v>4</c:v>
                </c:pt>
                <c:pt idx="8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C-4919-8FBE-C792F970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721439"/>
        <c:axId val="1961726719"/>
      </c:lineChart>
      <c:catAx>
        <c:axId val="196172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6719"/>
        <c:crosses val="autoZero"/>
        <c:auto val="1"/>
        <c:lblAlgn val="ctr"/>
        <c:lblOffset val="100"/>
        <c:noMultiLvlLbl val="0"/>
      </c:catAx>
      <c:valAx>
        <c:axId val="19617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614829396325475E-2"/>
          <c:y val="0.16245370370370371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'scernario-2'!$C$1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B-4776-8617-6C045124E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318991"/>
        <c:axId val="1558319471"/>
      </c:barChart>
      <c:catAx>
        <c:axId val="155831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9471"/>
        <c:crosses val="autoZero"/>
        <c:auto val="1"/>
        <c:lblAlgn val="ctr"/>
        <c:lblOffset val="100"/>
        <c:noMultiLvlLbl val="0"/>
      </c:catAx>
      <c:valAx>
        <c:axId val="15583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7171296296296298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E-40C1-BAEA-7AD3E9D5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349423"/>
        <c:axId val="1966351343"/>
      </c:lineChart>
      <c:catAx>
        <c:axId val="196634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51343"/>
        <c:crosses val="autoZero"/>
        <c:auto val="1"/>
        <c:lblAlgn val="ctr"/>
        <c:lblOffset val="100"/>
        <c:noMultiLvlLbl val="0"/>
      </c:catAx>
      <c:valAx>
        <c:axId val="19663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4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41-45AF-A0C8-0FE0AC2D61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41-45AF-A0C8-0FE0AC2D61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41-45AF-A0C8-0FE0AC2D61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C41-45AF-A0C8-0FE0AC2D61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C41-45AF-A0C8-0FE0AC2D61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C41-45AF-A0C8-0FE0AC2D61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C41-45AF-A0C8-0FE0AC2D61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C41-45AF-A0C8-0FE0AC2D61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C41-45AF-A0C8-0FE0AC2D616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2-4936-BE64-4C0C13E1EA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171296296296298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xVal>
          <c:yVal>
            <c:numRef>
              <c:f>'scernario-2'!$D$2:$D$10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15</c:v>
                </c:pt>
                <c:pt idx="4">
                  <c:v>20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1-463A-8615-2F5FE978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702719"/>
        <c:axId val="1961686399"/>
      </c:scatterChart>
      <c:valAx>
        <c:axId val="196170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86399"/>
        <c:crosses val="autoZero"/>
        <c:crossBetween val="midCat"/>
      </c:valAx>
      <c:valAx>
        <c:axId val="19616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0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1</xdr:row>
      <xdr:rowOff>45720</xdr:rowOff>
    </xdr:from>
    <xdr:to>
      <xdr:col>22</xdr:col>
      <xdr:colOff>533400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9FB18-F668-FF44-9B57-C91CFF128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586740</xdr:colOff>
      <xdr:row>0</xdr:row>
      <xdr:rowOff>163830</xdr:rowOff>
    </xdr:from>
    <xdr:to>
      <xdr:col>15</xdr:col>
      <xdr:colOff>99060</xdr:colOff>
      <xdr:row>13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A28EB-2D5C-451F-1E6D-CB501C89A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304800</xdr:colOff>
      <xdr:row>17</xdr:row>
      <xdr:rowOff>53340</xdr:rowOff>
    </xdr:from>
    <xdr:to>
      <xdr:col>22</xdr:col>
      <xdr:colOff>304800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BF8DE-757D-AF0D-0B8F-64B03F52A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388620</xdr:colOff>
      <xdr:row>16</xdr:row>
      <xdr:rowOff>114300</xdr:rowOff>
    </xdr:from>
    <xdr:to>
      <xdr:col>14</xdr:col>
      <xdr:colOff>510540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ADD2EE-BDC7-5BFD-B65B-77105BEA3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99060</xdr:colOff>
      <xdr:row>1</xdr:row>
      <xdr:rowOff>41910</xdr:rowOff>
    </xdr:from>
    <xdr:to>
      <xdr:col>22</xdr:col>
      <xdr:colOff>403860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342F8-1C1C-A745-17DE-356E1B2FA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0</xdr:row>
      <xdr:rowOff>163830</xdr:rowOff>
    </xdr:from>
    <xdr:to>
      <xdr:col>14</xdr:col>
      <xdr:colOff>541020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FBB83-C95D-BD5F-FD94-3A3093ADA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16</xdr:row>
      <xdr:rowOff>87630</xdr:rowOff>
    </xdr:from>
    <xdr:to>
      <xdr:col>15</xdr:col>
      <xdr:colOff>114300</xdr:colOff>
      <xdr:row>31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54EDE-D227-7844-BF23-FEEA4B29E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327660</xdr:colOff>
      <xdr:row>16</xdr:row>
      <xdr:rowOff>95250</xdr:rowOff>
    </xdr:from>
    <xdr:to>
      <xdr:col>23</xdr:col>
      <xdr:colOff>22860</xdr:colOff>
      <xdr:row>31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F4AA73-0762-B681-9E2A-D9A75FA55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BAFFB-890A-464B-AE63-5CF69699F517}" name="Table2" displayName="Table2" ref="A1:C10" totalsRowShown="0">
  <autoFilter ref="A1:C10" xr:uid="{AC1BAFFB-890A-464B-AE63-5CF69699F517}"/>
  <tableColumns count="3">
    <tableColumn id="1" xr3:uid="{B46B2D8E-ECF0-4179-83F9-6B0457587670}" name="NAME"/>
    <tableColumn id="2" xr3:uid="{8D7E4070-55A0-4ED1-A8E2-14F18A07DE02}" name="income"/>
    <tableColumn id="3" xr3:uid="{846DE195-D87E-4320-A5A4-47A6622F3230}" name="work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1B1B-8BD4-4CDC-87CC-42EC85D312BA}">
  <dimension ref="A1:D20"/>
  <sheetViews>
    <sheetView tabSelected="1" workbookViewId="0">
      <selection activeCell="G9" sqref="G9"/>
    </sheetView>
  </sheetViews>
  <sheetFormatPr defaultRowHeight="14.5" x14ac:dyDescent="0.35"/>
  <cols>
    <col min="2" max="2" width="9.08984375" customWidth="1"/>
  </cols>
  <sheetData>
    <row r="1" spans="1:4" x14ac:dyDescent="0.35">
      <c r="A1" t="s">
        <v>1</v>
      </c>
      <c r="B1" t="s">
        <v>11</v>
      </c>
      <c r="C1" t="s">
        <v>18</v>
      </c>
      <c r="D1" t="s">
        <v>15</v>
      </c>
    </row>
    <row r="2" spans="1:4" x14ac:dyDescent="0.35">
      <c r="A2" t="s">
        <v>2</v>
      </c>
      <c r="B2">
        <v>20000</v>
      </c>
      <c r="C2">
        <v>5</v>
      </c>
      <c r="D2">
        <f>Table2[[#This Row],[income]]-B13</f>
        <v>-14000</v>
      </c>
    </row>
    <row r="3" spans="1:4" x14ac:dyDescent="0.35">
      <c r="A3" t="s">
        <v>3</v>
      </c>
      <c r="B3">
        <v>15000</v>
      </c>
      <c r="C3">
        <v>4</v>
      </c>
      <c r="D3">
        <f>Table2[[#This Row],[income]]-B14</f>
        <v>-5000</v>
      </c>
    </row>
    <row r="4" spans="1:4" x14ac:dyDescent="0.35">
      <c r="A4" t="s">
        <v>4</v>
      </c>
      <c r="B4">
        <v>40000</v>
      </c>
      <c r="C4">
        <v>6</v>
      </c>
      <c r="D4">
        <f>Table2[[#This Row],[income]]-B15</f>
        <v>40000</v>
      </c>
    </row>
    <row r="5" spans="1:4" x14ac:dyDescent="0.35">
      <c r="A5" t="s">
        <v>5</v>
      </c>
      <c r="B5">
        <v>50000</v>
      </c>
      <c r="C5">
        <v>7</v>
      </c>
      <c r="D5">
        <f>Table2[[#This Row],[income]]-B16</f>
        <v>34139.496995506241</v>
      </c>
    </row>
    <row r="6" spans="1:4" x14ac:dyDescent="0.35">
      <c r="A6" t="s">
        <v>6</v>
      </c>
      <c r="B6">
        <v>34000</v>
      </c>
      <c r="C6">
        <v>5.5</v>
      </c>
      <c r="D6">
        <f>Table2[[#This Row],[income]]-B17</f>
        <v>34000</v>
      </c>
    </row>
    <row r="7" spans="1:4" x14ac:dyDescent="0.35">
      <c r="A7" t="s">
        <v>7</v>
      </c>
      <c r="B7">
        <v>60000</v>
      </c>
      <c r="C7">
        <v>8</v>
      </c>
      <c r="D7">
        <f>Table2[[#This Row],[income]]-B18</f>
        <v>-282940000</v>
      </c>
    </row>
    <row r="8" spans="1:4" x14ac:dyDescent="0.35">
      <c r="A8" t="s">
        <v>8</v>
      </c>
      <c r="B8">
        <v>58000</v>
      </c>
      <c r="C8">
        <v>7.5</v>
      </c>
      <c r="D8">
        <f>Table2[[#This Row],[income]]-B19</f>
        <v>58000</v>
      </c>
    </row>
    <row r="9" spans="1:4" x14ac:dyDescent="0.35">
      <c r="A9" t="s">
        <v>9</v>
      </c>
      <c r="B9">
        <v>20000</v>
      </c>
      <c r="C9">
        <v>4</v>
      </c>
      <c r="D9">
        <f>Table2[[#This Row],[income]]-B20</f>
        <v>19999.031403317949</v>
      </c>
    </row>
    <row r="10" spans="1:4" x14ac:dyDescent="0.35">
      <c r="A10" t="s">
        <v>10</v>
      </c>
      <c r="B10">
        <v>30000</v>
      </c>
      <c r="C10">
        <v>4.5</v>
      </c>
      <c r="D10">
        <f>Table2[[#This Row],[income]]-B21</f>
        <v>30000</v>
      </c>
    </row>
    <row r="11" spans="1:4" x14ac:dyDescent="0.35">
      <c r="D11">
        <f>SUM(D2:E10)</f>
        <v>-282742861.47160119</v>
      </c>
    </row>
    <row r="12" spans="1:4" x14ac:dyDescent="0.35">
      <c r="A12" t="s">
        <v>12</v>
      </c>
      <c r="B12">
        <f>AVERAGE(B2:B10)</f>
        <v>36333.333333333336</v>
      </c>
    </row>
    <row r="13" spans="1:4" x14ac:dyDescent="0.35">
      <c r="A13" t="s">
        <v>13</v>
      </c>
      <c r="B13">
        <f>MEDIAN(Table2[income])</f>
        <v>34000</v>
      </c>
    </row>
    <row r="14" spans="1:4" x14ac:dyDescent="0.35">
      <c r="A14" t="s">
        <v>14</v>
      </c>
      <c r="B14">
        <f>MODE(Table2[income])</f>
        <v>20000</v>
      </c>
    </row>
    <row r="16" spans="1:4" x14ac:dyDescent="0.35">
      <c r="A16" t="s">
        <v>16</v>
      </c>
      <c r="B16">
        <f>_xlfn.STDEV.P(Table2[income])</f>
        <v>15860.503004493759</v>
      </c>
    </row>
    <row r="18" spans="1:2" x14ac:dyDescent="0.35">
      <c r="A18" t="s">
        <v>17</v>
      </c>
      <c r="B18">
        <f>_xlfn.VAR.S(Table2[income])</f>
        <v>283000000</v>
      </c>
    </row>
    <row r="20" spans="1:2" x14ac:dyDescent="0.35">
      <c r="A20" t="s">
        <v>19</v>
      </c>
      <c r="B20">
        <f>CORREL(Table2[income],Table2[work hours])</f>
        <v>0.96859668205174698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6327-79FC-4C12-BED3-973AB33464C8}">
  <dimension ref="A1:B18"/>
  <sheetViews>
    <sheetView topLeftCell="A4" workbookViewId="0">
      <selection activeCell="D18" sqref="D18"/>
    </sheetView>
  </sheetViews>
  <sheetFormatPr defaultRowHeight="14.5" x14ac:dyDescent="0.35"/>
  <sheetData>
    <row r="1" spans="1:2" x14ac:dyDescent="0.35">
      <c r="A1" s="4" t="s">
        <v>0</v>
      </c>
      <c r="B1" s="4"/>
    </row>
    <row r="2" spans="1:2" x14ac:dyDescent="0.35">
      <c r="A2" s="1"/>
      <c r="B2" s="1"/>
    </row>
    <row r="3" spans="1:2" x14ac:dyDescent="0.35">
      <c r="A3" s="1" t="s">
        <v>20</v>
      </c>
      <c r="B3" s="1">
        <v>36333.333333333336</v>
      </c>
    </row>
    <row r="4" spans="1:2" x14ac:dyDescent="0.35">
      <c r="A4" s="1" t="s">
        <v>21</v>
      </c>
      <c r="B4" s="1">
        <v>5607.5346137535744</v>
      </c>
    </row>
    <row r="5" spans="1:2" x14ac:dyDescent="0.35">
      <c r="A5" s="1" t="s">
        <v>22</v>
      </c>
      <c r="B5" s="1">
        <v>34000</v>
      </c>
    </row>
    <row r="6" spans="1:2" x14ac:dyDescent="0.35">
      <c r="A6" s="1" t="s">
        <v>23</v>
      </c>
      <c r="B6" s="1">
        <v>20000</v>
      </c>
    </row>
    <row r="7" spans="1:2" x14ac:dyDescent="0.35">
      <c r="A7" s="1" t="s">
        <v>24</v>
      </c>
      <c r="B7" s="1">
        <v>16822.603841260723</v>
      </c>
    </row>
    <row r="8" spans="1:2" x14ac:dyDescent="0.35">
      <c r="A8" s="1" t="s">
        <v>25</v>
      </c>
      <c r="B8" s="1">
        <v>283000000</v>
      </c>
    </row>
    <row r="9" spans="1:2" x14ac:dyDescent="0.35">
      <c r="A9" s="1" t="s">
        <v>26</v>
      </c>
      <c r="B9" s="1">
        <v>-1.4935758968147939</v>
      </c>
    </row>
    <row r="10" spans="1:2" x14ac:dyDescent="0.35">
      <c r="A10" s="1" t="s">
        <v>27</v>
      </c>
      <c r="B10" s="1">
        <v>0.24773763708133284</v>
      </c>
    </row>
    <row r="11" spans="1:2" x14ac:dyDescent="0.35">
      <c r="A11" s="1" t="s">
        <v>28</v>
      </c>
      <c r="B11" s="1">
        <v>45000</v>
      </c>
    </row>
    <row r="12" spans="1:2" x14ac:dyDescent="0.35">
      <c r="A12" s="1" t="s">
        <v>29</v>
      </c>
      <c r="B12" s="1">
        <v>15000</v>
      </c>
    </row>
    <row r="13" spans="1:2" x14ac:dyDescent="0.35">
      <c r="A13" s="1" t="s">
        <v>30</v>
      </c>
      <c r="B13" s="1">
        <v>60000</v>
      </c>
    </row>
    <row r="14" spans="1:2" x14ac:dyDescent="0.35">
      <c r="A14" s="1" t="s">
        <v>31</v>
      </c>
      <c r="B14" s="1">
        <v>327000</v>
      </c>
    </row>
    <row r="15" spans="1:2" x14ac:dyDescent="0.35">
      <c r="A15" s="1" t="s">
        <v>32</v>
      </c>
      <c r="B15" s="1">
        <v>9</v>
      </c>
    </row>
    <row r="16" spans="1:2" x14ac:dyDescent="0.35">
      <c r="A16" s="1" t="s">
        <v>33</v>
      </c>
      <c r="B16" s="1">
        <v>60000</v>
      </c>
    </row>
    <row r="17" spans="1:2" x14ac:dyDescent="0.35">
      <c r="A17" s="1" t="s">
        <v>34</v>
      </c>
      <c r="B17" s="1">
        <v>15000</v>
      </c>
    </row>
    <row r="18" spans="1:2" ht="15" thickBot="1" x14ac:dyDescent="0.4">
      <c r="A18" s="2" t="s">
        <v>35</v>
      </c>
      <c r="B18" s="2">
        <v>12930.998007616239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4D9-22A2-4709-9D57-C4AF5D572BD8}">
  <dimension ref="A1:I18"/>
  <sheetViews>
    <sheetView topLeftCell="A2" workbookViewId="0">
      <selection activeCell="L13" sqref="L13"/>
    </sheetView>
  </sheetViews>
  <sheetFormatPr defaultRowHeight="14.5" x14ac:dyDescent="0.35"/>
  <sheetData>
    <row r="1" spans="1:9" x14ac:dyDescent="0.35">
      <c r="A1" t="s">
        <v>36</v>
      </c>
    </row>
    <row r="2" spans="1:9" ht="15" thickBot="1" x14ac:dyDescent="0.4"/>
    <row r="3" spans="1:9" x14ac:dyDescent="0.35">
      <c r="A3" s="4" t="s">
        <v>37</v>
      </c>
      <c r="B3" s="4"/>
    </row>
    <row r="4" spans="1:9" x14ac:dyDescent="0.35">
      <c r="A4" s="1" t="s">
        <v>38</v>
      </c>
      <c r="B4" s="1">
        <v>0.96859668205174676</v>
      </c>
    </row>
    <row r="5" spans="1:9" x14ac:dyDescent="0.35">
      <c r="A5" s="1" t="s">
        <v>39</v>
      </c>
      <c r="B5" s="1">
        <v>0.93817953248165264</v>
      </c>
    </row>
    <row r="6" spans="1:9" x14ac:dyDescent="0.35">
      <c r="A6" s="1" t="s">
        <v>40</v>
      </c>
      <c r="B6" s="1">
        <v>0.92934803712188874</v>
      </c>
    </row>
    <row r="7" spans="1:9" x14ac:dyDescent="0.35">
      <c r="A7" s="1" t="s">
        <v>21</v>
      </c>
      <c r="B7" s="1">
        <v>0.39932136820717284</v>
      </c>
    </row>
    <row r="8" spans="1:9" ht="15" thickBot="1" x14ac:dyDescent="0.4">
      <c r="A8" s="2" t="s">
        <v>41</v>
      </c>
      <c r="B8" s="2">
        <v>9</v>
      </c>
    </row>
    <row r="10" spans="1:9" ht="15" thickBot="1" x14ac:dyDescent="0.4">
      <c r="A10" t="s">
        <v>42</v>
      </c>
    </row>
    <row r="11" spans="1:9" x14ac:dyDescent="0.35">
      <c r="A11" s="3"/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9" x14ac:dyDescent="0.35">
      <c r="A12" s="1" t="s">
        <v>43</v>
      </c>
      <c r="B12" s="1">
        <v>1</v>
      </c>
      <c r="C12" s="1">
        <v>16.939352669807619</v>
      </c>
      <c r="D12" s="1">
        <v>16.939352669807619</v>
      </c>
      <c r="E12" s="1">
        <v>106.23110744710077</v>
      </c>
      <c r="F12" s="1">
        <v>1.7523337092406453E-5</v>
      </c>
    </row>
    <row r="13" spans="1:9" x14ac:dyDescent="0.35">
      <c r="A13" s="1" t="s">
        <v>44</v>
      </c>
      <c r="B13" s="1">
        <v>7</v>
      </c>
      <c r="C13" s="1">
        <v>1.1162028857479398</v>
      </c>
      <c r="D13" s="1">
        <v>0.15945755510684853</v>
      </c>
      <c r="E13" s="1"/>
      <c r="F13" s="1"/>
    </row>
    <row r="14" spans="1:9" ht="15" thickBot="1" x14ac:dyDescent="0.4">
      <c r="A14" s="2" t="s">
        <v>45</v>
      </c>
      <c r="B14" s="2">
        <v>8</v>
      </c>
      <c r="C14" s="2">
        <v>18.055555555555557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52</v>
      </c>
      <c r="C16" s="3" t="s">
        <v>21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58</v>
      </c>
    </row>
    <row r="17" spans="1:9" x14ac:dyDescent="0.35">
      <c r="A17" s="1" t="s">
        <v>46</v>
      </c>
      <c r="B17" s="1">
        <v>2.5794316843345118</v>
      </c>
      <c r="C17" s="1">
        <v>0.33270900874593901</v>
      </c>
      <c r="D17" s="1">
        <v>7.7528158737180446</v>
      </c>
      <c r="E17" s="1">
        <v>1.1131285535456236E-4</v>
      </c>
      <c r="F17" s="1">
        <v>1.7926998935304685</v>
      </c>
      <c r="G17" s="1">
        <v>3.366163475138555</v>
      </c>
      <c r="H17" s="1">
        <v>1.7926998935304685</v>
      </c>
      <c r="I17" s="1">
        <v>3.366163475138555</v>
      </c>
    </row>
    <row r="18" spans="1:9" ht="15" thickBot="1" x14ac:dyDescent="0.4">
      <c r="A18" s="2" t="s">
        <v>59</v>
      </c>
      <c r="B18" s="2">
        <v>8.6498822143698455E-5</v>
      </c>
      <c r="C18" s="2">
        <v>8.3923645232443771E-6</v>
      </c>
      <c r="D18" s="2">
        <v>10.306847599877507</v>
      </c>
      <c r="E18" s="2">
        <v>1.7523337092406453E-5</v>
      </c>
      <c r="F18" s="2">
        <v>6.6654033463827876E-5</v>
      </c>
      <c r="G18" s="2">
        <v>1.0634361082356903E-4</v>
      </c>
      <c r="H18" s="2">
        <v>6.6654033463827876E-5</v>
      </c>
      <c r="I18" s="2">
        <v>1.0634361082356903E-4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0DF5-4019-4021-807A-B081A280A065}">
  <dimension ref="A1:D19"/>
  <sheetViews>
    <sheetView workbookViewId="0">
      <selection activeCell="D28" sqref="D28"/>
    </sheetView>
  </sheetViews>
  <sheetFormatPr defaultRowHeight="14.5" x14ac:dyDescent="0.35"/>
  <cols>
    <col min="2" max="2" width="11.6328125" customWidth="1"/>
  </cols>
  <sheetData>
    <row r="1" spans="1:4" x14ac:dyDescent="0.35">
      <c r="A1" t="s">
        <v>60</v>
      </c>
      <c r="B1" t="s">
        <v>61</v>
      </c>
      <c r="C1" t="s">
        <v>70</v>
      </c>
      <c r="D1" t="s">
        <v>71</v>
      </c>
    </row>
    <row r="2" spans="1:4" x14ac:dyDescent="0.35">
      <c r="A2">
        <v>1</v>
      </c>
      <c r="B2" t="s">
        <v>62</v>
      </c>
      <c r="C2">
        <v>40</v>
      </c>
      <c r="D2">
        <v>5</v>
      </c>
    </row>
    <row r="3" spans="1:4" x14ac:dyDescent="0.35">
      <c r="A3">
        <v>2</v>
      </c>
      <c r="B3" t="s">
        <v>63</v>
      </c>
      <c r="C3">
        <v>20</v>
      </c>
      <c r="D3">
        <v>5</v>
      </c>
    </row>
    <row r="4" spans="1:4" x14ac:dyDescent="0.35">
      <c r="A4">
        <v>3</v>
      </c>
      <c r="B4" t="s">
        <v>64</v>
      </c>
      <c r="C4">
        <v>55</v>
      </c>
      <c r="D4">
        <v>7</v>
      </c>
    </row>
    <row r="5" spans="1:4" x14ac:dyDescent="0.35">
      <c r="A5">
        <v>4</v>
      </c>
      <c r="B5" t="s">
        <v>65</v>
      </c>
      <c r="C5">
        <v>35</v>
      </c>
      <c r="D5">
        <v>15</v>
      </c>
    </row>
    <row r="6" spans="1:4" x14ac:dyDescent="0.35">
      <c r="A6">
        <v>5</v>
      </c>
      <c r="B6" t="s">
        <v>66</v>
      </c>
      <c r="C6">
        <v>19</v>
      </c>
      <c r="D6">
        <v>20</v>
      </c>
    </row>
    <row r="7" spans="1:4" x14ac:dyDescent="0.35">
      <c r="A7">
        <v>6</v>
      </c>
      <c r="B7" t="s">
        <v>67</v>
      </c>
      <c r="C7">
        <v>46</v>
      </c>
      <c r="D7">
        <v>10</v>
      </c>
    </row>
    <row r="8" spans="1:4" x14ac:dyDescent="0.35">
      <c r="A8">
        <v>7</v>
      </c>
      <c r="B8" t="s">
        <v>68</v>
      </c>
      <c r="C8">
        <v>38</v>
      </c>
      <c r="D8">
        <v>20</v>
      </c>
    </row>
    <row r="9" spans="1:4" x14ac:dyDescent="0.35">
      <c r="A9">
        <v>8</v>
      </c>
      <c r="B9" t="s">
        <v>72</v>
      </c>
      <c r="C9">
        <v>34</v>
      </c>
      <c r="D9">
        <v>20</v>
      </c>
    </row>
    <row r="10" spans="1:4" x14ac:dyDescent="0.35">
      <c r="A10">
        <v>9</v>
      </c>
      <c r="B10" t="s">
        <v>69</v>
      </c>
      <c r="C10">
        <v>20</v>
      </c>
      <c r="D10">
        <v>10</v>
      </c>
    </row>
    <row r="13" spans="1:4" x14ac:dyDescent="0.35">
      <c r="A13" t="s">
        <v>12</v>
      </c>
      <c r="B13">
        <f>AVERAGE(C2:C10)</f>
        <v>34.111111111111114</v>
      </c>
    </row>
    <row r="14" spans="1:4" x14ac:dyDescent="0.35">
      <c r="A14" t="s">
        <v>13</v>
      </c>
      <c r="B14">
        <f>MEDIAN(C2:C10)</f>
        <v>35</v>
      </c>
    </row>
    <row r="15" spans="1:4" x14ac:dyDescent="0.35">
      <c r="A15" t="s">
        <v>14</v>
      </c>
      <c r="B15">
        <f>MODE(C2:C10)</f>
        <v>20</v>
      </c>
    </row>
    <row r="17" spans="1:2" x14ac:dyDescent="0.35">
      <c r="A17" t="s">
        <v>16</v>
      </c>
      <c r="B17">
        <f>_xlfn.STDEV.P(C2:C10)</f>
        <v>11.80813697267406</v>
      </c>
    </row>
    <row r="18" spans="1:2" x14ac:dyDescent="0.35">
      <c r="A18" t="s">
        <v>17</v>
      </c>
      <c r="B18">
        <f>_xlfn.VAR.P(C2:C10)</f>
        <v>139.4320987654321</v>
      </c>
    </row>
    <row r="19" spans="1:2" x14ac:dyDescent="0.35">
      <c r="A19" t="s">
        <v>19</v>
      </c>
      <c r="B19">
        <f>CORREL(C2:C10,D2:D10)</f>
        <v>-0.20263749247551688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D511-3B68-46BA-B661-3C6302DCDC7F}">
  <dimension ref="A1:I18"/>
  <sheetViews>
    <sheetView workbookViewId="0">
      <selection activeCell="L13" sqref="L13"/>
    </sheetView>
  </sheetViews>
  <sheetFormatPr defaultRowHeight="14.5" x14ac:dyDescent="0.35"/>
  <sheetData>
    <row r="1" spans="1:9" x14ac:dyDescent="0.35">
      <c r="A1" t="s">
        <v>36</v>
      </c>
    </row>
    <row r="2" spans="1:9" ht="15" thickBot="1" x14ac:dyDescent="0.4"/>
    <row r="3" spans="1:9" x14ac:dyDescent="0.35">
      <c r="A3" s="4" t="s">
        <v>37</v>
      </c>
      <c r="B3" s="4"/>
    </row>
    <row r="4" spans="1:9" x14ac:dyDescent="0.35">
      <c r="A4" s="1" t="s">
        <v>38</v>
      </c>
      <c r="B4" s="1">
        <v>0.20263749247551616</v>
      </c>
    </row>
    <row r="5" spans="1:9" x14ac:dyDescent="0.35">
      <c r="A5" s="1" t="s">
        <v>39</v>
      </c>
      <c r="B5" s="1">
        <v>4.1061953356764866E-2</v>
      </c>
    </row>
    <row r="6" spans="1:9" x14ac:dyDescent="0.35">
      <c r="A6" s="1" t="s">
        <v>40</v>
      </c>
      <c r="B6" s="1">
        <v>-9.59291961636973E-2</v>
      </c>
    </row>
    <row r="7" spans="1:9" x14ac:dyDescent="0.35">
      <c r="A7" s="1" t="s">
        <v>21</v>
      </c>
      <c r="B7" s="1">
        <v>13.111394716403911</v>
      </c>
    </row>
    <row r="8" spans="1:9" ht="15" thickBot="1" x14ac:dyDescent="0.4">
      <c r="A8" s="2" t="s">
        <v>41</v>
      </c>
      <c r="B8" s="2">
        <v>9</v>
      </c>
    </row>
    <row r="10" spans="1:9" ht="15" thickBot="1" x14ac:dyDescent="0.4">
      <c r="A10" t="s">
        <v>42</v>
      </c>
    </row>
    <row r="11" spans="1:9" x14ac:dyDescent="0.35">
      <c r="A11" s="3"/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9" x14ac:dyDescent="0.35">
      <c r="A12" s="1" t="s">
        <v>43</v>
      </c>
      <c r="B12" s="1">
        <v>1</v>
      </c>
      <c r="C12" s="1">
        <v>51.528189023478035</v>
      </c>
      <c r="D12" s="1">
        <v>51.528189023478035</v>
      </c>
      <c r="E12" s="1">
        <v>0.29974165119792284</v>
      </c>
      <c r="F12" s="1">
        <v>0.60105620345746735</v>
      </c>
    </row>
    <row r="13" spans="1:9" x14ac:dyDescent="0.35">
      <c r="A13" s="1" t="s">
        <v>44</v>
      </c>
      <c r="B13" s="1">
        <v>7</v>
      </c>
      <c r="C13" s="1">
        <v>1203.3606998654107</v>
      </c>
      <c r="D13" s="1">
        <v>171.90867140934438</v>
      </c>
      <c r="E13" s="1"/>
      <c r="F13" s="1"/>
    </row>
    <row r="14" spans="1:9" ht="15" thickBot="1" x14ac:dyDescent="0.4">
      <c r="A14" s="2" t="s">
        <v>45</v>
      </c>
      <c r="B14" s="2">
        <v>8</v>
      </c>
      <c r="C14" s="2">
        <v>1254.8888888888887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52</v>
      </c>
      <c r="C16" s="3" t="s">
        <v>21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58</v>
      </c>
    </row>
    <row r="17" spans="1:9" x14ac:dyDescent="0.35">
      <c r="A17" s="1" t="s">
        <v>46</v>
      </c>
      <c r="B17" s="1">
        <v>39.026917900403774</v>
      </c>
      <c r="C17" s="1">
        <v>9.9860358340487849</v>
      </c>
      <c r="D17" s="1">
        <v>3.9081491944316924</v>
      </c>
      <c r="E17" s="1">
        <v>5.8373175352636614E-3</v>
      </c>
      <c r="F17" s="1">
        <v>15.413695389937434</v>
      </c>
      <c r="G17" s="1">
        <v>62.640140410870117</v>
      </c>
      <c r="H17" s="1">
        <v>15.413695389937434</v>
      </c>
      <c r="I17" s="1">
        <v>62.640140410870117</v>
      </c>
    </row>
    <row r="18" spans="1:9" ht="15" thickBot="1" x14ac:dyDescent="0.4">
      <c r="A18" s="2" t="s">
        <v>59</v>
      </c>
      <c r="B18" s="2">
        <v>-0.39502018842530279</v>
      </c>
      <c r="C18" s="2">
        <v>0.72151563097991933</v>
      </c>
      <c r="D18" s="2">
        <v>-0.54748666759833053</v>
      </c>
      <c r="E18" s="2">
        <v>0.60105620345746624</v>
      </c>
      <c r="F18" s="2">
        <v>-2.1011335473436903</v>
      </c>
      <c r="G18" s="2">
        <v>1.3110931704930848</v>
      </c>
      <c r="H18" s="2">
        <v>-2.1011335473436903</v>
      </c>
      <c r="I18" s="2">
        <v>1.3110931704930848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C02B-8D1A-4D99-8C37-FBE04DDFC0CA}">
  <dimension ref="A1:B18"/>
  <sheetViews>
    <sheetView workbookViewId="0">
      <selection activeCell="L25" sqref="L25"/>
    </sheetView>
  </sheetViews>
  <sheetFormatPr defaultRowHeight="14.5" x14ac:dyDescent="0.35"/>
  <sheetData>
    <row r="1" spans="1:2" x14ac:dyDescent="0.35">
      <c r="A1" s="4" t="s">
        <v>0</v>
      </c>
      <c r="B1" s="4"/>
    </row>
    <row r="2" spans="1:2" x14ac:dyDescent="0.35">
      <c r="A2" s="1"/>
      <c r="B2" s="1"/>
    </row>
    <row r="3" spans="1:2" x14ac:dyDescent="0.35">
      <c r="A3" s="1" t="s">
        <v>20</v>
      </c>
      <c r="B3" s="1">
        <v>34.111111111111114</v>
      </c>
    </row>
    <row r="4" spans="1:2" x14ac:dyDescent="0.35">
      <c r="A4" s="1" t="s">
        <v>21</v>
      </c>
      <c r="B4" s="1">
        <v>4.1748068632787083</v>
      </c>
    </row>
    <row r="5" spans="1:2" x14ac:dyDescent="0.35">
      <c r="A5" s="1" t="s">
        <v>22</v>
      </c>
      <c r="B5" s="1">
        <v>35</v>
      </c>
    </row>
    <row r="6" spans="1:2" x14ac:dyDescent="0.35">
      <c r="A6" s="1" t="s">
        <v>23</v>
      </c>
      <c r="B6" s="1">
        <v>20</v>
      </c>
    </row>
    <row r="7" spans="1:2" x14ac:dyDescent="0.35">
      <c r="A7" s="1" t="s">
        <v>24</v>
      </c>
      <c r="B7" s="1">
        <v>12.524420589836126</v>
      </c>
    </row>
    <row r="8" spans="1:2" x14ac:dyDescent="0.35">
      <c r="A8" s="1" t="s">
        <v>25</v>
      </c>
      <c r="B8" s="1">
        <v>156.86111111111109</v>
      </c>
    </row>
    <row r="9" spans="1:2" x14ac:dyDescent="0.35">
      <c r="A9" s="1" t="s">
        <v>26</v>
      </c>
      <c r="B9" s="1">
        <v>-0.83476986137230735</v>
      </c>
    </row>
    <row r="10" spans="1:2" x14ac:dyDescent="0.35">
      <c r="A10" s="1" t="s">
        <v>27</v>
      </c>
      <c r="B10" s="1">
        <v>0.16268553448159254</v>
      </c>
    </row>
    <row r="11" spans="1:2" x14ac:dyDescent="0.35">
      <c r="A11" s="1" t="s">
        <v>28</v>
      </c>
      <c r="B11" s="1">
        <v>36</v>
      </c>
    </row>
    <row r="12" spans="1:2" x14ac:dyDescent="0.35">
      <c r="A12" s="1" t="s">
        <v>29</v>
      </c>
      <c r="B12" s="1">
        <v>19</v>
      </c>
    </row>
    <row r="13" spans="1:2" x14ac:dyDescent="0.35">
      <c r="A13" s="1" t="s">
        <v>30</v>
      </c>
      <c r="B13" s="1">
        <v>55</v>
      </c>
    </row>
    <row r="14" spans="1:2" x14ac:dyDescent="0.35">
      <c r="A14" s="1" t="s">
        <v>31</v>
      </c>
      <c r="B14" s="1">
        <v>307</v>
      </c>
    </row>
    <row r="15" spans="1:2" x14ac:dyDescent="0.35">
      <c r="A15" s="1" t="s">
        <v>32</v>
      </c>
      <c r="B15" s="1">
        <v>9</v>
      </c>
    </row>
    <row r="16" spans="1:2" x14ac:dyDescent="0.35">
      <c r="A16" s="1" t="s">
        <v>33</v>
      </c>
      <c r="B16" s="1">
        <v>55</v>
      </c>
    </row>
    <row r="17" spans="1:2" x14ac:dyDescent="0.35">
      <c r="A17" s="1" t="s">
        <v>34</v>
      </c>
      <c r="B17" s="1">
        <v>19</v>
      </c>
    </row>
    <row r="18" spans="1:2" ht="15" thickBot="1" x14ac:dyDescent="0.4">
      <c r="A18" s="2" t="s">
        <v>35</v>
      </c>
      <c r="B18" s="2">
        <v>9.6271218903994349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scenario-1</vt:lpstr>
      <vt:lpstr>descriptive-1</vt:lpstr>
      <vt:lpstr>regreseion-1</vt:lpstr>
      <vt:lpstr>scernario-2</vt:lpstr>
      <vt:lpstr>regrission</vt:lpstr>
      <vt:lpstr>descriptive-2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vamsee bana</dc:creator>
  <cp:lastModifiedBy>GOLLA SANTHOSH</cp:lastModifiedBy>
  <dcterms:created xsi:type="dcterms:W3CDTF">2026-05-26T14:58:51Z</dcterms:created>
  <dcterms:modified xsi:type="dcterms:W3CDTF">2026-05-28T15:09:11Z</dcterms:modified>
</cp:coreProperties>
</file>