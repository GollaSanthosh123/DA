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2.xml" ContentType="application/vnd.openxmlformats-officedocument.spreadsheetml.tab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8B413741-A298-4534-A66C-DA307FDCF7C7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formulasbasic" sheetId="2" r:id="rId1"/>
    <sheet name="Sheet2" sheetId="3" r:id="rId2"/>
    <sheet name="datefunctions" sheetId="4" r:id="rId3"/>
    <sheet name="stringfunctions" sheetId="5" r:id="rId4"/>
    <sheet name="mathfunctions" sheetId="6" r:id="rId5"/>
    <sheet name="lookups" sheetId="8" r:id="rId6"/>
    <sheet name="logical and error" sheetId="9" r:id="rId7"/>
    <sheet name="stats functions" sheetId="10" r:id="rId8"/>
    <sheet name="Formatting" sheetId="12" r:id="rId9"/>
    <sheet name="charts" sheetId="13" r:id="rId10"/>
    <sheet name="Sheet1" sheetId="1" r:id="rId11"/>
    <sheet name="Sheet3" sheetId="11" r:id="rId12"/>
  </sheets>
  <definedNames>
    <definedName name="_xlnm._FilterDatabase" localSheetId="8" hidden="1">Formatting!$S$17:$S$46</definedName>
    <definedName name="_xlcn.WorksheetConnection_Excelpractice2.xlsxTable11" hidden="1">Table1[]</definedName>
    <definedName name="ExternalData_1" localSheetId="2" hidden="1">datefunctions!$A$1:$F$101</definedName>
    <definedName name="ExternalData_1" localSheetId="8" hidden="1">Formatting!$A$1:$F$101</definedName>
    <definedName name="ExternalData_1" localSheetId="0" hidden="1">formulasbasic!$A$1:$F$101</definedName>
    <definedName name="ExternalData_1" localSheetId="6" hidden="1">'logical and error'!$A$1:$F$101</definedName>
    <definedName name="ExternalData_1" localSheetId="5" hidden="1">lookups!$A$1:$F$101</definedName>
    <definedName name="ExternalData_1" localSheetId="4" hidden="1">mathfunctions!$A$1:$F$101</definedName>
    <definedName name="ExternalData_1" localSheetId="7" hidden="1">'stats functions'!$A$1:$F$101</definedName>
    <definedName name="ExternalData_1" localSheetId="3" hidden="1">stringfunctions!$A$1:$F$101</definedName>
  </definedNames>
  <calcPr calcId="191029"/>
  <extLst>
    <ext xmlns:x15="http://schemas.microsoft.com/office/spreadsheetml/2010/11/main" uri="{841E416B-1EF1-43b6-AB56-02D37102CBD5}">
      <x15:pivotCaches>
        <pivotCache cacheId="24" r:id="rId13"/>
        <pivotCache cacheId="32" r:id="rId14"/>
        <pivotCache cacheId="73" r:id="rId15"/>
        <pivotCache cacheId="76" r:id="rId16"/>
      </x15:pivotCaches>
    </ext>
    <ext xmlns:x15="http://schemas.microsoft.com/office/spreadsheetml/2010/11/main" uri="{983426D0-5260-488c-9760-48F4B6AC55F4}">
      <x15:pivotTableReferences>
        <x15:pivotTableReference r:id="rId17"/>
        <x15:pivotTableReference r:id="rId18"/>
        <x15:pivotTableReference r:id="rId19"/>
        <x15:pivotTableReference r:id="rId20"/>
      </x15:pivotTableReferences>
    </ext>
    <ext xmlns:x15="http://schemas.microsoft.com/office/spreadsheetml/2010/11/main" uri="{FCE2AD5D-F65C-4FA6-A056-5C36A1767C68}">
      <x15:dataModel>
        <x15:modelTables>
          <x15:modelTable id="Table1" name="Table1" connection="WorksheetConnection_Excel practice2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10" i="3" a="1"/>
  <c r="K10" i="3" s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2" i="10" a="1"/>
  <c r="G2" i="10" s="1"/>
  <c r="G3" i="10" a="1"/>
  <c r="G3" i="10" s="1"/>
  <c r="G4" i="10" a="1"/>
  <c r="G4" i="10"/>
  <c r="G5" i="10" a="1"/>
  <c r="G5" i="10"/>
  <c r="G6" i="10" a="1"/>
  <c r="G6" i="10"/>
  <c r="G7" i="10" a="1"/>
  <c r="G7" i="10"/>
  <c r="G8" i="10" a="1"/>
  <c r="G8" i="10"/>
  <c r="G9" i="10" a="1"/>
  <c r="G9" i="10"/>
  <c r="G10" i="10" a="1"/>
  <c r="G10" i="10"/>
  <c r="G11" i="10" a="1"/>
  <c r="G11" i="10"/>
  <c r="G12" i="10" a="1"/>
  <c r="G12" i="10" s="1"/>
  <c r="G13" i="10" a="1"/>
  <c r="G13" i="10" s="1"/>
  <c r="G14" i="10" a="1"/>
  <c r="G14" i="10" s="1"/>
  <c r="G15" i="10" a="1"/>
  <c r="G15" i="10" s="1"/>
  <c r="G16" i="10" a="1"/>
  <c r="G16" i="10"/>
  <c r="G17" i="10" a="1"/>
  <c r="G17" i="10"/>
  <c r="G18" i="10" a="1"/>
  <c r="G18" i="10"/>
  <c r="G19" i="10" a="1"/>
  <c r="G19" i="10"/>
  <c r="G20" i="10" a="1"/>
  <c r="G20" i="10"/>
  <c r="G21" i="10" a="1"/>
  <c r="G21" i="10"/>
  <c r="G22" i="10" a="1"/>
  <c r="G22" i="10"/>
  <c r="G23" i="10" a="1"/>
  <c r="G23" i="10"/>
  <c r="G24" i="10" a="1"/>
  <c r="G24" i="10" s="1"/>
  <c r="G25" i="10" a="1"/>
  <c r="G25" i="10" s="1"/>
  <c r="G26" i="10" a="1"/>
  <c r="G26" i="10" s="1"/>
  <c r="G27" i="10" a="1"/>
  <c r="G27" i="10" s="1"/>
  <c r="G28" i="10" a="1"/>
  <c r="G28" i="10"/>
  <c r="G29" i="10" a="1"/>
  <c r="G29" i="10"/>
  <c r="G30" i="10" a="1"/>
  <c r="G30" i="10"/>
  <c r="G31" i="10" a="1"/>
  <c r="G31" i="10"/>
  <c r="G32" i="10" a="1"/>
  <c r="G32" i="10"/>
  <c r="G33" i="10" a="1"/>
  <c r="G33" i="10"/>
  <c r="G34" i="10" a="1"/>
  <c r="G34" i="10"/>
  <c r="G35" i="10" a="1"/>
  <c r="G35" i="10"/>
  <c r="G36" i="10" a="1"/>
  <c r="G36" i="10" s="1"/>
  <c r="G37" i="10" a="1"/>
  <c r="G37" i="10" s="1"/>
  <c r="G38" i="10" a="1"/>
  <c r="G38" i="10" s="1"/>
  <c r="G39" i="10" a="1"/>
  <c r="G39" i="10" s="1"/>
  <c r="G40" i="10" a="1"/>
  <c r="G40" i="10"/>
  <c r="G41" i="10" a="1"/>
  <c r="G41" i="10"/>
  <c r="G42" i="10" a="1"/>
  <c r="G42" i="10"/>
  <c r="G43" i="10" a="1"/>
  <c r="G43" i="10"/>
  <c r="G44" i="10" a="1"/>
  <c r="G44" i="10"/>
  <c r="G45" i="10" a="1"/>
  <c r="G45" i="10"/>
  <c r="G46" i="10" a="1"/>
  <c r="G46" i="10"/>
  <c r="G47" i="10" a="1"/>
  <c r="G47" i="10"/>
  <c r="G48" i="10" a="1"/>
  <c r="G48" i="10" s="1"/>
  <c r="G49" i="10" a="1"/>
  <c r="G49" i="10" s="1"/>
  <c r="G50" i="10" a="1"/>
  <c r="G50" i="10" s="1"/>
  <c r="G51" i="10" a="1"/>
  <c r="G51" i="10" s="1"/>
  <c r="G52" i="10" a="1"/>
  <c r="G52" i="10"/>
  <c r="G53" i="10" a="1"/>
  <c r="G53" i="10"/>
  <c r="G54" i="10" a="1"/>
  <c r="G54" i="10"/>
  <c r="G55" i="10" a="1"/>
  <c r="G55" i="10"/>
  <c r="G56" i="10" a="1"/>
  <c r="G56" i="10"/>
  <c r="G57" i="10" a="1"/>
  <c r="G57" i="10"/>
  <c r="G58" i="10" a="1"/>
  <c r="G58" i="10"/>
  <c r="G59" i="10" a="1"/>
  <c r="G59" i="10"/>
  <c r="G60" i="10" a="1"/>
  <c r="G60" i="10" s="1"/>
  <c r="G61" i="10" a="1"/>
  <c r="G61" i="10" s="1"/>
  <c r="G62" i="10" a="1"/>
  <c r="G62" i="10" s="1"/>
  <c r="G63" i="10" a="1"/>
  <c r="G63" i="10" s="1"/>
  <c r="G64" i="10" a="1"/>
  <c r="G64" i="10"/>
  <c r="G65" i="10" a="1"/>
  <c r="G65" i="10"/>
  <c r="G66" i="10" a="1"/>
  <c r="G66" i="10"/>
  <c r="G67" i="10" a="1"/>
  <c r="G67" i="10"/>
  <c r="G68" i="10" a="1"/>
  <c r="G68" i="10"/>
  <c r="G69" i="10" a="1"/>
  <c r="G69" i="10"/>
  <c r="G70" i="10" a="1"/>
  <c r="G70" i="10"/>
  <c r="G71" i="10" a="1"/>
  <c r="G71" i="10"/>
  <c r="G72" i="10" a="1"/>
  <c r="G72" i="10" s="1"/>
  <c r="G73" i="10" a="1"/>
  <c r="G73" i="10" s="1"/>
  <c r="G74" i="10" a="1"/>
  <c r="G74" i="10" s="1"/>
  <c r="G75" i="10" a="1"/>
  <c r="G75" i="10" s="1"/>
  <c r="G76" i="10" a="1"/>
  <c r="G76" i="10"/>
  <c r="G77" i="10" a="1"/>
  <c r="G77" i="10"/>
  <c r="G78" i="10" a="1"/>
  <c r="G78" i="10"/>
  <c r="G79" i="10" a="1"/>
  <c r="G79" i="10"/>
  <c r="G80" i="10" a="1"/>
  <c r="G80" i="10"/>
  <c r="G81" i="10" a="1"/>
  <c r="G81" i="10"/>
  <c r="G82" i="10" a="1"/>
  <c r="G82" i="10"/>
  <c r="G83" i="10" a="1"/>
  <c r="G83" i="10"/>
  <c r="G84" i="10" a="1"/>
  <c r="G84" i="10" s="1"/>
  <c r="G85" i="10" a="1"/>
  <c r="G85" i="10" s="1"/>
  <c r="G86" i="10" a="1"/>
  <c r="G86" i="10" s="1"/>
  <c r="G87" i="10" a="1"/>
  <c r="G87" i="10" s="1"/>
  <c r="G88" i="10" a="1"/>
  <c r="G88" i="10"/>
  <c r="G89" i="10" a="1"/>
  <c r="G89" i="10"/>
  <c r="G90" i="10" a="1"/>
  <c r="G90" i="10"/>
  <c r="G91" i="10" a="1"/>
  <c r="G91" i="10"/>
  <c r="G92" i="10" a="1"/>
  <c r="G92" i="10"/>
  <c r="G93" i="10" a="1"/>
  <c r="G93" i="10"/>
  <c r="G94" i="10" a="1"/>
  <c r="G94" i="10"/>
  <c r="G95" i="10" a="1"/>
  <c r="G95" i="10"/>
  <c r="G96" i="10" a="1"/>
  <c r="G96" i="10" s="1"/>
  <c r="G97" i="10" a="1"/>
  <c r="G97" i="10" s="1"/>
  <c r="G98" i="10" a="1"/>
  <c r="G98" i="10" s="1"/>
  <c r="G99" i="10" a="1"/>
  <c r="G99" i="10" s="1"/>
  <c r="G100" i="10" a="1"/>
  <c r="G100" i="10"/>
  <c r="G101" i="10" a="1"/>
  <c r="G101" i="10"/>
  <c r="G2" i="2"/>
  <c r="G3" i="2"/>
  <c r="G4" i="2"/>
  <c r="H4" i="2" s="1"/>
  <c r="I4" i="2" s="1"/>
  <c r="G5" i="2"/>
  <c r="G6" i="2"/>
  <c r="I6" i="2" s="1"/>
  <c r="G7" i="2"/>
  <c r="G8" i="2"/>
  <c r="G9" i="2"/>
  <c r="I9" i="2" s="1"/>
  <c r="G10" i="2"/>
  <c r="G11" i="2"/>
  <c r="H11" i="2" s="1"/>
  <c r="I11" i="2" s="1"/>
  <c r="G12" i="2"/>
  <c r="G13" i="2"/>
  <c r="G14" i="2"/>
  <c r="G15" i="2"/>
  <c r="H15" i="2" s="1"/>
  <c r="G16" i="2"/>
  <c r="H16" i="2" s="1"/>
  <c r="G17" i="2"/>
  <c r="G18" i="2"/>
  <c r="G19" i="2"/>
  <c r="G20" i="2"/>
  <c r="G21" i="2"/>
  <c r="G22" i="2"/>
  <c r="H22" i="2" s="1"/>
  <c r="G23" i="2"/>
  <c r="H23" i="2" s="1"/>
  <c r="G24" i="2"/>
  <c r="H24" i="2" s="1"/>
  <c r="G25" i="2"/>
  <c r="H25" i="2" s="1"/>
  <c r="G26" i="2"/>
  <c r="G27" i="2"/>
  <c r="G28" i="2"/>
  <c r="G29" i="2"/>
  <c r="G30" i="2"/>
  <c r="G31" i="2"/>
  <c r="H31" i="2" s="1"/>
  <c r="I31" i="2" s="1"/>
  <c r="G32" i="2"/>
  <c r="H32" i="2" s="1"/>
  <c r="I32" i="2" s="1"/>
  <c r="G33" i="2"/>
  <c r="G34" i="2"/>
  <c r="H34" i="2" s="1"/>
  <c r="G35" i="2"/>
  <c r="G36" i="2"/>
  <c r="H36" i="2" s="1"/>
  <c r="G37" i="2"/>
  <c r="H37" i="2" s="1"/>
  <c r="I37" i="2" s="1"/>
  <c r="G38" i="2"/>
  <c r="H38" i="2" s="1"/>
  <c r="I38" i="2" s="1"/>
  <c r="G39" i="2"/>
  <c r="H39" i="2" s="1"/>
  <c r="G40" i="2"/>
  <c r="H40" i="2" s="1"/>
  <c r="G41" i="2"/>
  <c r="G42" i="2"/>
  <c r="G43" i="2"/>
  <c r="G44" i="2"/>
  <c r="G45" i="2"/>
  <c r="G46" i="2"/>
  <c r="H46" i="2" s="1"/>
  <c r="G47" i="2"/>
  <c r="H47" i="2" s="1"/>
  <c r="G48" i="2"/>
  <c r="H48" i="2" s="1"/>
  <c r="G49" i="2"/>
  <c r="H49" i="2" s="1"/>
  <c r="G50" i="2"/>
  <c r="G51" i="2"/>
  <c r="G52" i="2"/>
  <c r="G53" i="2"/>
  <c r="G54" i="2"/>
  <c r="I54" i="2" s="1"/>
  <c r="G55" i="2"/>
  <c r="G56" i="2"/>
  <c r="G57" i="2"/>
  <c r="I57" i="2" s="1"/>
  <c r="G58" i="2"/>
  <c r="G59" i="2"/>
  <c r="G60" i="2"/>
  <c r="I60" i="2" s="1"/>
  <c r="G61" i="2"/>
  <c r="I61" i="2" s="1"/>
  <c r="G62" i="2"/>
  <c r="I62" i="2" s="1"/>
  <c r="G63" i="2"/>
  <c r="H63" i="2" s="1"/>
  <c r="G64" i="2"/>
  <c r="H64" i="2" s="1"/>
  <c r="G65" i="2"/>
  <c r="G66" i="2"/>
  <c r="G67" i="2"/>
  <c r="G68" i="2"/>
  <c r="G69" i="2"/>
  <c r="G70" i="2"/>
  <c r="H70" i="2" s="1"/>
  <c r="G71" i="2"/>
  <c r="H71" i="2" s="1"/>
  <c r="G72" i="2"/>
  <c r="H72" i="2" s="1"/>
  <c r="G73" i="2"/>
  <c r="H73" i="2" s="1"/>
  <c r="G74" i="2"/>
  <c r="G75" i="2"/>
  <c r="G76" i="2"/>
  <c r="H76" i="2" s="1"/>
  <c r="I76" i="2" s="1"/>
  <c r="G77" i="2"/>
  <c r="G78" i="2"/>
  <c r="H78" i="2" s="1"/>
  <c r="I78" i="2" s="1"/>
  <c r="G79" i="2"/>
  <c r="H79" i="2" s="1"/>
  <c r="I79" i="2" s="1"/>
  <c r="G80" i="2"/>
  <c r="G81" i="2"/>
  <c r="G82" i="2"/>
  <c r="H82" i="2" s="1"/>
  <c r="G83" i="2"/>
  <c r="G84" i="2"/>
  <c r="I84" i="2" s="1"/>
  <c r="G85" i="2"/>
  <c r="H85" i="2" s="1"/>
  <c r="I85" i="2" s="1"/>
  <c r="G86" i="2"/>
  <c r="H86" i="2" s="1"/>
  <c r="I86" i="2" s="1"/>
  <c r="G87" i="2"/>
  <c r="H87" i="2" s="1"/>
  <c r="G88" i="2"/>
  <c r="H88" i="2" s="1"/>
  <c r="G89" i="2"/>
  <c r="G90" i="2"/>
  <c r="G91" i="2"/>
  <c r="G92" i="2"/>
  <c r="G93" i="2"/>
  <c r="G94" i="2"/>
  <c r="H94" i="2" s="1"/>
  <c r="G95" i="2"/>
  <c r="H95" i="2" s="1"/>
  <c r="G96" i="2"/>
  <c r="H96" i="2" s="1"/>
  <c r="G97" i="2"/>
  <c r="H97" i="2" s="1"/>
  <c r="G98" i="2"/>
  <c r="G99" i="2"/>
  <c r="G100" i="2"/>
  <c r="G101" i="2"/>
  <c r="H2" i="2"/>
  <c r="H3" i="2"/>
  <c r="H5" i="2"/>
  <c r="H6" i="2"/>
  <c r="H7" i="2"/>
  <c r="I7" i="2" s="1"/>
  <c r="H8" i="2"/>
  <c r="I8" i="2" s="1"/>
  <c r="H9" i="2"/>
  <c r="H10" i="2"/>
  <c r="I10" i="2" s="1"/>
  <c r="H17" i="2"/>
  <c r="H18" i="2"/>
  <c r="H26" i="2"/>
  <c r="I26" i="2" s="1"/>
  <c r="H27" i="2"/>
  <c r="I27" i="2" s="1"/>
  <c r="H28" i="2"/>
  <c r="I28" i="2" s="1"/>
  <c r="H29" i="2"/>
  <c r="I29" i="2" s="1"/>
  <c r="H30" i="2"/>
  <c r="I30" i="2" s="1"/>
  <c r="H33" i="2"/>
  <c r="H35" i="2"/>
  <c r="I35" i="2" s="1"/>
  <c r="H42" i="2"/>
  <c r="H50" i="2"/>
  <c r="H51" i="2"/>
  <c r="H52" i="2"/>
  <c r="H53" i="2"/>
  <c r="H54" i="2"/>
  <c r="H55" i="2"/>
  <c r="I55" i="2" s="1"/>
  <c r="H56" i="2"/>
  <c r="H57" i="2"/>
  <c r="H58" i="2"/>
  <c r="I58" i="2" s="1"/>
  <c r="H59" i="2"/>
  <c r="I59" i="2" s="1"/>
  <c r="H60" i="2"/>
  <c r="H61" i="2"/>
  <c r="H62" i="2"/>
  <c r="H65" i="2"/>
  <c r="H74" i="2"/>
  <c r="H75" i="2"/>
  <c r="I75" i="2" s="1"/>
  <c r="H77" i="2"/>
  <c r="H80" i="2"/>
  <c r="H81" i="2"/>
  <c r="H83" i="2"/>
  <c r="I83" i="2" s="1"/>
  <c r="H84" i="2"/>
  <c r="H90" i="2"/>
  <c r="H98" i="2"/>
  <c r="H99" i="2"/>
  <c r="H100" i="2"/>
  <c r="H101" i="2"/>
  <c r="I2" i="2"/>
  <c r="I3" i="2"/>
  <c r="I5" i="2"/>
  <c r="I33" i="2"/>
  <c r="I50" i="2"/>
  <c r="I51" i="2"/>
  <c r="I52" i="2"/>
  <c r="I53" i="2"/>
  <c r="I56" i="2"/>
  <c r="I74" i="2"/>
  <c r="I77" i="2"/>
  <c r="I80" i="2"/>
  <c r="I81" i="2"/>
  <c r="I98" i="2"/>
  <c r="I99" i="2"/>
  <c r="I100" i="2"/>
  <c r="I1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Z4" i="12"/>
  <c r="AD5" i="12"/>
  <c r="AD6" i="12"/>
  <c r="AD7" i="12"/>
  <c r="AD8" i="12"/>
  <c r="AD9" i="12"/>
  <c r="AD4" i="12"/>
  <c r="AB5" i="12"/>
  <c r="AB6" i="12"/>
  <c r="AB7" i="12"/>
  <c r="AB8" i="12"/>
  <c r="AB9" i="12"/>
  <c r="AB4" i="12"/>
  <c r="Z5" i="12"/>
  <c r="Z6" i="12"/>
  <c r="Z7" i="12"/>
  <c r="Z8" i="12"/>
  <c r="Z9" i="12"/>
  <c r="F39" i="11"/>
  <c r="B31" i="11"/>
  <c r="H2" i="12"/>
  <c r="J38" i="10"/>
  <c r="P44" i="10"/>
  <c r="P45" i="10"/>
  <c r="P46" i="10"/>
  <c r="P43" i="10"/>
  <c r="O9" i="10"/>
  <c r="M43" i="10"/>
  <c r="Q9" i="10"/>
  <c r="J49" i="10"/>
  <c r="I13" i="10"/>
  <c r="J46" i="10"/>
  <c r="M9" i="10"/>
  <c r="J44" i="10"/>
  <c r="K9" i="10"/>
  <c r="J42" i="10"/>
  <c r="I9" i="10"/>
  <c r="P36" i="10"/>
  <c r="S26" i="10"/>
  <c r="P34" i="10"/>
  <c r="Q26" i="10"/>
  <c r="O36" i="10"/>
  <c r="S25" i="10"/>
  <c r="O34" i="10"/>
  <c r="Q25" i="10"/>
  <c r="K38" i="10"/>
  <c r="M26" i="10"/>
  <c r="K36" i="10"/>
  <c r="K26" i="10"/>
  <c r="K34" i="10"/>
  <c r="I26" i="10"/>
  <c r="M25" i="10"/>
  <c r="J34" i="10"/>
  <c r="J36" i="10"/>
  <c r="K25" i="10"/>
  <c r="I25" i="10"/>
  <c r="O10" i="10"/>
  <c r="O11" i="10"/>
  <c r="O12" i="10"/>
  <c r="J47" i="9" a="1"/>
  <c r="J47" i="9"/>
  <c r="J41" i="9" a="1"/>
  <c r="J41" i="9"/>
  <c r="J42" i="9" a="1"/>
  <c r="J42" i="9" s="1"/>
  <c r="J43" i="9" a="1"/>
  <c r="J43" i="9"/>
  <c r="J44" i="9" a="1"/>
  <c r="J44" i="9"/>
  <c r="J45" i="9" a="1"/>
  <c r="J45" i="9" s="1"/>
  <c r="J46" i="9" a="1"/>
  <c r="J46" i="9" s="1"/>
  <c r="J40" i="9" a="1"/>
  <c r="J40" i="9"/>
  <c r="L28" i="9"/>
  <c r="R31" i="9"/>
  <c r="R32" i="9"/>
  <c r="R33" i="9"/>
  <c r="R30" i="9"/>
  <c r="J28" i="9"/>
  <c r="L29" i="9"/>
  <c r="L30" i="9"/>
  <c r="L31" i="9"/>
  <c r="L32" i="9"/>
  <c r="L33" i="9"/>
  <c r="L34" i="9"/>
  <c r="L35" i="9"/>
  <c r="P27" i="9"/>
  <c r="P28" i="9"/>
  <c r="J31" i="9"/>
  <c r="J30" i="9"/>
  <c r="M12" i="9"/>
  <c r="J29" i="9"/>
  <c r="I29" i="9"/>
  <c r="I28" i="9"/>
  <c r="S15" i="9"/>
  <c r="S16" i="9"/>
  <c r="S17" i="9"/>
  <c r="S18" i="9"/>
  <c r="S11" i="9"/>
  <c r="R12" i="9"/>
  <c r="R13" i="9"/>
  <c r="R14" i="9"/>
  <c r="R15" i="9"/>
  <c r="R16" i="9"/>
  <c r="R17" i="9"/>
  <c r="R18" i="9"/>
  <c r="R19" i="9"/>
  <c r="R20" i="9"/>
  <c r="P12" i="9"/>
  <c r="S12" i="9" s="1"/>
  <c r="P13" i="9"/>
  <c r="S13" i="9" s="1"/>
  <c r="P14" i="9"/>
  <c r="S14" i="9" s="1"/>
  <c r="P15" i="9"/>
  <c r="P16" i="9"/>
  <c r="P17" i="9"/>
  <c r="P18" i="9"/>
  <c r="P19" i="9"/>
  <c r="S19" i="9" s="1"/>
  <c r="P20" i="9"/>
  <c r="S20" i="9" s="1"/>
  <c r="P21" i="9"/>
  <c r="S21" i="9" s="1"/>
  <c r="P22" i="9"/>
  <c r="S22" i="9" s="1"/>
  <c r="P11" i="9"/>
  <c r="O12" i="9"/>
  <c r="O13" i="9"/>
  <c r="O14" i="9"/>
  <c r="O15" i="9"/>
  <c r="O16" i="9"/>
  <c r="O17" i="9"/>
  <c r="O18" i="9"/>
  <c r="O19" i="9"/>
  <c r="O20" i="9"/>
  <c r="O21" i="9"/>
  <c r="R21" i="9" s="1"/>
  <c r="O22" i="9"/>
  <c r="R22" i="9" s="1"/>
  <c r="O11" i="9"/>
  <c r="R11" i="9" s="1"/>
  <c r="I11" i="9"/>
  <c r="K11" i="9"/>
  <c r="M13" i="9"/>
  <c r="M14" i="9"/>
  <c r="M15" i="9"/>
  <c r="M16" i="9"/>
  <c r="M17" i="9"/>
  <c r="M18" i="9"/>
  <c r="M19" i="9"/>
  <c r="M20" i="9"/>
  <c r="M21" i="9"/>
  <c r="M22" i="9"/>
  <c r="M11" i="9"/>
  <c r="K12" i="9"/>
  <c r="K13" i="9"/>
  <c r="K14" i="9"/>
  <c r="K15" i="9"/>
  <c r="K16" i="9"/>
  <c r="K17" i="9"/>
  <c r="K18" i="9"/>
  <c r="K19" i="9"/>
  <c r="K20" i="9"/>
  <c r="K21" i="9"/>
  <c r="K22" i="9"/>
  <c r="I12" i="9"/>
  <c r="I13" i="9"/>
  <c r="I14" i="9"/>
  <c r="I15" i="9"/>
  <c r="I16" i="9"/>
  <c r="I17" i="9"/>
  <c r="I18" i="9"/>
  <c r="I19" i="9"/>
  <c r="I20" i="9"/>
  <c r="I21" i="9"/>
  <c r="I22" i="9"/>
  <c r="O33" i="8"/>
  <c r="M30" i="8"/>
  <c r="P30" i="8" s="1" a="1"/>
  <c r="P30" i="8" s="1"/>
  <c r="M31" i="8"/>
  <c r="P31" i="8" s="1" a="1"/>
  <c r="P31" i="8" s="1"/>
  <c r="M32" i="8"/>
  <c r="P32" i="8" s="1" a="1"/>
  <c r="P32" i="8" s="1"/>
  <c r="M33" i="8"/>
  <c r="P33" i="8" s="1" a="1"/>
  <c r="P33" i="8" s="1"/>
  <c r="L12" i="8"/>
  <c r="L21" i="8" a="1"/>
  <c r="L21" i="8" s="1"/>
  <c r="I20" i="8"/>
  <c r="L22" i="8" a="1"/>
  <c r="L22" i="8" s="1"/>
  <c r="L23" i="8" a="1"/>
  <c r="L23" i="8" s="1"/>
  <c r="L20" i="8" a="1"/>
  <c r="L20" i="8" s="1"/>
  <c r="R12" i="8"/>
  <c r="I21" i="8"/>
  <c r="I22" i="8"/>
  <c r="I23" i="8"/>
  <c r="R13" i="8"/>
  <c r="R14" i="8"/>
  <c r="R15" i="8"/>
  <c r="P12" i="8"/>
  <c r="N12" i="8" s="1" a="1"/>
  <c r="N12" i="8" s="1"/>
  <c r="P15" i="8"/>
  <c r="N15" i="8" s="1" a="1"/>
  <c r="N15" i="8" s="1"/>
  <c r="P13" i="8"/>
  <c r="N13" i="8" s="1" a="1"/>
  <c r="N13" i="8" s="1"/>
  <c r="P14" i="8"/>
  <c r="N14" i="8" s="1" a="1"/>
  <c r="N14" i="8" s="1"/>
  <c r="L13" i="8"/>
  <c r="L14" i="8"/>
  <c r="L15" i="8"/>
  <c r="I13" i="8"/>
  <c r="I14" i="8"/>
  <c r="I15" i="8"/>
  <c r="I12" i="8"/>
  <c r="R18" i="4"/>
  <c r="P30" i="6"/>
  <c r="Q34" i="6"/>
  <c r="Q35" i="6"/>
  <c r="Q36" i="6"/>
  <c r="Q33" i="6"/>
  <c r="O34" i="6"/>
  <c r="O35" i="6"/>
  <c r="O36" i="6"/>
  <c r="O33" i="6"/>
  <c r="K34" i="6"/>
  <c r="K35" i="6"/>
  <c r="K36" i="6"/>
  <c r="K33" i="6"/>
  <c r="I34" i="6"/>
  <c r="I35" i="6"/>
  <c r="I36" i="6"/>
  <c r="I33" i="6"/>
  <c r="J30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9" i="6"/>
  <c r="L10" i="6"/>
  <c r="R10" i="6" s="1"/>
  <c r="L11" i="6"/>
  <c r="R11" i="6" s="1"/>
  <c r="L12" i="6"/>
  <c r="R12" i="6" s="1"/>
  <c r="L13" i="6"/>
  <c r="R13" i="6" s="1"/>
  <c r="L14" i="6"/>
  <c r="R14" i="6" s="1"/>
  <c r="L15" i="6"/>
  <c r="P15" i="6" s="1"/>
  <c r="L16" i="6"/>
  <c r="P16" i="6" s="1"/>
  <c r="L17" i="6"/>
  <c r="P17" i="6" s="1"/>
  <c r="L18" i="6"/>
  <c r="R18" i="6" s="1"/>
  <c r="L19" i="6"/>
  <c r="R19" i="6" s="1"/>
  <c r="L20" i="6"/>
  <c r="R20" i="6" s="1"/>
  <c r="L21" i="6"/>
  <c r="R21" i="6" s="1"/>
  <c r="L22" i="6"/>
  <c r="R22" i="6" s="1"/>
  <c r="L23" i="6"/>
  <c r="R23" i="6" s="1"/>
  <c r="L24" i="6"/>
  <c r="R24" i="6" s="1"/>
  <c r="L9" i="6"/>
  <c r="R9" i="6" s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9" i="6"/>
  <c r="H9" i="5"/>
  <c r="J25" i="5"/>
  <c r="J26" i="5"/>
  <c r="J27" i="5"/>
  <c r="T15" i="5"/>
  <c r="T14" i="5"/>
  <c r="T13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12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H13" i="5"/>
  <c r="H14" i="5"/>
  <c r="H15" i="5"/>
  <c r="H16" i="5"/>
  <c r="H17" i="5"/>
  <c r="H18" i="5"/>
  <c r="H19" i="5"/>
  <c r="H20" i="5"/>
  <c r="H21" i="5"/>
  <c r="H12" i="5"/>
  <c r="J9" i="5"/>
  <c r="L9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12" i="5"/>
  <c r="R9" i="5"/>
  <c r="P10" i="5"/>
  <c r="P9" i="5"/>
  <c r="N9" i="5"/>
  <c r="H10" i="5"/>
  <c r="N10" i="3" a="1"/>
  <c r="N10" i="3" s="1"/>
  <c r="Q18" i="4"/>
  <c r="P18" i="4"/>
  <c r="O18" i="4"/>
  <c r="I25" i="4"/>
  <c r="M18" i="4"/>
  <c r="M10" i="4" s="1"/>
  <c r="K18" i="4"/>
  <c r="I18" i="4"/>
  <c r="K20" i="4" s="1"/>
  <c r="M12" i="4"/>
  <c r="I10" i="4"/>
  <c r="N11" i="3" a="1"/>
  <c r="N11" i="3" s="1"/>
  <c r="N12" i="3" a="1"/>
  <c r="N12" i="3" s="1"/>
  <c r="N13" i="3" a="1"/>
  <c r="N13" i="3"/>
  <c r="N14" i="3" a="1"/>
  <c r="N14" i="3" s="1"/>
  <c r="N15" i="3" a="1"/>
  <c r="N15" i="3" s="1"/>
  <c r="N16" i="3" a="1"/>
  <c r="N16" i="3"/>
  <c r="N17" i="3" a="1"/>
  <c r="N17" i="3" s="1"/>
  <c r="K11" i="3" a="1"/>
  <c r="K11" i="3"/>
  <c r="K12" i="3" a="1"/>
  <c r="K12" i="3" s="1"/>
  <c r="K13" i="3" a="1"/>
  <c r="K13" i="3"/>
  <c r="K14" i="3" a="1"/>
  <c r="K14" i="3"/>
  <c r="K15" i="3" a="1"/>
  <c r="K15" i="3"/>
  <c r="K16" i="3" a="1"/>
  <c r="K16" i="3"/>
  <c r="K17" i="3" a="1"/>
  <c r="K17" i="3" s="1"/>
  <c r="G23" i="3"/>
  <c r="G11" i="3"/>
  <c r="G12" i="3"/>
  <c r="G13" i="3"/>
  <c r="G14" i="3"/>
  <c r="G15" i="3"/>
  <c r="G16" i="3"/>
  <c r="G17" i="3"/>
  <c r="G10" i="3"/>
  <c r="U170" i="2"/>
  <c r="U166" i="2"/>
  <c r="U167" i="2"/>
  <c r="U168" i="2"/>
  <c r="U169" i="2"/>
  <c r="U165" i="2"/>
  <c r="W7" i="2"/>
  <c r="W6" i="2"/>
  <c r="W22" i="2"/>
  <c r="T25" i="2" a="1"/>
  <c r="T25" i="2" s="1"/>
  <c r="U21" i="2"/>
  <c r="Y10" i="2"/>
  <c r="Y9" i="2"/>
  <c r="Y6" i="2"/>
  <c r="Y7" i="2"/>
  <c r="Y8" i="2"/>
  <c r="Y5" i="2"/>
  <c r="Y14" i="2"/>
  <c r="Y15" i="2"/>
  <c r="Y16" i="2"/>
  <c r="Y17" i="2"/>
  <c r="Y13" i="2"/>
  <c r="X14" i="2"/>
  <c r="X15" i="2"/>
  <c r="X16" i="2"/>
  <c r="X17" i="2"/>
  <c r="X13" i="2"/>
  <c r="U15" i="2"/>
  <c r="U14" i="2"/>
  <c r="U16" i="2" s="1"/>
  <c r="U18" i="2" s="1"/>
  <c r="U13" i="2"/>
  <c r="U12" i="2"/>
  <c r="W10" i="2" s="1"/>
  <c r="L38" i="8" l="1" a="1"/>
  <c r="L38" i="8" s="1"/>
  <c r="I38" i="6"/>
  <c r="M51" i="10"/>
  <c r="I36" i="2"/>
  <c r="I82" i="2"/>
  <c r="I34" i="2"/>
  <c r="H14" i="2"/>
  <c r="I14" i="2" s="1"/>
  <c r="I90" i="2"/>
  <c r="I42" i="2"/>
  <c r="I18" i="2"/>
  <c r="H13" i="2"/>
  <c r="I13" i="2" s="1"/>
  <c r="I65" i="2"/>
  <c r="I17" i="2"/>
  <c r="H89" i="2"/>
  <c r="I89" i="2" s="1"/>
  <c r="H12" i="2"/>
  <c r="I12" i="2" s="1"/>
  <c r="H41" i="2"/>
  <c r="I41" i="2" s="1"/>
  <c r="H66" i="2"/>
  <c r="I66" i="2" s="1"/>
  <c r="I91" i="2"/>
  <c r="I67" i="2"/>
  <c r="H93" i="2"/>
  <c r="I93" i="2" s="1"/>
  <c r="H69" i="2"/>
  <c r="I69" i="2" s="1"/>
  <c r="H45" i="2"/>
  <c r="I45" i="2" s="1"/>
  <c r="H21" i="2"/>
  <c r="I21" i="2" s="1"/>
  <c r="I88" i="2"/>
  <c r="I64" i="2"/>
  <c r="I40" i="2"/>
  <c r="I16" i="2"/>
  <c r="H92" i="2"/>
  <c r="I92" i="2" s="1"/>
  <c r="H68" i="2"/>
  <c r="I68" i="2" s="1"/>
  <c r="H44" i="2"/>
  <c r="I44" i="2" s="1"/>
  <c r="H20" i="2"/>
  <c r="I20" i="2" s="1"/>
  <c r="I87" i="2"/>
  <c r="I63" i="2"/>
  <c r="I39" i="2"/>
  <c r="I15" i="2"/>
  <c r="H91" i="2"/>
  <c r="H67" i="2"/>
  <c r="H43" i="2"/>
  <c r="I43" i="2" s="1"/>
  <c r="H19" i="2"/>
  <c r="I19" i="2" s="1"/>
  <c r="I97" i="2"/>
  <c r="I73" i="2"/>
  <c r="I49" i="2"/>
  <c r="I25" i="2"/>
  <c r="I96" i="2"/>
  <c r="I72" i="2"/>
  <c r="I48" i="2"/>
  <c r="I24" i="2"/>
  <c r="I95" i="2"/>
  <c r="I71" i="2"/>
  <c r="I47" i="2"/>
  <c r="I23" i="2"/>
  <c r="I94" i="2"/>
  <c r="I70" i="2"/>
  <c r="I46" i="2"/>
  <c r="I22" i="2"/>
  <c r="R21" i="4"/>
  <c r="R17" i="6"/>
  <c r="R15" i="6"/>
  <c r="P14" i="6"/>
  <c r="P10" i="6"/>
  <c r="P9" i="6"/>
  <c r="P24" i="6"/>
  <c r="P23" i="6"/>
  <c r="P13" i="6"/>
  <c r="P12" i="6"/>
  <c r="P11" i="6"/>
  <c r="R16" i="6"/>
  <c r="P22" i="6"/>
  <c r="P21" i="6"/>
  <c r="P20" i="6"/>
  <c r="P19" i="6"/>
  <c r="P18" i="6"/>
  <c r="P19" i="4"/>
  <c r="O19" i="4"/>
  <c r="R19" i="4"/>
  <c r="W9" i="2"/>
  <c r="W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86FCC-966B-4066-BE8B-C53EF16BC1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23EE8F3-2F37-4C8F-8F10-6F93AC1EE02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72A973B9-89AA-4E05-97E8-AC60E2F0BF8C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C222DA3D-69DE-4A9D-A070-83AF71163895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CFEE9AE3-83D9-4502-8DC7-E2DE892723F9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8835524E-5AE8-4740-93B7-0F4983B2B3D7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7" xr16:uid="{E20E675C-357C-48A2-9555-69AA2EC4F01E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8" xr16:uid="{6DE3DA21-39D1-44CF-B00F-75B1ED1753CE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9" xr16:uid="{1B35E31F-4755-4CF5-B3EB-1AD1EF84D63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6BC653A5-199A-4A49-A00F-979E23270E54}" name="WorksheetConnection_Excel practice2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xcelpractice2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<sst xmlns="http://schemas.openxmlformats.org/spreadsheetml/2006/main" count="3365" uniqueCount="303">
  <si>
    <t>Date</t>
  </si>
  <si>
    <t>Product</t>
  </si>
  <si>
    <t>Category</t>
  </si>
  <si>
    <t>Region</t>
  </si>
  <si>
    <t>Sales Amount</t>
  </si>
  <si>
    <t>Quantity Sold</t>
  </si>
  <si>
    <t>2025-02-09</t>
  </si>
  <si>
    <t>2025-03-18</t>
  </si>
  <si>
    <t>2025-01-19</t>
  </si>
  <si>
    <t>2025-02-06</t>
  </si>
  <si>
    <t>2025-02-05</t>
  </si>
  <si>
    <t>2025-04-28</t>
  </si>
  <si>
    <t>2025-03-04</t>
  </si>
  <si>
    <t>2025-04-17</t>
  </si>
  <si>
    <t>2025-03-19</t>
  </si>
  <si>
    <t>2025-05-01</t>
  </si>
  <si>
    <t>2025-01-20</t>
  </si>
  <si>
    <t>2025-03-23</t>
  </si>
  <si>
    <t>2025-02-11</t>
  </si>
  <si>
    <t>2025-04-20</t>
  </si>
  <si>
    <t>2025-03-06</t>
  </si>
  <si>
    <t>2025-03-25</t>
  </si>
  <si>
    <t>2025-03-16</t>
  </si>
  <si>
    <t>2025-03-05</t>
  </si>
  <si>
    <t>2025-02-15</t>
  </si>
  <si>
    <t>2025-01-24</t>
  </si>
  <si>
    <t>2025-01-06</t>
  </si>
  <si>
    <t>2025-01-03</t>
  </si>
  <si>
    <t>2025-02-13</t>
  </si>
  <si>
    <t>2025-01-22</t>
  </si>
  <si>
    <t>2025-03-28</t>
  </si>
  <si>
    <t>2025-01-13</t>
  </si>
  <si>
    <t>2025-02-28</t>
  </si>
  <si>
    <t>2025-04-15</t>
  </si>
  <si>
    <t>2025-02-04</t>
  </si>
  <si>
    <t>2025-03-31</t>
  </si>
  <si>
    <t>2025-02-26</t>
  </si>
  <si>
    <t>2025-04-01</t>
  </si>
  <si>
    <t>2025-04-02</t>
  </si>
  <si>
    <t>2025-02-16</t>
  </si>
  <si>
    <t>2025-03-09</t>
  </si>
  <si>
    <t>2025-02-07</t>
  </si>
  <si>
    <t>2025-02-17</t>
  </si>
  <si>
    <t>2025-03-12</t>
  </si>
  <si>
    <t>2025-03-03</t>
  </si>
  <si>
    <t>2025-03-30</t>
  </si>
  <si>
    <t>2025-02-19</t>
  </si>
  <si>
    <t>2025-04-07</t>
  </si>
  <si>
    <t>2025-04-19</t>
  </si>
  <si>
    <t>2025-01-01</t>
  </si>
  <si>
    <t>2025-02-25</t>
  </si>
  <si>
    <t>2025-01-12</t>
  </si>
  <si>
    <t>2025-02-14</t>
  </si>
  <si>
    <t>2025-01-29</t>
  </si>
  <si>
    <t>2025-02-18</t>
  </si>
  <si>
    <t>2025-03-08</t>
  </si>
  <si>
    <t>2025-01-02</t>
  </si>
  <si>
    <t>2025-01-23</t>
  </si>
  <si>
    <t>2025-02-01</t>
  </si>
  <si>
    <t>2025-03-11</t>
  </si>
  <si>
    <t>2025-02-22</t>
  </si>
  <si>
    <t>2025-04-14</t>
  </si>
  <si>
    <t>2025-01-09</t>
  </si>
  <si>
    <t>2025-04-09</t>
  </si>
  <si>
    <t>2025-01-08</t>
  </si>
  <si>
    <t>2025-02-02</t>
  </si>
  <si>
    <t>2025-01-10</t>
  </si>
  <si>
    <t>2025-02-24</t>
  </si>
  <si>
    <t>2025-01-11</t>
  </si>
  <si>
    <t>2025-04-30</t>
  </si>
  <si>
    <t>2025-03-15</t>
  </si>
  <si>
    <t>2025-04-18</t>
  </si>
  <si>
    <t>2025-02-23</t>
  </si>
  <si>
    <t>Sneakers</t>
  </si>
  <si>
    <t>Smartphone</t>
  </si>
  <si>
    <t>Shirt</t>
  </si>
  <si>
    <t>Microwave</t>
  </si>
  <si>
    <t>Trousers</t>
  </si>
  <si>
    <t>Blender</t>
  </si>
  <si>
    <t>Boots</t>
  </si>
  <si>
    <t>Laptop</t>
  </si>
  <si>
    <t>Footwear</t>
  </si>
  <si>
    <t>Electronics</t>
  </si>
  <si>
    <t>Clothing</t>
  </si>
  <si>
    <t>Appliances</t>
  </si>
  <si>
    <t>East</t>
  </si>
  <si>
    <t>South</t>
  </si>
  <si>
    <t>West</t>
  </si>
  <si>
    <t>North</t>
  </si>
  <si>
    <t>sum</t>
  </si>
  <si>
    <t>sqrt</t>
  </si>
  <si>
    <t>roung</t>
  </si>
  <si>
    <t>left</t>
  </si>
  <si>
    <t>right</t>
  </si>
  <si>
    <t>average</t>
  </si>
  <si>
    <t>min</t>
  </si>
  <si>
    <t>max</t>
  </si>
  <si>
    <t>median</t>
  </si>
  <si>
    <t>rank</t>
  </si>
  <si>
    <t>len</t>
  </si>
  <si>
    <t>santhosh</t>
  </si>
  <si>
    <t>vicky</t>
  </si>
  <si>
    <t>nandha</t>
  </si>
  <si>
    <t>uday</t>
  </si>
  <si>
    <t>vignesh</t>
  </si>
  <si>
    <t>meadian</t>
  </si>
  <si>
    <t>round avg</t>
  </si>
  <si>
    <t>first letter</t>
  </si>
  <si>
    <t>lastletter</t>
  </si>
  <si>
    <t>len of names</t>
  </si>
  <si>
    <t>rank avg</t>
  </si>
  <si>
    <t>dense rank</t>
  </si>
  <si>
    <t>filter by firstletter</t>
  </si>
  <si>
    <t>5+1</t>
  </si>
  <si>
    <t>networkdays</t>
  </si>
  <si>
    <t>today</t>
  </si>
  <si>
    <t>eomonth</t>
  </si>
  <si>
    <t>NETWORKDAYS</t>
  </si>
  <si>
    <t>EOMONTH</t>
  </si>
  <si>
    <t>YEAR</t>
  </si>
  <si>
    <t>MONTH</t>
  </si>
  <si>
    <t>DAY</t>
  </si>
  <si>
    <t>TODAY()</t>
  </si>
  <si>
    <t>WEEKDAY</t>
  </si>
  <si>
    <t>DATE</t>
  </si>
  <si>
    <t>find</t>
  </si>
  <si>
    <t>A</t>
  </si>
  <si>
    <t>P</t>
  </si>
  <si>
    <t>L</t>
  </si>
  <si>
    <t>E</t>
  </si>
  <si>
    <t>APPLE</t>
  </si>
  <si>
    <t>replace</t>
  </si>
  <si>
    <t>substitute</t>
  </si>
  <si>
    <t>mid</t>
  </si>
  <si>
    <t>search</t>
  </si>
  <si>
    <t>CONCAT</t>
  </si>
  <si>
    <t>ABC-2026-001</t>
  </si>
  <si>
    <t>SANTHOSH</t>
  </si>
  <si>
    <t xml:space="preserve"> SANTHU</t>
  </si>
  <si>
    <t>FIRSTNAME</t>
  </si>
  <si>
    <t>LASTNAME</t>
  </si>
  <si>
    <t>SHIV</t>
  </si>
  <si>
    <t>KESHAV</t>
  </si>
  <si>
    <t>ASHOK</t>
  </si>
  <si>
    <t>G</t>
  </si>
  <si>
    <t>FULLNAME</t>
  </si>
  <si>
    <t>UDAY</t>
  </si>
  <si>
    <t>KIRAN</t>
  </si>
  <si>
    <t>find--&gt; Case Sensitive</t>
  </si>
  <si>
    <t>Search--&gt;Not Case Sensitive</t>
  </si>
  <si>
    <t>sub</t>
  </si>
  <si>
    <t>product</t>
  </si>
  <si>
    <t>fact</t>
  </si>
  <si>
    <t>roundup</t>
  </si>
  <si>
    <t>roungdown</t>
  </si>
  <si>
    <t>sumifs</t>
  </si>
  <si>
    <t>mod</t>
  </si>
  <si>
    <t>sumif</t>
  </si>
  <si>
    <t>total sum</t>
  </si>
  <si>
    <t>tt sum</t>
  </si>
  <si>
    <t>total avg</t>
  </si>
  <si>
    <t>avgif</t>
  </si>
  <si>
    <t>avgifs</t>
  </si>
  <si>
    <t>Basic Formulas</t>
  </si>
  <si>
    <t>Median</t>
  </si>
  <si>
    <t>Left</t>
  </si>
  <si>
    <t>Right</t>
  </si>
  <si>
    <t>round</t>
  </si>
  <si>
    <t>Date Functions</t>
  </si>
  <si>
    <t>Date()</t>
  </si>
  <si>
    <t>NERWORDAYS()</t>
  </si>
  <si>
    <t>YEAR()</t>
  </si>
  <si>
    <t>MONTH()</t>
  </si>
  <si>
    <t>DAY()</t>
  </si>
  <si>
    <t>WEEKDAY()</t>
  </si>
  <si>
    <t>EOMONTH()</t>
  </si>
  <si>
    <t>String Funcitons</t>
  </si>
  <si>
    <t>Find</t>
  </si>
  <si>
    <t>Search</t>
  </si>
  <si>
    <t>Replace</t>
  </si>
  <si>
    <t>Sustitute</t>
  </si>
  <si>
    <t>Concat</t>
  </si>
  <si>
    <t>Mid</t>
  </si>
  <si>
    <t>math functions</t>
  </si>
  <si>
    <t>SQRT</t>
  </si>
  <si>
    <t>Fact</t>
  </si>
  <si>
    <t>MOD</t>
  </si>
  <si>
    <t>Roundup</t>
  </si>
  <si>
    <t>Rounddown</t>
  </si>
  <si>
    <t>avg</t>
  </si>
  <si>
    <t>Hloookup</t>
  </si>
  <si>
    <t>Vlookup</t>
  </si>
  <si>
    <t>Xlookup</t>
  </si>
  <si>
    <t>Index</t>
  </si>
  <si>
    <t>Match</t>
  </si>
  <si>
    <t>Index+Match</t>
  </si>
  <si>
    <t>month</t>
  </si>
  <si>
    <t>jan</t>
  </si>
  <si>
    <t>feb</t>
  </si>
  <si>
    <t>mar</t>
  </si>
  <si>
    <t>apr</t>
  </si>
  <si>
    <t>type</t>
  </si>
  <si>
    <t>footwear</t>
  </si>
  <si>
    <t>clothing</t>
  </si>
  <si>
    <t>appliances</t>
  </si>
  <si>
    <t>sales</t>
  </si>
  <si>
    <t>Hlookup</t>
  </si>
  <si>
    <t>electronics</t>
  </si>
  <si>
    <t>match</t>
  </si>
  <si>
    <t>shirt</t>
  </si>
  <si>
    <t>microwave</t>
  </si>
  <si>
    <t>east</t>
  </si>
  <si>
    <t>west</t>
  </si>
  <si>
    <t>north</t>
  </si>
  <si>
    <t>south</t>
  </si>
  <si>
    <t>name</t>
  </si>
  <si>
    <t>marks</t>
  </si>
  <si>
    <t>dept</t>
  </si>
  <si>
    <t>B</t>
  </si>
  <si>
    <t>C</t>
  </si>
  <si>
    <t>D</t>
  </si>
  <si>
    <t>CSD</t>
  </si>
  <si>
    <t>CSE</t>
  </si>
  <si>
    <t>AI</t>
  </si>
  <si>
    <t>CST</t>
  </si>
  <si>
    <t>top</t>
  </si>
  <si>
    <t>xlookup</t>
  </si>
  <si>
    <t>Lookups</t>
  </si>
  <si>
    <t>Vlooup</t>
  </si>
  <si>
    <t>Index + Match</t>
  </si>
  <si>
    <t>Index+filter</t>
  </si>
  <si>
    <t>large</t>
  </si>
  <si>
    <t>unique</t>
  </si>
  <si>
    <t>sort_Take</t>
  </si>
  <si>
    <t>choose</t>
  </si>
  <si>
    <t xml:space="preserve"> </t>
  </si>
  <si>
    <t>index+filter</t>
  </si>
  <si>
    <t>AND</t>
  </si>
  <si>
    <t>OR</t>
  </si>
  <si>
    <t>NOT</t>
  </si>
  <si>
    <t>ISERROR</t>
  </si>
  <si>
    <t>ISNUMBER</t>
  </si>
  <si>
    <t>ISBLANK</t>
  </si>
  <si>
    <t>IFERROR</t>
  </si>
  <si>
    <t>IF</t>
  </si>
  <si>
    <t>IFELSE</t>
  </si>
  <si>
    <t>Nested If</t>
  </si>
  <si>
    <t>Product Sold(AND)</t>
  </si>
  <si>
    <t>Product Sold(OR)</t>
  </si>
  <si>
    <t>XOR</t>
  </si>
  <si>
    <t>AND+IF</t>
  </si>
  <si>
    <t>Person</t>
  </si>
  <si>
    <t>Not Full</t>
  </si>
  <si>
    <t>Full</t>
  </si>
  <si>
    <t>Switch</t>
  </si>
  <si>
    <t>count</t>
  </si>
  <si>
    <t>counta</t>
  </si>
  <si>
    <t>countblank</t>
  </si>
  <si>
    <t>countifs</t>
  </si>
  <si>
    <t>mean</t>
  </si>
  <si>
    <t>mode</t>
  </si>
  <si>
    <t>correl</t>
  </si>
  <si>
    <t>stdev</t>
  </si>
  <si>
    <t>countif</t>
  </si>
  <si>
    <t>var</t>
  </si>
  <si>
    <t>Quantity</t>
  </si>
  <si>
    <t>sample</t>
  </si>
  <si>
    <t>population</t>
  </si>
  <si>
    <t>Region_encode</t>
  </si>
  <si>
    <t>company</t>
  </si>
  <si>
    <t>Sales</t>
  </si>
  <si>
    <t>Cognizant</t>
  </si>
  <si>
    <t>Google</t>
  </si>
  <si>
    <t>Amazon</t>
  </si>
  <si>
    <t>Netflix</t>
  </si>
  <si>
    <t>Logo</t>
  </si>
  <si>
    <t>Formatting</t>
  </si>
  <si>
    <t>Number</t>
  </si>
  <si>
    <t>Alignment</t>
  </si>
  <si>
    <t>Font</t>
  </si>
  <si>
    <t>Border</t>
  </si>
  <si>
    <t>Fill</t>
  </si>
  <si>
    <t>`</t>
  </si>
  <si>
    <t xml:space="preserve">                                          </t>
  </si>
  <si>
    <t>hide 0's</t>
  </si>
  <si>
    <t>hide negatives</t>
  </si>
  <si>
    <t>hide positives</t>
  </si>
  <si>
    <t>positive with name</t>
  </si>
  <si>
    <t>negative and value</t>
  </si>
  <si>
    <t>#.0</t>
  </si>
  <si>
    <t>#.00</t>
  </si>
  <si>
    <t>#.000</t>
  </si>
  <si>
    <t>For Decimal Places</t>
  </si>
  <si>
    <t>0.0'</t>
  </si>
  <si>
    <t>0.00'</t>
  </si>
  <si>
    <t>custom formatting</t>
  </si>
  <si>
    <t>#,##0;-#,##0;#,##0;</t>
  </si>
  <si>
    <t>#,##0"Posii";-#,##0;#,##0;</t>
  </si>
  <si>
    <t>#,##0;-#,##0"Nega";#,##0;</t>
  </si>
  <si>
    <t>to hide blank the respective section.</t>
  </si>
  <si>
    <t>conditional Formating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</si>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</sst>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4" formatCode="_ &quot;₹&quot;\ * #,##0.00_ ;_ &quot;₹&quot;\ * \-#,##0.00_ ;_ &quot;₹&quot;\ * &quot;-&quot;??_ ;_ @_ "/>
    <numFmt numFmtId="164" formatCode="[$-14009]dd\ mmmm\ yyyy;@"/>
    <numFmt numFmtId="165" formatCode="[$$-409]#,##0.00"/>
    <numFmt numFmtId="166" formatCode="[$Rs.-849]#,##0.00"/>
    <numFmt numFmtId="167" formatCode="###\-###"/>
    <numFmt numFmtId="168" formatCode="\(###\)\-###\-####"/>
    <numFmt numFmtId="169" formatCode="#,##0;\-#,##0;&quot;negative&quot;"/>
    <numFmt numFmtId="170" formatCode="#,##0;&quot;negtaive&quot;"/>
    <numFmt numFmtId="171" formatCode="\-##,#0#,##0,&quot;negtaive&quot;"/>
    <numFmt numFmtId="172" formatCode="0.0"/>
    <numFmt numFmtId="173" formatCode="#.0"/>
    <numFmt numFmtId="174" formatCode="#,#00&quot;positive&quot;;\-#,##0;"/>
    <numFmt numFmtId="175" formatCode="#.00"/>
    <numFmt numFmtId="176" formatCode="#.000"/>
    <numFmt numFmtId="177" formatCode="#,##0&quot;Positive&quot;;\-#,##0;#,##0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59996337778862885"/>
        <bgColor theme="5"/>
      </patternFill>
    </fill>
    <fill>
      <patternFill patternType="solid">
        <fgColor theme="6" tint="0.59996337778862885"/>
        <bgColor theme="0" tint="-0.14999847407452621"/>
      </patternFill>
    </fill>
    <fill>
      <patternFill patternType="solid">
        <fgColor theme="6" tint="0.599963377788628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2" borderId="2" xfId="0" applyNumberFormat="1" applyFill="1" applyBorder="1"/>
    <xf numFmtId="0" fontId="4" fillId="4" borderId="3" xfId="0" applyFont="1" applyFill="1" applyBorder="1"/>
    <xf numFmtId="0" fontId="0" fillId="5" borderId="0" xfId="0" applyFill="1"/>
    <xf numFmtId="0" fontId="0" fillId="6" borderId="0" xfId="0" applyFill="1"/>
    <xf numFmtId="0" fontId="4" fillId="7" borderId="3" xfId="0" applyFont="1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12" borderId="3" xfId="0" applyFont="1" applyFill="1" applyBorder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5" fillId="12" borderId="3" xfId="0" applyFont="1" applyFill="1" applyBorder="1"/>
    <xf numFmtId="0" fontId="4" fillId="17" borderId="4" xfId="0" applyFont="1" applyFill="1" applyBorder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5" fillId="4" borderId="5" xfId="0" applyFont="1" applyFill="1" applyBorder="1"/>
    <xf numFmtId="2" fontId="6" fillId="21" borderId="0" xfId="0" applyNumberFormat="1" applyFont="1" applyFill="1"/>
    <xf numFmtId="2" fontId="6" fillId="3" borderId="0" xfId="0" applyNumberFormat="1" applyFont="1" applyFill="1"/>
    <xf numFmtId="0" fontId="6" fillId="10" borderId="0" xfId="0" applyFont="1" applyFill="1"/>
    <xf numFmtId="49" fontId="0" fillId="0" borderId="0" xfId="0" applyNumberFormat="1"/>
    <xf numFmtId="0" fontId="0" fillId="22" borderId="0" xfId="0" applyFill="1"/>
    <xf numFmtId="2" fontId="6" fillId="6" borderId="0" xfId="0" applyNumberFormat="1" applyFont="1" applyFill="1"/>
    <xf numFmtId="2" fontId="6" fillId="8" borderId="0" xfId="0" applyNumberFormat="1" applyFont="1" applyFill="1"/>
    <xf numFmtId="0" fontId="7" fillId="22" borderId="0" xfId="0" applyFont="1" applyFill="1" applyAlignment="1">
      <alignment wrapText="1"/>
    </xf>
    <xf numFmtId="0" fontId="0" fillId="22" borderId="0" xfId="0" applyFill="1" applyAlignment="1">
      <alignment wrapText="1"/>
    </xf>
    <xf numFmtId="2" fontId="8" fillId="22" borderId="0" xfId="0" applyNumberFormat="1" applyFont="1" applyFill="1" applyAlignment="1">
      <alignment wrapText="1"/>
    </xf>
    <xf numFmtId="0" fontId="9" fillId="23" borderId="0" xfId="0" applyFont="1" applyFill="1" applyAlignment="1">
      <alignment wrapText="1"/>
    </xf>
    <xf numFmtId="4" fontId="0" fillId="0" borderId="0" xfId="0" applyNumberFormat="1"/>
    <xf numFmtId="165" fontId="0" fillId="0" borderId="0" xfId="0" applyNumberFormat="1"/>
    <xf numFmtId="165" fontId="4" fillId="4" borderId="7" xfId="0" applyNumberFormat="1" applyFont="1" applyFill="1" applyBorder="1"/>
    <xf numFmtId="165" fontId="0" fillId="24" borderId="0" xfId="0" applyNumberFormat="1" applyFill="1"/>
    <xf numFmtId="2" fontId="0" fillId="26" borderId="0" xfId="0" applyNumberFormat="1" applyFill="1" applyAlignment="1">
      <alignment readingOrder="1"/>
    </xf>
    <xf numFmtId="2" fontId="0" fillId="27" borderId="0" xfId="0" applyNumberFormat="1" applyFill="1" applyAlignment="1">
      <alignment readingOrder="1"/>
    </xf>
    <xf numFmtId="2" fontId="10" fillId="25" borderId="7" xfId="0" applyNumberFormat="1" applyFont="1" applyFill="1" applyBorder="1" applyAlignment="1">
      <alignment readingOrder="1"/>
    </xf>
    <xf numFmtId="166" fontId="4" fillId="4" borderId="7" xfId="0" applyNumberFormat="1" applyFont="1" applyFill="1" applyBorder="1"/>
    <xf numFmtId="166" fontId="0" fillId="24" borderId="0" xfId="0" applyNumberFormat="1" applyFill="1"/>
    <xf numFmtId="166" fontId="0" fillId="0" borderId="0" xfId="0" applyNumberFormat="1"/>
    <xf numFmtId="49" fontId="0" fillId="0" borderId="0" xfId="0" applyNumberFormat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5" fillId="4" borderId="7" xfId="0" applyNumberFormat="1" applyFont="1" applyFill="1" applyBorder="1" applyAlignment="1">
      <alignment horizontal="center" vertical="center"/>
    </xf>
    <xf numFmtId="4" fontId="0" fillId="24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0" fillId="24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7" fontId="0" fillId="0" borderId="0" xfId="0" applyNumberFormat="1"/>
    <xf numFmtId="44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3" borderId="6" xfId="0" applyFill="1" applyBorder="1"/>
    <xf numFmtId="1" fontId="0" fillId="3" borderId="6" xfId="0" applyNumberFormat="1" applyFill="1" applyBorder="1"/>
    <xf numFmtId="172" fontId="0" fillId="3" borderId="6" xfId="0" applyNumberFormat="1" applyFill="1" applyBorder="1"/>
    <xf numFmtId="173" fontId="0" fillId="3" borderId="6" xfId="0" applyNumberFormat="1" applyFill="1" applyBorder="1"/>
    <xf numFmtId="174" fontId="0" fillId="3" borderId="6" xfId="0" applyNumberFormat="1" applyFill="1" applyBorder="1"/>
    <xf numFmtId="175" fontId="0" fillId="3" borderId="6" xfId="0" applyNumberFormat="1" applyFill="1" applyBorder="1"/>
    <xf numFmtId="176" fontId="0" fillId="3" borderId="6" xfId="0" applyNumberFormat="1" applyFill="1" applyBorder="1"/>
    <xf numFmtId="177" fontId="0" fillId="3" borderId="6" xfId="0" applyNumberFormat="1" applyFill="1" applyBorder="1"/>
    <xf numFmtId="0" fontId="0" fillId="6" borderId="0" xfId="0" quotePrefix="1" applyFill="1" applyAlignment="1">
      <alignment horizontal="left" indent="3"/>
    </xf>
    <xf numFmtId="0" fontId="0" fillId="0" borderId="0" xfId="0" applyAlignment="1">
      <alignment horizontal="left" indent="1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ont="1"/>
    <xf numFmtId="0" fontId="0" fillId="24" borderId="0" xfId="0" applyFont="1" applyFill="1"/>
    <xf numFmtId="0" fontId="4" fillId="4" borderId="7" xfId="0" applyFont="1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49" fontId="4" fillId="4" borderId="7" xfId="0" applyNumberFormat="1" applyFont="1" applyFill="1" applyBorder="1" applyAlignment="1">
      <alignment horizontal="center" vertical="center"/>
    </xf>
    <xf numFmtId="44" fontId="4" fillId="4" borderId="7" xfId="0" applyNumberFormat="1" applyFont="1" applyFill="1" applyBorder="1"/>
    <xf numFmtId="14" fontId="0" fillId="24" borderId="0" xfId="0" applyNumberFormat="1" applyFont="1" applyFill="1"/>
    <xf numFmtId="49" fontId="0" fillId="24" borderId="0" xfId="0" applyNumberFormat="1" applyFont="1" applyFill="1" applyAlignment="1">
      <alignment horizontal="center" vertical="center"/>
    </xf>
    <xf numFmtId="44" fontId="0" fillId="24" borderId="0" xfId="0" applyNumberFormat="1" applyFont="1" applyFill="1"/>
    <xf numFmtId="165" fontId="0" fillId="24" borderId="0" xfId="0" applyNumberFormat="1" applyFont="1" applyFill="1"/>
    <xf numFmtId="14" fontId="0" fillId="0" borderId="0" xfId="0" applyNumberFormat="1" applyFont="1"/>
    <xf numFmtId="49" fontId="0" fillId="0" borderId="0" xfId="0" applyNumberFormat="1" applyFont="1" applyAlignment="1">
      <alignment horizontal="center" vertical="center"/>
    </xf>
    <xf numFmtId="44" fontId="0" fillId="0" borderId="0" xfId="0" applyNumberFormat="1" applyFont="1"/>
    <xf numFmtId="165" fontId="0" fillId="0" borderId="0" xfId="0" applyNumberFormat="1" applyFont="1"/>
    <xf numFmtId="165" fontId="11" fillId="24" borderId="0" xfId="0" applyNumberFormat="1" applyFont="1" applyFill="1"/>
    <xf numFmtId="165" fontId="11" fillId="0" borderId="0" xfId="0" applyNumberFormat="1" applyFont="1"/>
  </cellXfs>
  <cellStyles count="1">
    <cellStyle name="Normal" xfId="0" builtinId="0"/>
  </cellStyles>
  <dxfs count="71">
    <dxf>
      <fill>
        <patternFill>
          <bgColor rgb="FFFFC000"/>
        </patternFill>
      </fill>
    </dxf>
    <dxf>
      <font>
        <color rgb="FF9C0006"/>
      </font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numFmt numFmtId="164" formatCode="[$-14009]dd\ m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[$$-409]#,##0.00"/>
      <fill>
        <patternFill patternType="darkGray">
          <fgColor theme="2" tint="-0.24994659260841701"/>
          <bgColor indexed="65"/>
        </patternFill>
      </fill>
      <alignment horizontal="left" vertical="center" textRotation="0" wrapText="0" indent="4" justifyLastLine="0" shrinkToFit="0" readingOrder="0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0" formatCode="General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color theme="2" tint="-0.89996032593768116"/>
      </font>
    </dxf>
  </dxfs>
  <tableStyles count="2" defaultTableStyle="TableStyleMedium9" defaultPivotStyle="PivotStyleLight16">
    <tableStyle name="Table Style 1" pivot="0" count="0" xr9:uid="{F8A1E16F-AEC3-4B32-BC44-73CAF9F83242}"/>
    <tableStyle name="Table Style 2" pivot="0" count="1" xr9:uid="{B0FB6227-2855-4C34-9AF8-766385A1044C}">
      <tableStyleElement type="firstHeaderCell" dxfId="7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Table" Target="pivotTables/pivotTable2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Table" Target="pivotTables/pivotTable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Table" Target="pivotTables/pivotTabl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Table" Target="pivotTables/pivotTabl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Appliances</c:v>
              </c:pt>
              <c:pt idx="1">
                <c:v>Clothing</c:v>
              </c:pt>
              <c:pt idx="2">
                <c:v>Electronics</c:v>
              </c:pt>
              <c:pt idx="3">
                <c:v>Footwear</c:v>
              </c:pt>
            </c:strLit>
          </c:cat>
          <c:val>
            <c:numLit>
              <c:formatCode>General</c:formatCode>
              <c:ptCount val="4"/>
              <c:pt idx="0">
                <c:v>153552</c:v>
              </c:pt>
              <c:pt idx="1">
                <c:v>158978</c:v>
              </c:pt>
              <c:pt idx="2">
                <c:v>128340</c:v>
              </c:pt>
              <c:pt idx="3">
                <c:v>87250</c:v>
              </c:pt>
            </c:numLit>
          </c:val>
          <c:extLst>
            <c:ext xmlns:c16="http://schemas.microsoft.com/office/drawing/2014/chart" uri="{C3380CC4-5D6E-409C-BE32-E72D297353CC}">
              <c16:uniqueId val="{00000000-5CD4-441C-8FEA-26E8A3D291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71401776"/>
        <c:axId val="1898602720"/>
      </c:barChart>
      <c:catAx>
        <c:axId val="1471401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027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98602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4714017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 practice3.xlsx]PivotChartTable1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Over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CCE38F0-2A27-446D-BA68-73C25E632F01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6">
                  <a:lumMod val="60000"/>
                  <a:shade val="51000"/>
                  <a:satMod val="130000"/>
                </a:schemeClr>
              </a:gs>
              <a:gs pos="80000">
                <a:schemeClr val="accent6">
                  <a:lumMod val="60000"/>
                  <a:shade val="93000"/>
                  <a:satMod val="130000"/>
                </a:schemeClr>
              </a:gs>
              <a:gs pos="100000">
                <a:schemeClr val="accent6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8DA63EB-43D6-4F63-8202-80FC460C4E22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14227770926224584"/>
              <c:y val="-5.659758047485443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318959A-32C8-4542-81AA-3433F54A14A9}" type="VALUE">
                  <a:rPr lang="en-US"/>
                  <a:pPr>
                    <a:defRPr/>
                  </a:pPr>
                  <a:t>[VALUE]</a:t>
                </a:fld>
                <a:endParaRPr lang="en-US" baseline="0"/>
              </a:p>
              <a:p>
                <a:pPr>
                  <a:defRPr/>
                </a:pPr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D094F05-5EAE-4CC2-9E2C-A7A39223F3E0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1FA-468A-AE36-027C86A41E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61FA-468A-AE36-027C86A41E1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1FA-468A-AE36-027C86A41E1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61FA-468A-AE36-027C86A41E1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CCE38F0-2A27-446D-BA68-73C25E632F01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FA-468A-AE36-027C86A41E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094F05-5EAE-4CC2-9E2C-A7A39223F3E0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61FA-468A-AE36-027C86A41E1F}"/>
                </c:ext>
              </c:extLst>
            </c:dLbl>
            <c:dLbl>
              <c:idx val="2"/>
              <c:layout>
                <c:manualLayout>
                  <c:x val="0.14227770926224584"/>
                  <c:y val="-5.6597580474854435E-2"/>
                </c:manualLayout>
              </c:layout>
              <c:tx>
                <c:rich>
                  <a:bodyPr/>
                  <a:lstStyle/>
                  <a:p>
                    <a:fld id="{4318959A-32C8-4542-81AA-3433F54A14A9}" type="VALUE">
                      <a:rPr lang="en-US"/>
                      <a:pPr/>
                      <a:t>[VALUE]</a:t>
                    </a:fld>
                    <a:endParaRPr lang="en-US" baseline="0"/>
                  </a:p>
                  <a:p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1FA-468A-AE36-027C86A41E1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DA63EB-43D6-4F63-8202-80FC460C4E22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1FA-468A-AE36-027C86A41E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171871</c:v>
              </c:pt>
              <c:pt idx="1">
                <c:v>137638</c:v>
              </c:pt>
              <c:pt idx="2">
                <c:v>110772</c:v>
              </c:pt>
              <c:pt idx="3">
                <c:v>107839</c:v>
              </c:pt>
            </c:numLit>
          </c:val>
          <c:extLst>
            <c:ext xmlns:c16="http://schemas.microsoft.com/office/drawing/2014/chart" uri="{C3380CC4-5D6E-409C-BE32-E72D297353CC}">
              <c16:uniqueId val="{00000000-61FA-468A-AE36-027C86A41E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 practice3.xlsx]PivotChartTable2</c15:name>
        <c15:fmtId val="2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blipFill>
              <a:blip xmlns:r="http://schemas.openxmlformats.org/officeDocument/2006/relationships" r:embed="rId3"/>
              <a:tile tx="0" ty="0" sx="100000" sy="100000" flip="none" algn="tl"/>
            </a:blipFill>
            <a:ln>
              <a:solidFill>
                <a:schemeClr val="bg2">
                  <a:lumMod val="1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6"/>
            <c:spPr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n>
                <a:solidFill>
                  <a:schemeClr val="bg2">
                    <a:lumMod val="10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Lit>
              <c:ptCount val="67"/>
              <c:pt idx="0">
                <c:v>2025-01-01</c:v>
              </c:pt>
              <c:pt idx="1">
                <c:v>2025-01-02</c:v>
              </c:pt>
              <c:pt idx="2">
                <c:v>2025-01-03</c:v>
              </c:pt>
              <c:pt idx="3">
                <c:v>2025-01-06</c:v>
              </c:pt>
              <c:pt idx="4">
                <c:v>2025-01-08</c:v>
              </c:pt>
              <c:pt idx="5">
                <c:v>2025-01-09</c:v>
              </c:pt>
              <c:pt idx="6">
                <c:v>2025-01-10</c:v>
              </c:pt>
              <c:pt idx="7">
                <c:v>2025-01-11</c:v>
              </c:pt>
              <c:pt idx="8">
                <c:v>2025-01-12</c:v>
              </c:pt>
              <c:pt idx="9">
                <c:v>2025-01-13</c:v>
              </c:pt>
              <c:pt idx="10">
                <c:v>2025-01-19</c:v>
              </c:pt>
              <c:pt idx="11">
                <c:v>2025-01-20</c:v>
              </c:pt>
              <c:pt idx="12">
                <c:v>2025-01-22</c:v>
              </c:pt>
              <c:pt idx="13">
                <c:v>2025-01-23</c:v>
              </c:pt>
              <c:pt idx="14">
                <c:v>2025-01-24</c:v>
              </c:pt>
              <c:pt idx="15">
                <c:v>2025-01-29</c:v>
              </c:pt>
              <c:pt idx="16">
                <c:v>2025-02-01</c:v>
              </c:pt>
              <c:pt idx="17">
                <c:v>2025-02-02</c:v>
              </c:pt>
              <c:pt idx="18">
                <c:v>2025-02-04</c:v>
              </c:pt>
              <c:pt idx="19">
                <c:v>2025-02-05</c:v>
              </c:pt>
              <c:pt idx="20">
                <c:v>2025-02-06</c:v>
              </c:pt>
              <c:pt idx="21">
                <c:v>2025-02-07</c:v>
              </c:pt>
              <c:pt idx="22">
                <c:v>2025-02-09</c:v>
              </c:pt>
              <c:pt idx="23">
                <c:v>2025-02-11</c:v>
              </c:pt>
              <c:pt idx="24">
                <c:v>2025-02-13</c:v>
              </c:pt>
              <c:pt idx="25">
                <c:v>2025-02-14</c:v>
              </c:pt>
              <c:pt idx="26">
                <c:v>2025-02-15</c:v>
              </c:pt>
              <c:pt idx="27">
                <c:v>2025-02-16</c:v>
              </c:pt>
              <c:pt idx="28">
                <c:v>2025-02-17</c:v>
              </c:pt>
              <c:pt idx="29">
                <c:v>2025-02-18</c:v>
              </c:pt>
              <c:pt idx="30">
                <c:v>2025-02-19</c:v>
              </c:pt>
              <c:pt idx="31">
                <c:v>2025-02-22</c:v>
              </c:pt>
              <c:pt idx="32">
                <c:v>2025-02-23</c:v>
              </c:pt>
              <c:pt idx="33">
                <c:v>2025-02-24</c:v>
              </c:pt>
              <c:pt idx="34">
                <c:v>2025-02-25</c:v>
              </c:pt>
              <c:pt idx="35">
                <c:v>2025-02-26</c:v>
              </c:pt>
              <c:pt idx="36">
                <c:v>2025-02-28</c:v>
              </c:pt>
              <c:pt idx="37">
                <c:v>2025-03-03</c:v>
              </c:pt>
              <c:pt idx="38">
                <c:v>2025-03-04</c:v>
              </c:pt>
              <c:pt idx="39">
                <c:v>2025-03-05</c:v>
              </c:pt>
              <c:pt idx="40">
                <c:v>2025-03-06</c:v>
              </c:pt>
              <c:pt idx="41">
                <c:v>2025-03-08</c:v>
              </c:pt>
              <c:pt idx="42">
                <c:v>2025-03-09</c:v>
              </c:pt>
              <c:pt idx="43">
                <c:v>2025-03-11</c:v>
              </c:pt>
              <c:pt idx="44">
                <c:v>2025-03-12</c:v>
              </c:pt>
              <c:pt idx="45">
                <c:v>2025-03-15</c:v>
              </c:pt>
              <c:pt idx="46">
                <c:v>2025-03-16</c:v>
              </c:pt>
              <c:pt idx="47">
                <c:v>2025-03-18</c:v>
              </c:pt>
              <c:pt idx="48">
                <c:v>2025-03-19</c:v>
              </c:pt>
              <c:pt idx="49">
                <c:v>2025-03-23</c:v>
              </c:pt>
              <c:pt idx="50">
                <c:v>2025-03-25</c:v>
              </c:pt>
              <c:pt idx="51">
                <c:v>2025-03-28</c:v>
              </c:pt>
              <c:pt idx="52">
                <c:v>2025-03-30</c:v>
              </c:pt>
              <c:pt idx="53">
                <c:v>2025-03-31</c:v>
              </c:pt>
              <c:pt idx="54">
                <c:v>2025-04-01</c:v>
              </c:pt>
              <c:pt idx="55">
                <c:v>2025-04-02</c:v>
              </c:pt>
              <c:pt idx="56">
                <c:v>2025-04-07</c:v>
              </c:pt>
              <c:pt idx="57">
                <c:v>2025-04-09</c:v>
              </c:pt>
              <c:pt idx="58">
                <c:v>2025-04-14</c:v>
              </c:pt>
              <c:pt idx="59">
                <c:v>2025-04-15</c:v>
              </c:pt>
              <c:pt idx="60">
                <c:v>2025-04-17</c:v>
              </c:pt>
              <c:pt idx="61">
                <c:v>2025-04-18</c:v>
              </c:pt>
              <c:pt idx="62">
                <c:v>2025-04-19</c:v>
              </c:pt>
              <c:pt idx="63">
                <c:v>2025-04-20</c:v>
              </c:pt>
              <c:pt idx="64">
                <c:v>2025-04-28</c:v>
              </c:pt>
              <c:pt idx="65">
                <c:v>2025-04-30</c:v>
              </c:pt>
              <c:pt idx="66">
                <c:v>2025-05-01</c:v>
              </c:pt>
            </c:strLit>
          </c:cat>
          <c:val>
            <c:numLit>
              <c:formatCode>General</c:formatCode>
              <c:ptCount val="67"/>
              <c:pt idx="0">
                <c:v>15435</c:v>
              </c:pt>
              <c:pt idx="1">
                <c:v>3928</c:v>
              </c:pt>
              <c:pt idx="2">
                <c:v>16350</c:v>
              </c:pt>
              <c:pt idx="3">
                <c:v>7398</c:v>
              </c:pt>
              <c:pt idx="4">
                <c:v>8565</c:v>
              </c:pt>
              <c:pt idx="5">
                <c:v>16321</c:v>
              </c:pt>
              <c:pt idx="6">
                <c:v>1694</c:v>
              </c:pt>
              <c:pt idx="7">
                <c:v>1220</c:v>
              </c:pt>
              <c:pt idx="8">
                <c:v>636</c:v>
              </c:pt>
              <c:pt idx="9">
                <c:v>9265</c:v>
              </c:pt>
              <c:pt idx="10">
                <c:v>5832</c:v>
              </c:pt>
              <c:pt idx="11">
                <c:v>14366</c:v>
              </c:pt>
              <c:pt idx="12">
                <c:v>8719</c:v>
              </c:pt>
              <c:pt idx="13">
                <c:v>2968</c:v>
              </c:pt>
              <c:pt idx="14">
                <c:v>6855</c:v>
              </c:pt>
              <c:pt idx="15">
                <c:v>545</c:v>
              </c:pt>
              <c:pt idx="16">
                <c:v>3955</c:v>
              </c:pt>
              <c:pt idx="17">
                <c:v>5544</c:v>
              </c:pt>
              <c:pt idx="18">
                <c:v>2134</c:v>
              </c:pt>
              <c:pt idx="19">
                <c:v>31595</c:v>
              </c:pt>
              <c:pt idx="20">
                <c:v>1484</c:v>
              </c:pt>
              <c:pt idx="21">
                <c:v>4216</c:v>
              </c:pt>
              <c:pt idx="22">
                <c:v>4449</c:v>
              </c:pt>
              <c:pt idx="23">
                <c:v>6885</c:v>
              </c:pt>
              <c:pt idx="24">
                <c:v>6312</c:v>
              </c:pt>
              <c:pt idx="25">
                <c:v>11848</c:v>
              </c:pt>
              <c:pt idx="26">
                <c:v>2560</c:v>
              </c:pt>
              <c:pt idx="27">
                <c:v>14975</c:v>
              </c:pt>
              <c:pt idx="28">
                <c:v>7144</c:v>
              </c:pt>
              <c:pt idx="29">
                <c:v>6040</c:v>
              </c:pt>
              <c:pt idx="30">
                <c:v>13420</c:v>
              </c:pt>
              <c:pt idx="31">
                <c:v>3042</c:v>
              </c:pt>
              <c:pt idx="32">
                <c:v>2460</c:v>
              </c:pt>
              <c:pt idx="33">
                <c:v>8550</c:v>
              </c:pt>
              <c:pt idx="34">
                <c:v>4779</c:v>
              </c:pt>
              <c:pt idx="35">
                <c:v>2388</c:v>
              </c:pt>
              <c:pt idx="36">
                <c:v>2598</c:v>
              </c:pt>
              <c:pt idx="37">
                <c:v>14595</c:v>
              </c:pt>
              <c:pt idx="38">
                <c:v>6948</c:v>
              </c:pt>
              <c:pt idx="39">
                <c:v>9310</c:v>
              </c:pt>
              <c:pt idx="40">
                <c:v>558</c:v>
              </c:pt>
              <c:pt idx="41">
                <c:v>8136</c:v>
              </c:pt>
              <c:pt idx="42">
                <c:v>24167</c:v>
              </c:pt>
              <c:pt idx="43">
                <c:v>7649</c:v>
              </c:pt>
              <c:pt idx="44">
                <c:v>8610</c:v>
              </c:pt>
              <c:pt idx="45">
                <c:v>3225</c:v>
              </c:pt>
              <c:pt idx="46">
                <c:v>11683</c:v>
              </c:pt>
              <c:pt idx="47">
                <c:v>7875</c:v>
              </c:pt>
              <c:pt idx="48">
                <c:v>13880</c:v>
              </c:pt>
              <c:pt idx="49">
                <c:v>7683</c:v>
              </c:pt>
              <c:pt idx="50">
                <c:v>8249</c:v>
              </c:pt>
              <c:pt idx="51">
                <c:v>8472</c:v>
              </c:pt>
              <c:pt idx="52">
                <c:v>10849</c:v>
              </c:pt>
              <c:pt idx="53">
                <c:v>3143</c:v>
              </c:pt>
              <c:pt idx="54">
                <c:v>2853</c:v>
              </c:pt>
              <c:pt idx="55">
                <c:v>8822</c:v>
              </c:pt>
              <c:pt idx="56">
                <c:v>11865</c:v>
              </c:pt>
              <c:pt idx="57">
                <c:v>21356</c:v>
              </c:pt>
              <c:pt idx="58">
                <c:v>9480</c:v>
              </c:pt>
              <c:pt idx="59">
                <c:v>16800</c:v>
              </c:pt>
              <c:pt idx="60">
                <c:v>1944</c:v>
              </c:pt>
              <c:pt idx="61">
                <c:v>2522</c:v>
              </c:pt>
              <c:pt idx="62">
                <c:v>8697</c:v>
              </c:pt>
              <c:pt idx="63">
                <c:v>229</c:v>
              </c:pt>
              <c:pt idx="64">
                <c:v>1905</c:v>
              </c:pt>
              <c:pt idx="65">
                <c:v>2490</c:v>
              </c:pt>
              <c:pt idx="66">
                <c:v>17650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CAE-46F6-B2AE-253C4364C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401776"/>
        <c:axId val="1898602720"/>
      </c:lineChart>
      <c:catAx>
        <c:axId val="1471401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027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98602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4714017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solidFill>
          <a:schemeClr val="bg2">
            <a:alpha val="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 practice3.xlsx]PivotChartTable4</c15:name>
        <c15:fmtId val="4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  <a:alpha val="85000"/>
            </a:schemeClr>
          </a:solidFill>
          <a:ln w="9525" cap="flat" cmpd="sng" algn="ctr">
            <a:solidFill>
              <a:schemeClr val="accent6">
                <a:lumMod val="75000"/>
                <a:alpha val="50000"/>
              </a:schemeClr>
            </a:solidFill>
            <a:round/>
          </a:ln>
          <a:effectLst>
            <a:outerShdw blurRad="50800" dist="50800" dir="5400000" algn="ctr" rotWithShape="0">
              <a:schemeClr val="tx1">
                <a:lumMod val="75000"/>
                <a:lumOff val="25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61936239451547"/>
          <c:y val="0.21443187417664747"/>
          <c:w val="0.81521661644146337"/>
          <c:h val="0.7293740006637101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75000"/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  <a:alpha val="50000"/>
                </a:schemeClr>
              </a:solidFill>
              <a:round/>
            </a:ln>
            <a:effectLst>
              <a:outerShdw blurRad="50800" dist="50800" dir="5400000" algn="ctr" rotWithShape="0">
                <a:schemeClr val="tx1">
                  <a:lumMod val="75000"/>
                  <a:lumOff val="25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Blender</c:v>
              </c:pt>
              <c:pt idx="1">
                <c:v>Boots</c:v>
              </c:pt>
              <c:pt idx="2">
                <c:v>Laptop</c:v>
              </c:pt>
              <c:pt idx="3">
                <c:v>Microwave</c:v>
              </c:pt>
              <c:pt idx="4">
                <c:v>Shirt</c:v>
              </c:pt>
              <c:pt idx="5">
                <c:v>Smartphone</c:v>
              </c:pt>
              <c:pt idx="6">
                <c:v>Sneakers</c:v>
              </c:pt>
              <c:pt idx="7">
                <c:v>Trousers</c:v>
              </c:pt>
            </c:strLit>
          </c:cat>
          <c:val>
            <c:numLit>
              <c:formatCode>General</c:formatCode>
              <c:ptCount val="8"/>
              <c:pt idx="0">
                <c:v>110928</c:v>
              </c:pt>
              <c:pt idx="1">
                <c:v>34687</c:v>
              </c:pt>
              <c:pt idx="2">
                <c:v>55834</c:v>
              </c:pt>
              <c:pt idx="3">
                <c:v>42624</c:v>
              </c:pt>
              <c:pt idx="4">
                <c:v>120105</c:v>
              </c:pt>
              <c:pt idx="5">
                <c:v>72506</c:v>
              </c:pt>
              <c:pt idx="6">
                <c:v>52563</c:v>
              </c:pt>
              <c:pt idx="7">
                <c:v>38873</c:v>
              </c:pt>
            </c:numLit>
          </c:val>
          <c:extLst>
            <c:ext xmlns:c16="http://schemas.microsoft.com/office/drawing/2014/chart" uri="{C3380CC4-5D6E-409C-BE32-E72D297353CC}">
              <c16:uniqueId val="{00000000-871A-4899-863F-DCFB5E7C00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"/>
        <c:axId val="1471401776"/>
        <c:axId val="1898602720"/>
      </c:barChart>
      <c:catAx>
        <c:axId val="14714017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027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98602720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4714017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 practice3.xlsx]PivotChartTable7</c15:name>
        <c15:fmtId val="4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Correlation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Sales Amount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multiLvlStrRef>
              <c:f>Sheet1!$A$2:$D$101</c:f>
              <c:multiLvlStrCache>
                <c:ptCount val="100"/>
                <c:lvl>
                  <c:pt idx="0">
                    <c:v>East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West</c:v>
                  </c:pt>
                  <c:pt idx="5">
                    <c:v>West</c:v>
                  </c:pt>
                  <c:pt idx="6">
                    <c:v>South</c:v>
                  </c:pt>
                  <c:pt idx="7">
                    <c:v>East</c:v>
                  </c:pt>
                  <c:pt idx="8">
                    <c:v>East</c:v>
                  </c:pt>
                  <c:pt idx="9">
                    <c:v>South</c:v>
                  </c:pt>
                  <c:pt idx="10">
                    <c:v>South</c:v>
                  </c:pt>
                  <c:pt idx="11">
                    <c:v>East</c:v>
                  </c:pt>
                  <c:pt idx="12">
                    <c:v>West</c:v>
                  </c:pt>
                  <c:pt idx="13">
                    <c:v>North</c:v>
                  </c:pt>
                  <c:pt idx="14">
                    <c:v>West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South</c:v>
                  </c:pt>
                  <c:pt idx="20">
                    <c:v>West</c:v>
                  </c:pt>
                  <c:pt idx="21">
                    <c:v>South</c:v>
                  </c:pt>
                  <c:pt idx="22">
                    <c:v>South</c:v>
                  </c:pt>
                  <c:pt idx="23">
                    <c:v>East</c:v>
                  </c:pt>
                  <c:pt idx="24">
                    <c:v>North</c:v>
                  </c:pt>
                  <c:pt idx="25">
                    <c:v>West</c:v>
                  </c:pt>
                  <c:pt idx="26">
                    <c:v>North</c:v>
                  </c:pt>
                  <c:pt idx="27">
                    <c:v>East</c:v>
                  </c:pt>
                  <c:pt idx="28">
                    <c:v>South</c:v>
                  </c:pt>
                  <c:pt idx="29">
                    <c:v>North</c:v>
                  </c:pt>
                  <c:pt idx="30">
                    <c:v>North</c:v>
                  </c:pt>
                  <c:pt idx="31">
                    <c:v>East</c:v>
                  </c:pt>
                  <c:pt idx="32">
                    <c:v>South</c:v>
                  </c:pt>
                  <c:pt idx="33">
                    <c:v>East</c:v>
                  </c:pt>
                  <c:pt idx="34">
                    <c:v>East</c:v>
                  </c:pt>
                  <c:pt idx="35">
                    <c:v>North</c:v>
                  </c:pt>
                  <c:pt idx="36">
                    <c:v>East</c:v>
                  </c:pt>
                  <c:pt idx="37">
                    <c:v>West</c:v>
                  </c:pt>
                  <c:pt idx="38">
                    <c:v>East</c:v>
                  </c:pt>
                  <c:pt idx="39">
                    <c:v>East</c:v>
                  </c:pt>
                  <c:pt idx="40">
                    <c:v>West</c:v>
                  </c:pt>
                  <c:pt idx="41">
                    <c:v>West</c:v>
                  </c:pt>
                  <c:pt idx="42">
                    <c:v>East</c:v>
                  </c:pt>
                  <c:pt idx="43">
                    <c:v>East</c:v>
                  </c:pt>
                  <c:pt idx="44">
                    <c:v>North</c:v>
                  </c:pt>
                  <c:pt idx="45">
                    <c:v>North</c:v>
                  </c:pt>
                  <c:pt idx="46">
                    <c:v>East</c:v>
                  </c:pt>
                  <c:pt idx="47">
                    <c:v>East</c:v>
                  </c:pt>
                  <c:pt idx="48">
                    <c:v>North</c:v>
                  </c:pt>
                  <c:pt idx="49">
                    <c:v>North</c:v>
                  </c:pt>
                  <c:pt idx="50">
                    <c:v>West</c:v>
                  </c:pt>
                  <c:pt idx="51">
                    <c:v>West</c:v>
                  </c:pt>
                  <c:pt idx="52">
                    <c:v>North</c:v>
                  </c:pt>
                  <c:pt idx="53">
                    <c:v>West</c:v>
                  </c:pt>
                  <c:pt idx="54">
                    <c:v>East</c:v>
                  </c:pt>
                  <c:pt idx="55">
                    <c:v>East</c:v>
                  </c:pt>
                  <c:pt idx="56">
                    <c:v>North</c:v>
                  </c:pt>
                  <c:pt idx="57">
                    <c:v>South</c:v>
                  </c:pt>
                  <c:pt idx="58">
                    <c:v>East</c:v>
                  </c:pt>
                  <c:pt idx="59">
                    <c:v>North</c:v>
                  </c:pt>
                  <c:pt idx="60">
                    <c:v>East</c:v>
                  </c:pt>
                  <c:pt idx="61">
                    <c:v>East</c:v>
                  </c:pt>
                  <c:pt idx="62">
                    <c:v>South</c:v>
                  </c:pt>
                  <c:pt idx="63">
                    <c:v>North</c:v>
                  </c:pt>
                  <c:pt idx="64">
                    <c:v>East</c:v>
                  </c:pt>
                  <c:pt idx="65">
                    <c:v>North</c:v>
                  </c:pt>
                  <c:pt idx="66">
                    <c:v>North</c:v>
                  </c:pt>
                  <c:pt idx="67">
                    <c:v>West</c:v>
                  </c:pt>
                  <c:pt idx="68">
                    <c:v>West</c:v>
                  </c:pt>
                  <c:pt idx="69">
                    <c:v>East</c:v>
                  </c:pt>
                  <c:pt idx="70">
                    <c:v>West</c:v>
                  </c:pt>
                  <c:pt idx="71">
                    <c:v>North</c:v>
                  </c:pt>
                  <c:pt idx="72">
                    <c:v>North</c:v>
                  </c:pt>
                  <c:pt idx="73">
                    <c:v>North</c:v>
                  </c:pt>
                  <c:pt idx="74">
                    <c:v>West</c:v>
                  </c:pt>
                  <c:pt idx="75">
                    <c:v>East</c:v>
                  </c:pt>
                  <c:pt idx="76">
                    <c:v>South</c:v>
                  </c:pt>
                  <c:pt idx="77">
                    <c:v>South</c:v>
                  </c:pt>
                  <c:pt idx="78">
                    <c:v>West</c:v>
                  </c:pt>
                  <c:pt idx="79">
                    <c:v>North</c:v>
                  </c:pt>
                  <c:pt idx="80">
                    <c:v>South</c:v>
                  </c:pt>
                  <c:pt idx="81">
                    <c:v>East</c:v>
                  </c:pt>
                  <c:pt idx="82">
                    <c:v>South</c:v>
                  </c:pt>
                  <c:pt idx="83">
                    <c:v>North</c:v>
                  </c:pt>
                  <c:pt idx="84">
                    <c:v>North</c:v>
                  </c:pt>
                  <c:pt idx="85">
                    <c:v>North</c:v>
                  </c:pt>
                  <c:pt idx="86">
                    <c:v>East</c:v>
                  </c:pt>
                  <c:pt idx="87">
                    <c:v>East</c:v>
                  </c:pt>
                  <c:pt idx="88">
                    <c:v>North</c:v>
                  </c:pt>
                  <c:pt idx="89">
                    <c:v>East</c:v>
                  </c:pt>
                  <c:pt idx="90">
                    <c:v>South</c:v>
                  </c:pt>
                  <c:pt idx="91">
                    <c:v>South</c:v>
                  </c:pt>
                  <c:pt idx="92">
                    <c:v>West</c:v>
                  </c:pt>
                  <c:pt idx="93">
                    <c:v>West</c:v>
                  </c:pt>
                  <c:pt idx="94">
                    <c:v>East</c:v>
                  </c:pt>
                  <c:pt idx="95">
                    <c:v>East</c:v>
                  </c:pt>
                  <c:pt idx="96">
                    <c:v>East</c:v>
                  </c:pt>
                  <c:pt idx="97">
                    <c:v>West</c:v>
                  </c:pt>
                  <c:pt idx="98">
                    <c:v>East</c:v>
                  </c:pt>
                  <c:pt idx="99">
                    <c:v>North</c:v>
                  </c:pt>
                </c:lvl>
                <c:lvl>
                  <c:pt idx="0">
                    <c:v>Footwear</c:v>
                  </c:pt>
                  <c:pt idx="1">
                    <c:v>Electronics</c:v>
                  </c:pt>
                  <c:pt idx="2">
                    <c:v>Clothing</c:v>
                  </c:pt>
                  <c:pt idx="3">
                    <c:v>Appliances</c:v>
                  </c:pt>
                  <c:pt idx="4">
                    <c:v>Electronics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Appliances</c:v>
                  </c:pt>
                  <c:pt idx="9">
                    <c:v>Electronics</c:v>
                  </c:pt>
                  <c:pt idx="10">
                    <c:v>Clothing</c:v>
                  </c:pt>
                  <c:pt idx="11">
                    <c:v>Clothing</c:v>
                  </c:pt>
                  <c:pt idx="12">
                    <c:v>Clothing</c:v>
                  </c:pt>
                  <c:pt idx="13">
                    <c:v>Appliances</c:v>
                  </c:pt>
                  <c:pt idx="14">
                    <c:v>Footwear</c:v>
                  </c:pt>
                  <c:pt idx="15">
                    <c:v>Electronics</c:v>
                  </c:pt>
                  <c:pt idx="16">
                    <c:v>Appliances</c:v>
                  </c:pt>
                  <c:pt idx="17">
                    <c:v>Appliances</c:v>
                  </c:pt>
                  <c:pt idx="18">
                    <c:v>Electronics</c:v>
                  </c:pt>
                  <c:pt idx="19">
                    <c:v>Electronics</c:v>
                  </c:pt>
                  <c:pt idx="20">
                    <c:v>Clothing</c:v>
                  </c:pt>
                  <c:pt idx="21">
                    <c:v>Appliances</c:v>
                  </c:pt>
                  <c:pt idx="22">
                    <c:v>Appliances</c:v>
                  </c:pt>
                  <c:pt idx="23">
                    <c:v>Electronics</c:v>
                  </c:pt>
                  <c:pt idx="24">
                    <c:v>Electronics</c:v>
                  </c:pt>
                  <c:pt idx="25">
                    <c:v>Appliances</c:v>
                  </c:pt>
                  <c:pt idx="26">
                    <c:v>Clothing</c:v>
                  </c:pt>
                  <c:pt idx="27">
                    <c:v>Appliances</c:v>
                  </c:pt>
                  <c:pt idx="28">
                    <c:v>Appliances</c:v>
                  </c:pt>
                  <c:pt idx="29">
                    <c:v>Appliances</c:v>
                  </c:pt>
                  <c:pt idx="30">
                    <c:v>Footwear</c:v>
                  </c:pt>
                  <c:pt idx="31">
                    <c:v>Clothing</c:v>
                  </c:pt>
                  <c:pt idx="32">
                    <c:v>Footwear</c:v>
                  </c:pt>
                  <c:pt idx="33">
                    <c:v>Footwear</c:v>
                  </c:pt>
                  <c:pt idx="34">
                    <c:v>Appliances</c:v>
                  </c:pt>
                  <c:pt idx="35">
                    <c:v>Electronics</c:v>
                  </c:pt>
                  <c:pt idx="36">
                    <c:v>Footwear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Clothing</c:v>
                  </c:pt>
                  <c:pt idx="41">
                    <c:v>Footwear</c:v>
                  </c:pt>
                  <c:pt idx="42">
                    <c:v>Clothing</c:v>
                  </c:pt>
                  <c:pt idx="43">
                    <c:v>Clothing</c:v>
                  </c:pt>
                  <c:pt idx="44">
                    <c:v>Electronics</c:v>
                  </c:pt>
                  <c:pt idx="45">
                    <c:v>Electronics</c:v>
                  </c:pt>
                  <c:pt idx="46">
                    <c:v>Footwear</c:v>
                  </c:pt>
                  <c:pt idx="47">
                    <c:v>Appliances</c:v>
                  </c:pt>
                  <c:pt idx="48">
                    <c:v>Electronics</c:v>
                  </c:pt>
                  <c:pt idx="49">
                    <c:v>Appliances</c:v>
                  </c:pt>
                  <c:pt idx="50">
                    <c:v>Clothing</c:v>
                  </c:pt>
                  <c:pt idx="51">
                    <c:v>Clothing</c:v>
                  </c:pt>
                  <c:pt idx="52">
                    <c:v>Appliances</c:v>
                  </c:pt>
                  <c:pt idx="53">
                    <c:v>Electronics</c:v>
                  </c:pt>
                  <c:pt idx="54">
                    <c:v>Footwear</c:v>
                  </c:pt>
                  <c:pt idx="55">
                    <c:v>Clothing</c:v>
                  </c:pt>
                  <c:pt idx="56">
                    <c:v>Appliances</c:v>
                  </c:pt>
                  <c:pt idx="57">
                    <c:v>Appliances</c:v>
                  </c:pt>
                  <c:pt idx="58">
                    <c:v>Electronics</c:v>
                  </c:pt>
                  <c:pt idx="59">
                    <c:v>Clothing</c:v>
                  </c:pt>
                  <c:pt idx="60">
                    <c:v>Clothing</c:v>
                  </c:pt>
                  <c:pt idx="61">
                    <c:v>Footwear</c:v>
                  </c:pt>
                  <c:pt idx="62">
                    <c:v>Electronics</c:v>
                  </c:pt>
                  <c:pt idx="63">
                    <c:v>Footwear</c:v>
                  </c:pt>
                  <c:pt idx="64">
                    <c:v>Clothing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Electronics</c:v>
                  </c:pt>
                  <c:pt idx="68">
                    <c:v>Electronics</c:v>
                  </c:pt>
                  <c:pt idx="69">
                    <c:v>Clothing</c:v>
                  </c:pt>
                  <c:pt idx="70">
                    <c:v>Appliances</c:v>
                  </c:pt>
                  <c:pt idx="71">
                    <c:v>Footwear</c:v>
                  </c:pt>
                  <c:pt idx="72">
                    <c:v>Electronics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Electronics</c:v>
                  </c:pt>
                  <c:pt idx="76">
                    <c:v>Footwear</c:v>
                  </c:pt>
                  <c:pt idx="77">
                    <c:v>Footwear</c:v>
                  </c:pt>
                  <c:pt idx="78">
                    <c:v>Footwear</c:v>
                  </c:pt>
                  <c:pt idx="79">
                    <c:v>Clothing</c:v>
                  </c:pt>
                  <c:pt idx="80">
                    <c:v>Clothing</c:v>
                  </c:pt>
                  <c:pt idx="81">
                    <c:v>Appliances</c:v>
                  </c:pt>
                  <c:pt idx="82">
                    <c:v>Footwear</c:v>
                  </c:pt>
                  <c:pt idx="83">
                    <c:v>Clothing</c:v>
                  </c:pt>
                  <c:pt idx="84">
                    <c:v>Footwear</c:v>
                  </c:pt>
                  <c:pt idx="85">
                    <c:v>Footwear</c:v>
                  </c:pt>
                  <c:pt idx="86">
                    <c:v>Appliances</c:v>
                  </c:pt>
                  <c:pt idx="87">
                    <c:v>Clothing</c:v>
                  </c:pt>
                  <c:pt idx="88">
                    <c:v>Electronics</c:v>
                  </c:pt>
                  <c:pt idx="89">
                    <c:v>Appliances</c:v>
                  </c:pt>
                  <c:pt idx="90">
                    <c:v>Clothing</c:v>
                  </c:pt>
                  <c:pt idx="91">
                    <c:v>Appliances</c:v>
                  </c:pt>
                  <c:pt idx="92">
                    <c:v>Appliances</c:v>
                  </c:pt>
                  <c:pt idx="93">
                    <c:v>Clothing</c:v>
                  </c:pt>
                  <c:pt idx="94">
                    <c:v>Appliances</c:v>
                  </c:pt>
                  <c:pt idx="95">
                    <c:v>Footwear</c:v>
                  </c:pt>
                  <c:pt idx="96">
                    <c:v>Footwear</c:v>
                  </c:pt>
                  <c:pt idx="97">
                    <c:v>Electronics</c:v>
                  </c:pt>
                  <c:pt idx="98">
                    <c:v>Clothing</c:v>
                  </c:pt>
                  <c:pt idx="99">
                    <c:v>Appliances</c:v>
                  </c:pt>
                </c:lvl>
                <c:lvl>
                  <c:pt idx="0">
                    <c:v>Sneakers</c:v>
                  </c:pt>
                  <c:pt idx="1">
                    <c:v>Smartphone</c:v>
                  </c:pt>
                  <c:pt idx="2">
                    <c:v>Shirt</c:v>
                  </c:pt>
                  <c:pt idx="3">
                    <c:v>Microwave</c:v>
                  </c:pt>
                  <c:pt idx="4">
                    <c:v>Smartphone</c:v>
                  </c:pt>
                  <c:pt idx="5">
                    <c:v>Microwave</c:v>
                  </c:pt>
                  <c:pt idx="6">
                    <c:v>Trousers</c:v>
                  </c:pt>
                  <c:pt idx="7">
                    <c:v>Trousers</c:v>
                  </c:pt>
                  <c:pt idx="8">
                    <c:v>Blender</c:v>
                  </c:pt>
                  <c:pt idx="9">
                    <c:v>Smartphone</c:v>
                  </c:pt>
                  <c:pt idx="10">
                    <c:v>Shirt</c:v>
                  </c:pt>
                  <c:pt idx="11">
                    <c:v>Shirt</c:v>
                  </c:pt>
                  <c:pt idx="12">
                    <c:v>Shirt</c:v>
                  </c:pt>
                  <c:pt idx="13">
                    <c:v>Microwave</c:v>
                  </c:pt>
                  <c:pt idx="14">
                    <c:v>Boots</c:v>
                  </c:pt>
                  <c:pt idx="15">
                    <c:v>Laptop</c:v>
                  </c:pt>
                  <c:pt idx="16">
                    <c:v>Blender</c:v>
                  </c:pt>
                  <c:pt idx="17">
                    <c:v>Microwave</c:v>
                  </c:pt>
                  <c:pt idx="18">
                    <c:v>Smartphone</c:v>
                  </c:pt>
                  <c:pt idx="19">
                    <c:v>Laptop</c:v>
                  </c:pt>
                  <c:pt idx="20">
                    <c:v>Shirt</c:v>
                  </c:pt>
                  <c:pt idx="21">
                    <c:v>Microwave</c:v>
                  </c:pt>
                  <c:pt idx="22">
                    <c:v>Blender</c:v>
                  </c:pt>
                  <c:pt idx="23">
                    <c:v>Smartphone</c:v>
                  </c:pt>
                  <c:pt idx="24">
                    <c:v>Smartphone</c:v>
                  </c:pt>
                  <c:pt idx="25">
                    <c:v>Blender</c:v>
                  </c:pt>
                  <c:pt idx="26">
                    <c:v>Trousers</c:v>
                  </c:pt>
                  <c:pt idx="27">
                    <c:v>Blender</c:v>
                  </c:pt>
                  <c:pt idx="28">
                    <c:v>Blender</c:v>
                  </c:pt>
                  <c:pt idx="29">
                    <c:v>Blender</c:v>
                  </c:pt>
                  <c:pt idx="30">
                    <c:v>Sneakers</c:v>
                  </c:pt>
                  <c:pt idx="31">
                    <c:v>Trousers</c:v>
                  </c:pt>
                  <c:pt idx="32">
                    <c:v>Boots</c:v>
                  </c:pt>
                  <c:pt idx="33">
                    <c:v>Sneakers</c:v>
                  </c:pt>
                  <c:pt idx="34">
                    <c:v>Microwave</c:v>
                  </c:pt>
                  <c:pt idx="35">
                    <c:v>Laptop</c:v>
                  </c:pt>
                  <c:pt idx="36">
                    <c:v>Sneakers</c:v>
                  </c:pt>
                  <c:pt idx="37">
                    <c:v>Trousers</c:v>
                  </c:pt>
                  <c:pt idx="38">
                    <c:v>Smartphone</c:v>
                  </c:pt>
                  <c:pt idx="39">
                    <c:v>Smartphone</c:v>
                  </c:pt>
                  <c:pt idx="40">
                    <c:v>Trousers</c:v>
                  </c:pt>
                  <c:pt idx="41">
                    <c:v>Sneakers</c:v>
                  </c:pt>
                  <c:pt idx="42">
                    <c:v>Trousers</c:v>
                  </c:pt>
                  <c:pt idx="43">
                    <c:v>Shirt</c:v>
                  </c:pt>
                  <c:pt idx="44">
                    <c:v>Smartphone</c:v>
                  </c:pt>
                  <c:pt idx="45">
                    <c:v>Smartphone</c:v>
                  </c:pt>
                  <c:pt idx="46">
                    <c:v>Boots</c:v>
                  </c:pt>
                  <c:pt idx="47">
                    <c:v>Blender</c:v>
                  </c:pt>
                  <c:pt idx="48">
                    <c:v>Smartphone</c:v>
                  </c:pt>
                  <c:pt idx="49">
                    <c:v>Blender</c:v>
                  </c:pt>
                  <c:pt idx="50">
                    <c:v>Shirt</c:v>
                  </c:pt>
                  <c:pt idx="51">
                    <c:v>Shirt</c:v>
                  </c:pt>
                  <c:pt idx="52">
                    <c:v>Microwave</c:v>
                  </c:pt>
                  <c:pt idx="53">
                    <c:v>Laptop</c:v>
                  </c:pt>
                  <c:pt idx="54">
                    <c:v>Sneakers</c:v>
                  </c:pt>
                  <c:pt idx="55">
                    <c:v>Shirt</c:v>
                  </c:pt>
                  <c:pt idx="56">
                    <c:v>Microwave</c:v>
                  </c:pt>
                  <c:pt idx="57">
                    <c:v>Blender</c:v>
                  </c:pt>
                  <c:pt idx="58">
                    <c:v>Laptop</c:v>
                  </c:pt>
                  <c:pt idx="59">
                    <c:v>Trousers</c:v>
                  </c:pt>
                  <c:pt idx="60">
                    <c:v>Shirt</c:v>
                  </c:pt>
                  <c:pt idx="61">
                    <c:v>Sneakers</c:v>
                  </c:pt>
                  <c:pt idx="62">
                    <c:v>Laptop</c:v>
                  </c:pt>
                  <c:pt idx="63">
                    <c:v>Sneakers</c:v>
                  </c:pt>
                  <c:pt idx="64">
                    <c:v>Shirt</c:v>
                  </c:pt>
                  <c:pt idx="65">
                    <c:v>Smartphone</c:v>
                  </c:pt>
                  <c:pt idx="66">
                    <c:v>Laptop</c:v>
                  </c:pt>
                  <c:pt idx="67">
                    <c:v>Laptop</c:v>
                  </c:pt>
                  <c:pt idx="68">
                    <c:v>Smartphone</c:v>
                  </c:pt>
                  <c:pt idx="69">
                    <c:v>Shirt</c:v>
                  </c:pt>
                  <c:pt idx="70">
                    <c:v>Blender</c:v>
                  </c:pt>
                  <c:pt idx="71">
                    <c:v>Sneakers</c:v>
                  </c:pt>
                  <c:pt idx="72">
                    <c:v>Laptop</c:v>
                  </c:pt>
                  <c:pt idx="73">
                    <c:v>Shirt</c:v>
                  </c:pt>
                  <c:pt idx="74">
                    <c:v>Smartphone</c:v>
                  </c:pt>
                  <c:pt idx="75">
                    <c:v>Smartphone</c:v>
                  </c:pt>
                  <c:pt idx="76">
                    <c:v>Boots</c:v>
                  </c:pt>
                  <c:pt idx="77">
                    <c:v>Sneakers</c:v>
                  </c:pt>
                  <c:pt idx="78">
                    <c:v>Boots</c:v>
                  </c:pt>
                  <c:pt idx="79">
                    <c:v>Trousers</c:v>
                  </c:pt>
                  <c:pt idx="80">
                    <c:v>Shirt</c:v>
                  </c:pt>
                  <c:pt idx="81">
                    <c:v>Blender</c:v>
                  </c:pt>
                  <c:pt idx="82">
                    <c:v>Boots</c:v>
                  </c:pt>
                  <c:pt idx="83">
                    <c:v>Trousers</c:v>
                  </c:pt>
                  <c:pt idx="84">
                    <c:v>Sneakers</c:v>
                  </c:pt>
                  <c:pt idx="85">
                    <c:v>Boots</c:v>
                  </c:pt>
                  <c:pt idx="86">
                    <c:v>Blender</c:v>
                  </c:pt>
                  <c:pt idx="87">
                    <c:v>Trousers</c:v>
                  </c:pt>
                  <c:pt idx="88">
                    <c:v>Smartphone</c:v>
                  </c:pt>
                  <c:pt idx="89">
                    <c:v>Microwave</c:v>
                  </c:pt>
                  <c:pt idx="90">
                    <c:v>Shirt</c:v>
                  </c:pt>
                  <c:pt idx="91">
                    <c:v>Blender</c:v>
                  </c:pt>
                  <c:pt idx="92">
                    <c:v>Blender</c:v>
                  </c:pt>
                  <c:pt idx="93">
                    <c:v>Shirt</c:v>
                  </c:pt>
                  <c:pt idx="94">
                    <c:v>Microwave</c:v>
                  </c:pt>
                  <c:pt idx="95">
                    <c:v>Sneakers</c:v>
                  </c:pt>
                  <c:pt idx="96">
                    <c:v>Sneakers</c:v>
                  </c:pt>
                  <c:pt idx="97">
                    <c:v>Laptop</c:v>
                  </c:pt>
                  <c:pt idx="98">
                    <c:v>Shirt</c:v>
                  </c:pt>
                  <c:pt idx="99">
                    <c:v>Blender</c:v>
                  </c:pt>
                </c:lvl>
                <c:lvl>
                  <c:pt idx="0">
                    <c:v>2025-02-09</c:v>
                  </c:pt>
                  <c:pt idx="1">
                    <c:v>2025-03-18</c:v>
                  </c:pt>
                  <c:pt idx="2">
                    <c:v>2025-01-19</c:v>
                  </c:pt>
                  <c:pt idx="3">
                    <c:v>2025-02-06</c:v>
                  </c:pt>
                  <c:pt idx="4">
                    <c:v>2025-02-05</c:v>
                  </c:pt>
                  <c:pt idx="5">
                    <c:v>2025-04-28</c:v>
                  </c:pt>
                  <c:pt idx="6">
                    <c:v>2025-03-04</c:v>
                  </c:pt>
                  <c:pt idx="7">
                    <c:v>2025-04-17</c:v>
                  </c:pt>
                  <c:pt idx="8">
                    <c:v>2025-03-19</c:v>
                  </c:pt>
                  <c:pt idx="9">
                    <c:v>2025-05-01</c:v>
                  </c:pt>
                  <c:pt idx="10">
                    <c:v>2025-02-05</c:v>
                  </c:pt>
                  <c:pt idx="11">
                    <c:v>2025-01-20</c:v>
                  </c:pt>
                  <c:pt idx="12">
                    <c:v>2025-03-23</c:v>
                  </c:pt>
                  <c:pt idx="13">
                    <c:v>2025-02-11</c:v>
                  </c:pt>
                  <c:pt idx="14">
                    <c:v>2025-04-20</c:v>
                  </c:pt>
                  <c:pt idx="15">
                    <c:v>2025-03-19</c:v>
                  </c:pt>
                  <c:pt idx="16">
                    <c:v>2025-03-06</c:v>
                  </c:pt>
                  <c:pt idx="17">
                    <c:v>2025-03-25</c:v>
                  </c:pt>
                  <c:pt idx="18">
                    <c:v>2025-03-16</c:v>
                  </c:pt>
                  <c:pt idx="19">
                    <c:v>2025-03-05</c:v>
                  </c:pt>
                  <c:pt idx="20">
                    <c:v>2025-02-15</c:v>
                  </c:pt>
                  <c:pt idx="21">
                    <c:v>2025-01-24</c:v>
                  </c:pt>
                  <c:pt idx="22">
                    <c:v>2025-01-06</c:v>
                  </c:pt>
                  <c:pt idx="23">
                    <c:v>2025-01-03</c:v>
                  </c:pt>
                  <c:pt idx="24">
                    <c:v>2025-02-13</c:v>
                  </c:pt>
                  <c:pt idx="25">
                    <c:v>2025-01-22</c:v>
                  </c:pt>
                  <c:pt idx="26">
                    <c:v>2025-02-05</c:v>
                  </c:pt>
                  <c:pt idx="27">
                    <c:v>2025-03-28</c:v>
                  </c:pt>
                  <c:pt idx="28">
                    <c:v>2025-01-13</c:v>
                  </c:pt>
                  <c:pt idx="29">
                    <c:v>2025-02-28</c:v>
                  </c:pt>
                  <c:pt idx="30">
                    <c:v>2025-04-15</c:v>
                  </c:pt>
                  <c:pt idx="31">
                    <c:v>2025-02-04</c:v>
                  </c:pt>
                  <c:pt idx="32">
                    <c:v>2025-03-31</c:v>
                  </c:pt>
                  <c:pt idx="33">
                    <c:v>2025-02-26</c:v>
                  </c:pt>
                  <c:pt idx="34">
                    <c:v>2025-04-01</c:v>
                  </c:pt>
                  <c:pt idx="35">
                    <c:v>2025-01-20</c:v>
                  </c:pt>
                  <c:pt idx="36">
                    <c:v>2025-04-02</c:v>
                  </c:pt>
                  <c:pt idx="37">
                    <c:v>2025-02-09</c:v>
                  </c:pt>
                  <c:pt idx="38">
                    <c:v>2025-01-13</c:v>
                  </c:pt>
                  <c:pt idx="39">
                    <c:v>2025-02-16</c:v>
                  </c:pt>
                  <c:pt idx="40">
                    <c:v>2025-03-09</c:v>
                  </c:pt>
                  <c:pt idx="41">
                    <c:v>2025-04-02</c:v>
                  </c:pt>
                  <c:pt idx="42">
                    <c:v>2025-02-07</c:v>
                  </c:pt>
                  <c:pt idx="43">
                    <c:v>2025-02-17</c:v>
                  </c:pt>
                  <c:pt idx="44">
                    <c:v>2025-03-12</c:v>
                  </c:pt>
                  <c:pt idx="45">
                    <c:v>2025-03-03</c:v>
                  </c:pt>
                  <c:pt idx="46">
                    <c:v>2025-03-30</c:v>
                  </c:pt>
                  <c:pt idx="47">
                    <c:v>2025-01-03</c:v>
                  </c:pt>
                  <c:pt idx="48">
                    <c:v>2025-02-13</c:v>
                  </c:pt>
                  <c:pt idx="49">
                    <c:v>2025-03-16</c:v>
                  </c:pt>
                  <c:pt idx="50">
                    <c:v>2025-02-19</c:v>
                  </c:pt>
                  <c:pt idx="51">
                    <c:v>2025-02-17</c:v>
                  </c:pt>
                  <c:pt idx="52">
                    <c:v>2025-04-07</c:v>
                  </c:pt>
                  <c:pt idx="53">
                    <c:v>2025-03-03</c:v>
                  </c:pt>
                  <c:pt idx="54">
                    <c:v>2025-02-16</c:v>
                  </c:pt>
                  <c:pt idx="55">
                    <c:v>2025-04-19</c:v>
                  </c:pt>
                  <c:pt idx="56">
                    <c:v>2025-02-05</c:v>
                  </c:pt>
                  <c:pt idx="57">
                    <c:v>2025-01-01</c:v>
                  </c:pt>
                  <c:pt idx="58">
                    <c:v>2025-03-28</c:v>
                  </c:pt>
                  <c:pt idx="59">
                    <c:v>2025-03-16</c:v>
                  </c:pt>
                  <c:pt idx="60">
                    <c:v>2025-02-25</c:v>
                  </c:pt>
                  <c:pt idx="61">
                    <c:v>2025-01-12</c:v>
                  </c:pt>
                  <c:pt idx="62">
                    <c:v>2025-02-14</c:v>
                  </c:pt>
                  <c:pt idx="63">
                    <c:v>2025-01-29</c:v>
                  </c:pt>
                  <c:pt idx="64">
                    <c:v>2025-02-18</c:v>
                  </c:pt>
                  <c:pt idx="65">
                    <c:v>2025-03-08</c:v>
                  </c:pt>
                  <c:pt idx="66">
                    <c:v>2025-01-02</c:v>
                  </c:pt>
                  <c:pt idx="67">
                    <c:v>2025-01-23</c:v>
                  </c:pt>
                  <c:pt idx="68">
                    <c:v>2025-02-01</c:v>
                  </c:pt>
                  <c:pt idx="69">
                    <c:v>2025-02-14</c:v>
                  </c:pt>
                  <c:pt idx="70">
                    <c:v>2025-03-11</c:v>
                  </c:pt>
                  <c:pt idx="71">
                    <c:v>2025-02-22</c:v>
                  </c:pt>
                  <c:pt idx="72">
                    <c:v>2025-04-14</c:v>
                  </c:pt>
                  <c:pt idx="73">
                    <c:v>2025-01-09</c:v>
                  </c:pt>
                  <c:pt idx="74">
                    <c:v>2025-04-09</c:v>
                  </c:pt>
                  <c:pt idx="75">
                    <c:v>2025-03-31</c:v>
                  </c:pt>
                  <c:pt idx="76">
                    <c:v>2025-02-05</c:v>
                  </c:pt>
                  <c:pt idx="77">
                    <c:v>2025-01-08</c:v>
                  </c:pt>
                  <c:pt idx="78">
                    <c:v>2025-02-02</c:v>
                  </c:pt>
                  <c:pt idx="79">
                    <c:v>2025-01-10</c:v>
                  </c:pt>
                  <c:pt idx="80">
                    <c:v>2025-01-08</c:v>
                  </c:pt>
                  <c:pt idx="81">
                    <c:v>2025-02-24</c:v>
                  </c:pt>
                  <c:pt idx="82">
                    <c:v>2025-01-11</c:v>
                  </c:pt>
                  <c:pt idx="83">
                    <c:v>2025-04-30</c:v>
                  </c:pt>
                  <c:pt idx="84">
                    <c:v>2025-03-15</c:v>
                  </c:pt>
                  <c:pt idx="85">
                    <c:v>2025-03-09</c:v>
                  </c:pt>
                  <c:pt idx="86">
                    <c:v>2025-04-09</c:v>
                  </c:pt>
                  <c:pt idx="87">
                    <c:v>2025-03-09</c:v>
                  </c:pt>
                  <c:pt idx="88">
                    <c:v>2025-02-06</c:v>
                  </c:pt>
                  <c:pt idx="89">
                    <c:v>2025-04-02</c:v>
                  </c:pt>
                  <c:pt idx="90">
                    <c:v>2025-05-01</c:v>
                  </c:pt>
                  <c:pt idx="91">
                    <c:v>2025-01-01</c:v>
                  </c:pt>
                  <c:pt idx="92">
                    <c:v>2025-04-15</c:v>
                  </c:pt>
                  <c:pt idx="93">
                    <c:v>2025-04-18</c:v>
                  </c:pt>
                  <c:pt idx="94">
                    <c:v>2025-02-13</c:v>
                  </c:pt>
                  <c:pt idx="95">
                    <c:v>2025-03-11</c:v>
                  </c:pt>
                  <c:pt idx="96">
                    <c:v>2025-03-25</c:v>
                  </c:pt>
                  <c:pt idx="97">
                    <c:v>2025-01-22</c:v>
                  </c:pt>
                  <c:pt idx="98">
                    <c:v>2025-02-23</c:v>
                  </c:pt>
                  <c:pt idx="99">
                    <c:v>2025-02-05</c:v>
                  </c:pt>
                </c:lvl>
              </c:multiLvlStrCache>
            </c:multiLvlStrRef>
          </c:xVal>
          <c:yVal>
            <c:numRef>
              <c:f>Sheet1!$E$2:$E$101</c:f>
              <c:numCache>
                <c:formatCode>General</c:formatCode>
                <c:ptCount val="100"/>
                <c:pt idx="0">
                  <c:v>4050</c:v>
                </c:pt>
                <c:pt idx="1">
                  <c:v>7875</c:v>
                </c:pt>
                <c:pt idx="2">
                  <c:v>5832</c:v>
                </c:pt>
                <c:pt idx="3">
                  <c:v>676</c:v>
                </c:pt>
                <c:pt idx="4">
                  <c:v>6560</c:v>
                </c:pt>
                <c:pt idx="5">
                  <c:v>1905</c:v>
                </c:pt>
                <c:pt idx="6">
                  <c:v>6948</c:v>
                </c:pt>
                <c:pt idx="7">
                  <c:v>1944</c:v>
                </c:pt>
                <c:pt idx="8">
                  <c:v>7776</c:v>
                </c:pt>
                <c:pt idx="9">
                  <c:v>2790</c:v>
                </c:pt>
                <c:pt idx="10">
                  <c:v>7995</c:v>
                </c:pt>
                <c:pt idx="11">
                  <c:v>9984</c:v>
                </c:pt>
                <c:pt idx="12">
                  <c:v>7683</c:v>
                </c:pt>
                <c:pt idx="13">
                  <c:v>6885</c:v>
                </c:pt>
                <c:pt idx="14">
                  <c:v>229</c:v>
                </c:pt>
                <c:pt idx="15">
                  <c:v>6104</c:v>
                </c:pt>
                <c:pt idx="16">
                  <c:v>558</c:v>
                </c:pt>
                <c:pt idx="17">
                  <c:v>6413</c:v>
                </c:pt>
                <c:pt idx="18">
                  <c:v>1017</c:v>
                </c:pt>
                <c:pt idx="19">
                  <c:v>9310</c:v>
                </c:pt>
                <c:pt idx="20">
                  <c:v>2560</c:v>
                </c:pt>
                <c:pt idx="21">
                  <c:v>6855</c:v>
                </c:pt>
                <c:pt idx="22">
                  <c:v>7398</c:v>
                </c:pt>
                <c:pt idx="23">
                  <c:v>2094</c:v>
                </c:pt>
                <c:pt idx="24">
                  <c:v>3996</c:v>
                </c:pt>
                <c:pt idx="25">
                  <c:v>4884</c:v>
                </c:pt>
                <c:pt idx="26">
                  <c:v>1767</c:v>
                </c:pt>
                <c:pt idx="27">
                  <c:v>7840</c:v>
                </c:pt>
                <c:pt idx="28">
                  <c:v>4806</c:v>
                </c:pt>
                <c:pt idx="29">
                  <c:v>2598</c:v>
                </c:pt>
                <c:pt idx="30">
                  <c:v>12920</c:v>
                </c:pt>
                <c:pt idx="31">
                  <c:v>2134</c:v>
                </c:pt>
                <c:pt idx="32">
                  <c:v>311</c:v>
                </c:pt>
                <c:pt idx="33">
                  <c:v>2388</c:v>
                </c:pt>
                <c:pt idx="34">
                  <c:v>2853</c:v>
                </c:pt>
                <c:pt idx="35">
                  <c:v>4382</c:v>
                </c:pt>
                <c:pt idx="36">
                  <c:v>2690</c:v>
                </c:pt>
                <c:pt idx="37">
                  <c:v>399</c:v>
                </c:pt>
                <c:pt idx="38">
                  <c:v>4459</c:v>
                </c:pt>
                <c:pt idx="39">
                  <c:v>2274</c:v>
                </c:pt>
                <c:pt idx="40">
                  <c:v>11552</c:v>
                </c:pt>
                <c:pt idx="41">
                  <c:v>4540</c:v>
                </c:pt>
                <c:pt idx="42">
                  <c:v>4216</c:v>
                </c:pt>
                <c:pt idx="43">
                  <c:v>4140</c:v>
                </c:pt>
                <c:pt idx="44">
                  <c:v>8610</c:v>
                </c:pt>
                <c:pt idx="45">
                  <c:v>7200</c:v>
                </c:pt>
                <c:pt idx="46">
                  <c:v>10849</c:v>
                </c:pt>
                <c:pt idx="47">
                  <c:v>14256</c:v>
                </c:pt>
                <c:pt idx="48">
                  <c:v>1464</c:v>
                </c:pt>
                <c:pt idx="49">
                  <c:v>9622</c:v>
                </c:pt>
                <c:pt idx="50">
                  <c:v>13420</c:v>
                </c:pt>
                <c:pt idx="51">
                  <c:v>3004</c:v>
                </c:pt>
                <c:pt idx="52">
                  <c:v>11865</c:v>
                </c:pt>
                <c:pt idx="53">
                  <c:v>7395</c:v>
                </c:pt>
                <c:pt idx="54">
                  <c:v>12701</c:v>
                </c:pt>
                <c:pt idx="55">
                  <c:v>8697</c:v>
                </c:pt>
                <c:pt idx="56">
                  <c:v>2728</c:v>
                </c:pt>
                <c:pt idx="57">
                  <c:v>7395</c:v>
                </c:pt>
                <c:pt idx="58">
                  <c:v>632</c:v>
                </c:pt>
                <c:pt idx="59">
                  <c:v>1044</c:v>
                </c:pt>
                <c:pt idx="60">
                  <c:v>4779</c:v>
                </c:pt>
                <c:pt idx="61">
                  <c:v>636</c:v>
                </c:pt>
                <c:pt idx="62">
                  <c:v>7800</c:v>
                </c:pt>
                <c:pt idx="63">
                  <c:v>545</c:v>
                </c:pt>
                <c:pt idx="64">
                  <c:v>6040</c:v>
                </c:pt>
                <c:pt idx="65">
                  <c:v>8136</c:v>
                </c:pt>
                <c:pt idx="66">
                  <c:v>3928</c:v>
                </c:pt>
                <c:pt idx="67">
                  <c:v>2968</c:v>
                </c:pt>
                <c:pt idx="68">
                  <c:v>3955</c:v>
                </c:pt>
                <c:pt idx="69">
                  <c:v>4048</c:v>
                </c:pt>
                <c:pt idx="70">
                  <c:v>6464</c:v>
                </c:pt>
                <c:pt idx="71">
                  <c:v>3042</c:v>
                </c:pt>
                <c:pt idx="72">
                  <c:v>9480</c:v>
                </c:pt>
                <c:pt idx="73">
                  <c:v>16321</c:v>
                </c:pt>
                <c:pt idx="74">
                  <c:v>8436</c:v>
                </c:pt>
                <c:pt idx="75">
                  <c:v>2832</c:v>
                </c:pt>
                <c:pt idx="76">
                  <c:v>8604</c:v>
                </c:pt>
                <c:pt idx="77">
                  <c:v>2805</c:v>
                </c:pt>
                <c:pt idx="78">
                  <c:v>5544</c:v>
                </c:pt>
                <c:pt idx="79">
                  <c:v>1694</c:v>
                </c:pt>
                <c:pt idx="80">
                  <c:v>5760</c:v>
                </c:pt>
                <c:pt idx="81">
                  <c:v>8550</c:v>
                </c:pt>
                <c:pt idx="82">
                  <c:v>1220</c:v>
                </c:pt>
                <c:pt idx="83">
                  <c:v>2490</c:v>
                </c:pt>
                <c:pt idx="84">
                  <c:v>3225</c:v>
                </c:pt>
                <c:pt idx="85">
                  <c:v>7930</c:v>
                </c:pt>
                <c:pt idx="86">
                  <c:v>12920</c:v>
                </c:pt>
                <c:pt idx="87">
                  <c:v>4685</c:v>
                </c:pt>
                <c:pt idx="88">
                  <c:v>808</c:v>
                </c:pt>
                <c:pt idx="89">
                  <c:v>1592</c:v>
                </c:pt>
                <c:pt idx="90">
                  <c:v>14860</c:v>
                </c:pt>
                <c:pt idx="91">
                  <c:v>8040</c:v>
                </c:pt>
                <c:pt idx="92">
                  <c:v>3880</c:v>
                </c:pt>
                <c:pt idx="93">
                  <c:v>2522</c:v>
                </c:pt>
                <c:pt idx="94">
                  <c:v>852</c:v>
                </c:pt>
                <c:pt idx="95">
                  <c:v>1185</c:v>
                </c:pt>
                <c:pt idx="96">
                  <c:v>1836</c:v>
                </c:pt>
                <c:pt idx="97">
                  <c:v>3835</c:v>
                </c:pt>
                <c:pt idx="98">
                  <c:v>2460</c:v>
                </c:pt>
                <c:pt idx="99">
                  <c:v>3941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96-48A3-8C7E-5C59EF3F48D7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multiLvlStrRef>
              <c:f>Sheet1!$A$2:$D$101</c:f>
              <c:multiLvlStrCache>
                <c:ptCount val="100"/>
                <c:lvl>
                  <c:pt idx="0">
                    <c:v>East</c:v>
                  </c:pt>
                  <c:pt idx="1">
                    <c:v>South</c:v>
                  </c:pt>
                  <c:pt idx="2">
                    <c:v>East</c:v>
                  </c:pt>
                  <c:pt idx="3">
                    <c:v>East</c:v>
                  </c:pt>
                  <c:pt idx="4">
                    <c:v>West</c:v>
                  </c:pt>
                  <c:pt idx="5">
                    <c:v>West</c:v>
                  </c:pt>
                  <c:pt idx="6">
                    <c:v>South</c:v>
                  </c:pt>
                  <c:pt idx="7">
                    <c:v>East</c:v>
                  </c:pt>
                  <c:pt idx="8">
                    <c:v>East</c:v>
                  </c:pt>
                  <c:pt idx="9">
                    <c:v>South</c:v>
                  </c:pt>
                  <c:pt idx="10">
                    <c:v>South</c:v>
                  </c:pt>
                  <c:pt idx="11">
                    <c:v>East</c:v>
                  </c:pt>
                  <c:pt idx="12">
                    <c:v>West</c:v>
                  </c:pt>
                  <c:pt idx="13">
                    <c:v>North</c:v>
                  </c:pt>
                  <c:pt idx="14">
                    <c:v>West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East</c:v>
                  </c:pt>
                  <c:pt idx="18">
                    <c:v>North</c:v>
                  </c:pt>
                  <c:pt idx="19">
                    <c:v>South</c:v>
                  </c:pt>
                  <c:pt idx="20">
                    <c:v>West</c:v>
                  </c:pt>
                  <c:pt idx="21">
                    <c:v>South</c:v>
                  </c:pt>
                  <c:pt idx="22">
                    <c:v>South</c:v>
                  </c:pt>
                  <c:pt idx="23">
                    <c:v>East</c:v>
                  </c:pt>
                  <c:pt idx="24">
                    <c:v>North</c:v>
                  </c:pt>
                  <c:pt idx="25">
                    <c:v>West</c:v>
                  </c:pt>
                  <c:pt idx="26">
                    <c:v>North</c:v>
                  </c:pt>
                  <c:pt idx="27">
                    <c:v>East</c:v>
                  </c:pt>
                  <c:pt idx="28">
                    <c:v>South</c:v>
                  </c:pt>
                  <c:pt idx="29">
                    <c:v>North</c:v>
                  </c:pt>
                  <c:pt idx="30">
                    <c:v>North</c:v>
                  </c:pt>
                  <c:pt idx="31">
                    <c:v>East</c:v>
                  </c:pt>
                  <c:pt idx="32">
                    <c:v>South</c:v>
                  </c:pt>
                  <c:pt idx="33">
                    <c:v>East</c:v>
                  </c:pt>
                  <c:pt idx="34">
                    <c:v>East</c:v>
                  </c:pt>
                  <c:pt idx="35">
                    <c:v>North</c:v>
                  </c:pt>
                  <c:pt idx="36">
                    <c:v>East</c:v>
                  </c:pt>
                  <c:pt idx="37">
                    <c:v>West</c:v>
                  </c:pt>
                  <c:pt idx="38">
                    <c:v>East</c:v>
                  </c:pt>
                  <c:pt idx="39">
                    <c:v>East</c:v>
                  </c:pt>
                  <c:pt idx="40">
                    <c:v>West</c:v>
                  </c:pt>
                  <c:pt idx="41">
                    <c:v>West</c:v>
                  </c:pt>
                  <c:pt idx="42">
                    <c:v>East</c:v>
                  </c:pt>
                  <c:pt idx="43">
                    <c:v>East</c:v>
                  </c:pt>
                  <c:pt idx="44">
                    <c:v>North</c:v>
                  </c:pt>
                  <c:pt idx="45">
                    <c:v>North</c:v>
                  </c:pt>
                  <c:pt idx="46">
                    <c:v>East</c:v>
                  </c:pt>
                  <c:pt idx="47">
                    <c:v>East</c:v>
                  </c:pt>
                  <c:pt idx="48">
                    <c:v>North</c:v>
                  </c:pt>
                  <c:pt idx="49">
                    <c:v>North</c:v>
                  </c:pt>
                  <c:pt idx="50">
                    <c:v>West</c:v>
                  </c:pt>
                  <c:pt idx="51">
                    <c:v>West</c:v>
                  </c:pt>
                  <c:pt idx="52">
                    <c:v>North</c:v>
                  </c:pt>
                  <c:pt idx="53">
                    <c:v>West</c:v>
                  </c:pt>
                  <c:pt idx="54">
                    <c:v>East</c:v>
                  </c:pt>
                  <c:pt idx="55">
                    <c:v>East</c:v>
                  </c:pt>
                  <c:pt idx="56">
                    <c:v>North</c:v>
                  </c:pt>
                  <c:pt idx="57">
                    <c:v>South</c:v>
                  </c:pt>
                  <c:pt idx="58">
                    <c:v>East</c:v>
                  </c:pt>
                  <c:pt idx="59">
                    <c:v>North</c:v>
                  </c:pt>
                  <c:pt idx="60">
                    <c:v>East</c:v>
                  </c:pt>
                  <c:pt idx="61">
                    <c:v>East</c:v>
                  </c:pt>
                  <c:pt idx="62">
                    <c:v>South</c:v>
                  </c:pt>
                  <c:pt idx="63">
                    <c:v>North</c:v>
                  </c:pt>
                  <c:pt idx="64">
                    <c:v>East</c:v>
                  </c:pt>
                  <c:pt idx="65">
                    <c:v>North</c:v>
                  </c:pt>
                  <c:pt idx="66">
                    <c:v>North</c:v>
                  </c:pt>
                  <c:pt idx="67">
                    <c:v>West</c:v>
                  </c:pt>
                  <c:pt idx="68">
                    <c:v>West</c:v>
                  </c:pt>
                  <c:pt idx="69">
                    <c:v>East</c:v>
                  </c:pt>
                  <c:pt idx="70">
                    <c:v>West</c:v>
                  </c:pt>
                  <c:pt idx="71">
                    <c:v>North</c:v>
                  </c:pt>
                  <c:pt idx="72">
                    <c:v>North</c:v>
                  </c:pt>
                  <c:pt idx="73">
                    <c:v>North</c:v>
                  </c:pt>
                  <c:pt idx="74">
                    <c:v>West</c:v>
                  </c:pt>
                  <c:pt idx="75">
                    <c:v>East</c:v>
                  </c:pt>
                  <c:pt idx="76">
                    <c:v>South</c:v>
                  </c:pt>
                  <c:pt idx="77">
                    <c:v>South</c:v>
                  </c:pt>
                  <c:pt idx="78">
                    <c:v>West</c:v>
                  </c:pt>
                  <c:pt idx="79">
                    <c:v>North</c:v>
                  </c:pt>
                  <c:pt idx="80">
                    <c:v>South</c:v>
                  </c:pt>
                  <c:pt idx="81">
                    <c:v>East</c:v>
                  </c:pt>
                  <c:pt idx="82">
                    <c:v>South</c:v>
                  </c:pt>
                  <c:pt idx="83">
                    <c:v>North</c:v>
                  </c:pt>
                  <c:pt idx="84">
                    <c:v>North</c:v>
                  </c:pt>
                  <c:pt idx="85">
                    <c:v>North</c:v>
                  </c:pt>
                  <c:pt idx="86">
                    <c:v>East</c:v>
                  </c:pt>
                  <c:pt idx="87">
                    <c:v>East</c:v>
                  </c:pt>
                  <c:pt idx="88">
                    <c:v>North</c:v>
                  </c:pt>
                  <c:pt idx="89">
                    <c:v>East</c:v>
                  </c:pt>
                  <c:pt idx="90">
                    <c:v>South</c:v>
                  </c:pt>
                  <c:pt idx="91">
                    <c:v>South</c:v>
                  </c:pt>
                  <c:pt idx="92">
                    <c:v>West</c:v>
                  </c:pt>
                  <c:pt idx="93">
                    <c:v>West</c:v>
                  </c:pt>
                  <c:pt idx="94">
                    <c:v>East</c:v>
                  </c:pt>
                  <c:pt idx="95">
                    <c:v>East</c:v>
                  </c:pt>
                  <c:pt idx="96">
                    <c:v>East</c:v>
                  </c:pt>
                  <c:pt idx="97">
                    <c:v>West</c:v>
                  </c:pt>
                  <c:pt idx="98">
                    <c:v>East</c:v>
                  </c:pt>
                  <c:pt idx="99">
                    <c:v>North</c:v>
                  </c:pt>
                </c:lvl>
                <c:lvl>
                  <c:pt idx="0">
                    <c:v>Footwear</c:v>
                  </c:pt>
                  <c:pt idx="1">
                    <c:v>Electronics</c:v>
                  </c:pt>
                  <c:pt idx="2">
                    <c:v>Clothing</c:v>
                  </c:pt>
                  <c:pt idx="3">
                    <c:v>Appliances</c:v>
                  </c:pt>
                  <c:pt idx="4">
                    <c:v>Electronics</c:v>
                  </c:pt>
                  <c:pt idx="5">
                    <c:v>Appliances</c:v>
                  </c:pt>
                  <c:pt idx="6">
                    <c:v>Clothing</c:v>
                  </c:pt>
                  <c:pt idx="7">
                    <c:v>Clothing</c:v>
                  </c:pt>
                  <c:pt idx="8">
                    <c:v>Appliances</c:v>
                  </c:pt>
                  <c:pt idx="9">
                    <c:v>Electronics</c:v>
                  </c:pt>
                  <c:pt idx="10">
                    <c:v>Clothing</c:v>
                  </c:pt>
                  <c:pt idx="11">
                    <c:v>Clothing</c:v>
                  </c:pt>
                  <c:pt idx="12">
                    <c:v>Clothing</c:v>
                  </c:pt>
                  <c:pt idx="13">
                    <c:v>Appliances</c:v>
                  </c:pt>
                  <c:pt idx="14">
                    <c:v>Footwear</c:v>
                  </c:pt>
                  <c:pt idx="15">
                    <c:v>Electronics</c:v>
                  </c:pt>
                  <c:pt idx="16">
                    <c:v>Appliances</c:v>
                  </c:pt>
                  <c:pt idx="17">
                    <c:v>Appliances</c:v>
                  </c:pt>
                  <c:pt idx="18">
                    <c:v>Electronics</c:v>
                  </c:pt>
                  <c:pt idx="19">
                    <c:v>Electronics</c:v>
                  </c:pt>
                  <c:pt idx="20">
                    <c:v>Clothing</c:v>
                  </c:pt>
                  <c:pt idx="21">
                    <c:v>Appliances</c:v>
                  </c:pt>
                  <c:pt idx="22">
                    <c:v>Appliances</c:v>
                  </c:pt>
                  <c:pt idx="23">
                    <c:v>Electronics</c:v>
                  </c:pt>
                  <c:pt idx="24">
                    <c:v>Electronics</c:v>
                  </c:pt>
                  <c:pt idx="25">
                    <c:v>Appliances</c:v>
                  </c:pt>
                  <c:pt idx="26">
                    <c:v>Clothing</c:v>
                  </c:pt>
                  <c:pt idx="27">
                    <c:v>Appliances</c:v>
                  </c:pt>
                  <c:pt idx="28">
                    <c:v>Appliances</c:v>
                  </c:pt>
                  <c:pt idx="29">
                    <c:v>Appliances</c:v>
                  </c:pt>
                  <c:pt idx="30">
                    <c:v>Footwear</c:v>
                  </c:pt>
                  <c:pt idx="31">
                    <c:v>Clothing</c:v>
                  </c:pt>
                  <c:pt idx="32">
                    <c:v>Footwear</c:v>
                  </c:pt>
                  <c:pt idx="33">
                    <c:v>Footwear</c:v>
                  </c:pt>
                  <c:pt idx="34">
                    <c:v>Appliances</c:v>
                  </c:pt>
                  <c:pt idx="35">
                    <c:v>Electronics</c:v>
                  </c:pt>
                  <c:pt idx="36">
                    <c:v>Footwear</c:v>
                  </c:pt>
                  <c:pt idx="37">
                    <c:v>Clothing</c:v>
                  </c:pt>
                  <c:pt idx="38">
                    <c:v>Electronics</c:v>
                  </c:pt>
                  <c:pt idx="39">
                    <c:v>Electronics</c:v>
                  </c:pt>
                  <c:pt idx="40">
                    <c:v>Clothing</c:v>
                  </c:pt>
                  <c:pt idx="41">
                    <c:v>Footwear</c:v>
                  </c:pt>
                  <c:pt idx="42">
                    <c:v>Clothing</c:v>
                  </c:pt>
                  <c:pt idx="43">
                    <c:v>Clothing</c:v>
                  </c:pt>
                  <c:pt idx="44">
                    <c:v>Electronics</c:v>
                  </c:pt>
                  <c:pt idx="45">
                    <c:v>Electronics</c:v>
                  </c:pt>
                  <c:pt idx="46">
                    <c:v>Footwear</c:v>
                  </c:pt>
                  <c:pt idx="47">
                    <c:v>Appliances</c:v>
                  </c:pt>
                  <c:pt idx="48">
                    <c:v>Electronics</c:v>
                  </c:pt>
                  <c:pt idx="49">
                    <c:v>Appliances</c:v>
                  </c:pt>
                  <c:pt idx="50">
                    <c:v>Clothing</c:v>
                  </c:pt>
                  <c:pt idx="51">
                    <c:v>Clothing</c:v>
                  </c:pt>
                  <c:pt idx="52">
                    <c:v>Appliances</c:v>
                  </c:pt>
                  <c:pt idx="53">
                    <c:v>Electronics</c:v>
                  </c:pt>
                  <c:pt idx="54">
                    <c:v>Footwear</c:v>
                  </c:pt>
                  <c:pt idx="55">
                    <c:v>Clothing</c:v>
                  </c:pt>
                  <c:pt idx="56">
                    <c:v>Appliances</c:v>
                  </c:pt>
                  <c:pt idx="57">
                    <c:v>Appliances</c:v>
                  </c:pt>
                  <c:pt idx="58">
                    <c:v>Electronics</c:v>
                  </c:pt>
                  <c:pt idx="59">
                    <c:v>Clothing</c:v>
                  </c:pt>
                  <c:pt idx="60">
                    <c:v>Clothing</c:v>
                  </c:pt>
                  <c:pt idx="61">
                    <c:v>Footwear</c:v>
                  </c:pt>
                  <c:pt idx="62">
                    <c:v>Electronics</c:v>
                  </c:pt>
                  <c:pt idx="63">
                    <c:v>Footwear</c:v>
                  </c:pt>
                  <c:pt idx="64">
                    <c:v>Clothing</c:v>
                  </c:pt>
                  <c:pt idx="65">
                    <c:v>Electronics</c:v>
                  </c:pt>
                  <c:pt idx="66">
                    <c:v>Electronics</c:v>
                  </c:pt>
                  <c:pt idx="67">
                    <c:v>Electronics</c:v>
                  </c:pt>
                  <c:pt idx="68">
                    <c:v>Electronics</c:v>
                  </c:pt>
                  <c:pt idx="69">
                    <c:v>Clothing</c:v>
                  </c:pt>
                  <c:pt idx="70">
                    <c:v>Appliances</c:v>
                  </c:pt>
                  <c:pt idx="71">
                    <c:v>Footwear</c:v>
                  </c:pt>
                  <c:pt idx="72">
                    <c:v>Electronics</c:v>
                  </c:pt>
                  <c:pt idx="73">
                    <c:v>Clothing</c:v>
                  </c:pt>
                  <c:pt idx="74">
                    <c:v>Electronics</c:v>
                  </c:pt>
                  <c:pt idx="75">
                    <c:v>Electronics</c:v>
                  </c:pt>
                  <c:pt idx="76">
                    <c:v>Footwear</c:v>
                  </c:pt>
                  <c:pt idx="77">
                    <c:v>Footwear</c:v>
                  </c:pt>
                  <c:pt idx="78">
                    <c:v>Footwear</c:v>
                  </c:pt>
                  <c:pt idx="79">
                    <c:v>Clothing</c:v>
                  </c:pt>
                  <c:pt idx="80">
                    <c:v>Clothing</c:v>
                  </c:pt>
                  <c:pt idx="81">
                    <c:v>Appliances</c:v>
                  </c:pt>
                  <c:pt idx="82">
                    <c:v>Footwear</c:v>
                  </c:pt>
                  <c:pt idx="83">
                    <c:v>Clothing</c:v>
                  </c:pt>
                  <c:pt idx="84">
                    <c:v>Footwear</c:v>
                  </c:pt>
                  <c:pt idx="85">
                    <c:v>Footwear</c:v>
                  </c:pt>
                  <c:pt idx="86">
                    <c:v>Appliances</c:v>
                  </c:pt>
                  <c:pt idx="87">
                    <c:v>Clothing</c:v>
                  </c:pt>
                  <c:pt idx="88">
                    <c:v>Electronics</c:v>
                  </c:pt>
                  <c:pt idx="89">
                    <c:v>Appliances</c:v>
                  </c:pt>
                  <c:pt idx="90">
                    <c:v>Clothing</c:v>
                  </c:pt>
                  <c:pt idx="91">
                    <c:v>Appliances</c:v>
                  </c:pt>
                  <c:pt idx="92">
                    <c:v>Appliances</c:v>
                  </c:pt>
                  <c:pt idx="93">
                    <c:v>Clothing</c:v>
                  </c:pt>
                  <c:pt idx="94">
                    <c:v>Appliances</c:v>
                  </c:pt>
                  <c:pt idx="95">
                    <c:v>Footwear</c:v>
                  </c:pt>
                  <c:pt idx="96">
                    <c:v>Footwear</c:v>
                  </c:pt>
                  <c:pt idx="97">
                    <c:v>Electronics</c:v>
                  </c:pt>
                  <c:pt idx="98">
                    <c:v>Clothing</c:v>
                  </c:pt>
                  <c:pt idx="99">
                    <c:v>Appliances</c:v>
                  </c:pt>
                </c:lvl>
                <c:lvl>
                  <c:pt idx="0">
                    <c:v>Sneakers</c:v>
                  </c:pt>
                  <c:pt idx="1">
                    <c:v>Smartphone</c:v>
                  </c:pt>
                  <c:pt idx="2">
                    <c:v>Shirt</c:v>
                  </c:pt>
                  <c:pt idx="3">
                    <c:v>Microwave</c:v>
                  </c:pt>
                  <c:pt idx="4">
                    <c:v>Smartphone</c:v>
                  </c:pt>
                  <c:pt idx="5">
                    <c:v>Microwave</c:v>
                  </c:pt>
                  <c:pt idx="6">
                    <c:v>Trousers</c:v>
                  </c:pt>
                  <c:pt idx="7">
                    <c:v>Trousers</c:v>
                  </c:pt>
                  <c:pt idx="8">
                    <c:v>Blender</c:v>
                  </c:pt>
                  <c:pt idx="9">
                    <c:v>Smartphone</c:v>
                  </c:pt>
                  <c:pt idx="10">
                    <c:v>Shirt</c:v>
                  </c:pt>
                  <c:pt idx="11">
                    <c:v>Shirt</c:v>
                  </c:pt>
                  <c:pt idx="12">
                    <c:v>Shirt</c:v>
                  </c:pt>
                  <c:pt idx="13">
                    <c:v>Microwave</c:v>
                  </c:pt>
                  <c:pt idx="14">
                    <c:v>Boots</c:v>
                  </c:pt>
                  <c:pt idx="15">
                    <c:v>Laptop</c:v>
                  </c:pt>
                  <c:pt idx="16">
                    <c:v>Blender</c:v>
                  </c:pt>
                  <c:pt idx="17">
                    <c:v>Microwave</c:v>
                  </c:pt>
                  <c:pt idx="18">
                    <c:v>Smartphone</c:v>
                  </c:pt>
                  <c:pt idx="19">
                    <c:v>Laptop</c:v>
                  </c:pt>
                  <c:pt idx="20">
                    <c:v>Shirt</c:v>
                  </c:pt>
                  <c:pt idx="21">
                    <c:v>Microwave</c:v>
                  </c:pt>
                  <c:pt idx="22">
                    <c:v>Blender</c:v>
                  </c:pt>
                  <c:pt idx="23">
                    <c:v>Smartphone</c:v>
                  </c:pt>
                  <c:pt idx="24">
                    <c:v>Smartphone</c:v>
                  </c:pt>
                  <c:pt idx="25">
                    <c:v>Blender</c:v>
                  </c:pt>
                  <c:pt idx="26">
                    <c:v>Trousers</c:v>
                  </c:pt>
                  <c:pt idx="27">
                    <c:v>Blender</c:v>
                  </c:pt>
                  <c:pt idx="28">
                    <c:v>Blender</c:v>
                  </c:pt>
                  <c:pt idx="29">
                    <c:v>Blender</c:v>
                  </c:pt>
                  <c:pt idx="30">
                    <c:v>Sneakers</c:v>
                  </c:pt>
                  <c:pt idx="31">
                    <c:v>Trousers</c:v>
                  </c:pt>
                  <c:pt idx="32">
                    <c:v>Boots</c:v>
                  </c:pt>
                  <c:pt idx="33">
                    <c:v>Sneakers</c:v>
                  </c:pt>
                  <c:pt idx="34">
                    <c:v>Microwave</c:v>
                  </c:pt>
                  <c:pt idx="35">
                    <c:v>Laptop</c:v>
                  </c:pt>
                  <c:pt idx="36">
                    <c:v>Sneakers</c:v>
                  </c:pt>
                  <c:pt idx="37">
                    <c:v>Trousers</c:v>
                  </c:pt>
                  <c:pt idx="38">
                    <c:v>Smartphone</c:v>
                  </c:pt>
                  <c:pt idx="39">
                    <c:v>Smartphone</c:v>
                  </c:pt>
                  <c:pt idx="40">
                    <c:v>Trousers</c:v>
                  </c:pt>
                  <c:pt idx="41">
                    <c:v>Sneakers</c:v>
                  </c:pt>
                  <c:pt idx="42">
                    <c:v>Trousers</c:v>
                  </c:pt>
                  <c:pt idx="43">
                    <c:v>Shirt</c:v>
                  </c:pt>
                  <c:pt idx="44">
                    <c:v>Smartphone</c:v>
                  </c:pt>
                  <c:pt idx="45">
                    <c:v>Smartphone</c:v>
                  </c:pt>
                  <c:pt idx="46">
                    <c:v>Boots</c:v>
                  </c:pt>
                  <c:pt idx="47">
                    <c:v>Blender</c:v>
                  </c:pt>
                  <c:pt idx="48">
                    <c:v>Smartphone</c:v>
                  </c:pt>
                  <c:pt idx="49">
                    <c:v>Blender</c:v>
                  </c:pt>
                  <c:pt idx="50">
                    <c:v>Shirt</c:v>
                  </c:pt>
                  <c:pt idx="51">
                    <c:v>Shirt</c:v>
                  </c:pt>
                  <c:pt idx="52">
                    <c:v>Microwave</c:v>
                  </c:pt>
                  <c:pt idx="53">
                    <c:v>Laptop</c:v>
                  </c:pt>
                  <c:pt idx="54">
                    <c:v>Sneakers</c:v>
                  </c:pt>
                  <c:pt idx="55">
                    <c:v>Shirt</c:v>
                  </c:pt>
                  <c:pt idx="56">
                    <c:v>Microwave</c:v>
                  </c:pt>
                  <c:pt idx="57">
                    <c:v>Blender</c:v>
                  </c:pt>
                  <c:pt idx="58">
                    <c:v>Laptop</c:v>
                  </c:pt>
                  <c:pt idx="59">
                    <c:v>Trousers</c:v>
                  </c:pt>
                  <c:pt idx="60">
                    <c:v>Shirt</c:v>
                  </c:pt>
                  <c:pt idx="61">
                    <c:v>Sneakers</c:v>
                  </c:pt>
                  <c:pt idx="62">
                    <c:v>Laptop</c:v>
                  </c:pt>
                  <c:pt idx="63">
                    <c:v>Sneakers</c:v>
                  </c:pt>
                  <c:pt idx="64">
                    <c:v>Shirt</c:v>
                  </c:pt>
                  <c:pt idx="65">
                    <c:v>Smartphone</c:v>
                  </c:pt>
                  <c:pt idx="66">
                    <c:v>Laptop</c:v>
                  </c:pt>
                  <c:pt idx="67">
                    <c:v>Laptop</c:v>
                  </c:pt>
                  <c:pt idx="68">
                    <c:v>Smartphone</c:v>
                  </c:pt>
                  <c:pt idx="69">
                    <c:v>Shirt</c:v>
                  </c:pt>
                  <c:pt idx="70">
                    <c:v>Blender</c:v>
                  </c:pt>
                  <c:pt idx="71">
                    <c:v>Sneakers</c:v>
                  </c:pt>
                  <c:pt idx="72">
                    <c:v>Laptop</c:v>
                  </c:pt>
                  <c:pt idx="73">
                    <c:v>Shirt</c:v>
                  </c:pt>
                  <c:pt idx="74">
                    <c:v>Smartphone</c:v>
                  </c:pt>
                  <c:pt idx="75">
                    <c:v>Smartphone</c:v>
                  </c:pt>
                  <c:pt idx="76">
                    <c:v>Boots</c:v>
                  </c:pt>
                  <c:pt idx="77">
                    <c:v>Sneakers</c:v>
                  </c:pt>
                  <c:pt idx="78">
                    <c:v>Boots</c:v>
                  </c:pt>
                  <c:pt idx="79">
                    <c:v>Trousers</c:v>
                  </c:pt>
                  <c:pt idx="80">
                    <c:v>Shirt</c:v>
                  </c:pt>
                  <c:pt idx="81">
                    <c:v>Blender</c:v>
                  </c:pt>
                  <c:pt idx="82">
                    <c:v>Boots</c:v>
                  </c:pt>
                  <c:pt idx="83">
                    <c:v>Trousers</c:v>
                  </c:pt>
                  <c:pt idx="84">
                    <c:v>Sneakers</c:v>
                  </c:pt>
                  <c:pt idx="85">
                    <c:v>Boots</c:v>
                  </c:pt>
                  <c:pt idx="86">
                    <c:v>Blender</c:v>
                  </c:pt>
                  <c:pt idx="87">
                    <c:v>Trousers</c:v>
                  </c:pt>
                  <c:pt idx="88">
                    <c:v>Smartphone</c:v>
                  </c:pt>
                  <c:pt idx="89">
                    <c:v>Microwave</c:v>
                  </c:pt>
                  <c:pt idx="90">
                    <c:v>Shirt</c:v>
                  </c:pt>
                  <c:pt idx="91">
                    <c:v>Blender</c:v>
                  </c:pt>
                  <c:pt idx="92">
                    <c:v>Blender</c:v>
                  </c:pt>
                  <c:pt idx="93">
                    <c:v>Shirt</c:v>
                  </c:pt>
                  <c:pt idx="94">
                    <c:v>Microwave</c:v>
                  </c:pt>
                  <c:pt idx="95">
                    <c:v>Sneakers</c:v>
                  </c:pt>
                  <c:pt idx="96">
                    <c:v>Sneakers</c:v>
                  </c:pt>
                  <c:pt idx="97">
                    <c:v>Laptop</c:v>
                  </c:pt>
                  <c:pt idx="98">
                    <c:v>Shirt</c:v>
                  </c:pt>
                  <c:pt idx="99">
                    <c:v>Blender</c:v>
                  </c:pt>
                </c:lvl>
                <c:lvl>
                  <c:pt idx="0">
                    <c:v>2025-02-09</c:v>
                  </c:pt>
                  <c:pt idx="1">
                    <c:v>2025-03-18</c:v>
                  </c:pt>
                  <c:pt idx="2">
                    <c:v>2025-01-19</c:v>
                  </c:pt>
                  <c:pt idx="3">
                    <c:v>2025-02-06</c:v>
                  </c:pt>
                  <c:pt idx="4">
                    <c:v>2025-02-05</c:v>
                  </c:pt>
                  <c:pt idx="5">
                    <c:v>2025-04-28</c:v>
                  </c:pt>
                  <c:pt idx="6">
                    <c:v>2025-03-04</c:v>
                  </c:pt>
                  <c:pt idx="7">
                    <c:v>2025-04-17</c:v>
                  </c:pt>
                  <c:pt idx="8">
                    <c:v>2025-03-19</c:v>
                  </c:pt>
                  <c:pt idx="9">
                    <c:v>2025-05-01</c:v>
                  </c:pt>
                  <c:pt idx="10">
                    <c:v>2025-02-05</c:v>
                  </c:pt>
                  <c:pt idx="11">
                    <c:v>2025-01-20</c:v>
                  </c:pt>
                  <c:pt idx="12">
                    <c:v>2025-03-23</c:v>
                  </c:pt>
                  <c:pt idx="13">
                    <c:v>2025-02-11</c:v>
                  </c:pt>
                  <c:pt idx="14">
                    <c:v>2025-04-20</c:v>
                  </c:pt>
                  <c:pt idx="15">
                    <c:v>2025-03-19</c:v>
                  </c:pt>
                  <c:pt idx="16">
                    <c:v>2025-03-06</c:v>
                  </c:pt>
                  <c:pt idx="17">
                    <c:v>2025-03-25</c:v>
                  </c:pt>
                  <c:pt idx="18">
                    <c:v>2025-03-16</c:v>
                  </c:pt>
                  <c:pt idx="19">
                    <c:v>2025-03-05</c:v>
                  </c:pt>
                  <c:pt idx="20">
                    <c:v>2025-02-15</c:v>
                  </c:pt>
                  <c:pt idx="21">
                    <c:v>2025-01-24</c:v>
                  </c:pt>
                  <c:pt idx="22">
                    <c:v>2025-01-06</c:v>
                  </c:pt>
                  <c:pt idx="23">
                    <c:v>2025-01-03</c:v>
                  </c:pt>
                  <c:pt idx="24">
                    <c:v>2025-02-13</c:v>
                  </c:pt>
                  <c:pt idx="25">
                    <c:v>2025-01-22</c:v>
                  </c:pt>
                  <c:pt idx="26">
                    <c:v>2025-02-05</c:v>
                  </c:pt>
                  <c:pt idx="27">
                    <c:v>2025-03-28</c:v>
                  </c:pt>
                  <c:pt idx="28">
                    <c:v>2025-01-13</c:v>
                  </c:pt>
                  <c:pt idx="29">
                    <c:v>2025-02-28</c:v>
                  </c:pt>
                  <c:pt idx="30">
                    <c:v>2025-04-15</c:v>
                  </c:pt>
                  <c:pt idx="31">
                    <c:v>2025-02-04</c:v>
                  </c:pt>
                  <c:pt idx="32">
                    <c:v>2025-03-31</c:v>
                  </c:pt>
                  <c:pt idx="33">
                    <c:v>2025-02-26</c:v>
                  </c:pt>
                  <c:pt idx="34">
                    <c:v>2025-04-01</c:v>
                  </c:pt>
                  <c:pt idx="35">
                    <c:v>2025-01-20</c:v>
                  </c:pt>
                  <c:pt idx="36">
                    <c:v>2025-04-02</c:v>
                  </c:pt>
                  <c:pt idx="37">
                    <c:v>2025-02-09</c:v>
                  </c:pt>
                  <c:pt idx="38">
                    <c:v>2025-01-13</c:v>
                  </c:pt>
                  <c:pt idx="39">
                    <c:v>2025-02-16</c:v>
                  </c:pt>
                  <c:pt idx="40">
                    <c:v>2025-03-09</c:v>
                  </c:pt>
                  <c:pt idx="41">
                    <c:v>2025-04-02</c:v>
                  </c:pt>
                  <c:pt idx="42">
                    <c:v>2025-02-07</c:v>
                  </c:pt>
                  <c:pt idx="43">
                    <c:v>2025-02-17</c:v>
                  </c:pt>
                  <c:pt idx="44">
                    <c:v>2025-03-12</c:v>
                  </c:pt>
                  <c:pt idx="45">
                    <c:v>2025-03-03</c:v>
                  </c:pt>
                  <c:pt idx="46">
                    <c:v>2025-03-30</c:v>
                  </c:pt>
                  <c:pt idx="47">
                    <c:v>2025-01-03</c:v>
                  </c:pt>
                  <c:pt idx="48">
                    <c:v>2025-02-13</c:v>
                  </c:pt>
                  <c:pt idx="49">
                    <c:v>2025-03-16</c:v>
                  </c:pt>
                  <c:pt idx="50">
                    <c:v>2025-02-19</c:v>
                  </c:pt>
                  <c:pt idx="51">
                    <c:v>2025-02-17</c:v>
                  </c:pt>
                  <c:pt idx="52">
                    <c:v>2025-04-07</c:v>
                  </c:pt>
                  <c:pt idx="53">
                    <c:v>2025-03-03</c:v>
                  </c:pt>
                  <c:pt idx="54">
                    <c:v>2025-02-16</c:v>
                  </c:pt>
                  <c:pt idx="55">
                    <c:v>2025-04-19</c:v>
                  </c:pt>
                  <c:pt idx="56">
                    <c:v>2025-02-05</c:v>
                  </c:pt>
                  <c:pt idx="57">
                    <c:v>2025-01-01</c:v>
                  </c:pt>
                  <c:pt idx="58">
                    <c:v>2025-03-28</c:v>
                  </c:pt>
                  <c:pt idx="59">
                    <c:v>2025-03-16</c:v>
                  </c:pt>
                  <c:pt idx="60">
                    <c:v>2025-02-25</c:v>
                  </c:pt>
                  <c:pt idx="61">
                    <c:v>2025-01-12</c:v>
                  </c:pt>
                  <c:pt idx="62">
                    <c:v>2025-02-14</c:v>
                  </c:pt>
                  <c:pt idx="63">
                    <c:v>2025-01-29</c:v>
                  </c:pt>
                  <c:pt idx="64">
                    <c:v>2025-02-18</c:v>
                  </c:pt>
                  <c:pt idx="65">
                    <c:v>2025-03-08</c:v>
                  </c:pt>
                  <c:pt idx="66">
                    <c:v>2025-01-02</c:v>
                  </c:pt>
                  <c:pt idx="67">
                    <c:v>2025-01-23</c:v>
                  </c:pt>
                  <c:pt idx="68">
                    <c:v>2025-02-01</c:v>
                  </c:pt>
                  <c:pt idx="69">
                    <c:v>2025-02-14</c:v>
                  </c:pt>
                  <c:pt idx="70">
                    <c:v>2025-03-11</c:v>
                  </c:pt>
                  <c:pt idx="71">
                    <c:v>2025-02-22</c:v>
                  </c:pt>
                  <c:pt idx="72">
                    <c:v>2025-04-14</c:v>
                  </c:pt>
                  <c:pt idx="73">
                    <c:v>2025-01-09</c:v>
                  </c:pt>
                  <c:pt idx="74">
                    <c:v>2025-04-09</c:v>
                  </c:pt>
                  <c:pt idx="75">
                    <c:v>2025-03-31</c:v>
                  </c:pt>
                  <c:pt idx="76">
                    <c:v>2025-02-05</c:v>
                  </c:pt>
                  <c:pt idx="77">
                    <c:v>2025-01-08</c:v>
                  </c:pt>
                  <c:pt idx="78">
                    <c:v>2025-02-02</c:v>
                  </c:pt>
                  <c:pt idx="79">
                    <c:v>2025-01-10</c:v>
                  </c:pt>
                  <c:pt idx="80">
                    <c:v>2025-01-08</c:v>
                  </c:pt>
                  <c:pt idx="81">
                    <c:v>2025-02-24</c:v>
                  </c:pt>
                  <c:pt idx="82">
                    <c:v>2025-01-11</c:v>
                  </c:pt>
                  <c:pt idx="83">
                    <c:v>2025-04-30</c:v>
                  </c:pt>
                  <c:pt idx="84">
                    <c:v>2025-03-15</c:v>
                  </c:pt>
                  <c:pt idx="85">
                    <c:v>2025-03-09</c:v>
                  </c:pt>
                  <c:pt idx="86">
                    <c:v>2025-04-09</c:v>
                  </c:pt>
                  <c:pt idx="87">
                    <c:v>2025-03-09</c:v>
                  </c:pt>
                  <c:pt idx="88">
                    <c:v>2025-02-06</c:v>
                  </c:pt>
                  <c:pt idx="89">
                    <c:v>2025-04-02</c:v>
                  </c:pt>
                  <c:pt idx="90">
                    <c:v>2025-05-01</c:v>
                  </c:pt>
                  <c:pt idx="91">
                    <c:v>2025-01-01</c:v>
                  </c:pt>
                  <c:pt idx="92">
                    <c:v>2025-04-15</c:v>
                  </c:pt>
                  <c:pt idx="93">
                    <c:v>2025-04-18</c:v>
                  </c:pt>
                  <c:pt idx="94">
                    <c:v>2025-02-13</c:v>
                  </c:pt>
                  <c:pt idx="95">
                    <c:v>2025-03-11</c:v>
                  </c:pt>
                  <c:pt idx="96">
                    <c:v>2025-03-25</c:v>
                  </c:pt>
                  <c:pt idx="97">
                    <c:v>2025-01-22</c:v>
                  </c:pt>
                  <c:pt idx="98">
                    <c:v>2025-02-23</c:v>
                  </c:pt>
                  <c:pt idx="99">
                    <c:v>2025-02-05</c:v>
                  </c:pt>
                </c:lvl>
              </c:multiLvlStrCache>
            </c:multiLvlStr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18</c:v>
                </c:pt>
                <c:pt idx="1">
                  <c:v>15</c:v>
                </c:pt>
                <c:pt idx="2">
                  <c:v>6</c:v>
                </c:pt>
                <c:pt idx="3">
                  <c:v>4</c:v>
                </c:pt>
                <c:pt idx="4">
                  <c:v>10</c:v>
                </c:pt>
                <c:pt idx="5">
                  <c:v>5</c:v>
                </c:pt>
                <c:pt idx="6">
                  <c:v>18</c:v>
                </c:pt>
                <c:pt idx="7">
                  <c:v>18</c:v>
                </c:pt>
                <c:pt idx="8">
                  <c:v>8</c:v>
                </c:pt>
                <c:pt idx="9">
                  <c:v>18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9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11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15</c:v>
                </c:pt>
                <c:pt idx="22">
                  <c:v>9</c:v>
                </c:pt>
                <c:pt idx="23">
                  <c:v>6</c:v>
                </c:pt>
                <c:pt idx="24">
                  <c:v>4</c:v>
                </c:pt>
                <c:pt idx="25">
                  <c:v>6</c:v>
                </c:pt>
                <c:pt idx="26">
                  <c:v>3</c:v>
                </c:pt>
                <c:pt idx="27">
                  <c:v>14</c:v>
                </c:pt>
                <c:pt idx="28">
                  <c:v>6</c:v>
                </c:pt>
                <c:pt idx="29">
                  <c:v>3</c:v>
                </c:pt>
                <c:pt idx="30">
                  <c:v>17</c:v>
                </c:pt>
                <c:pt idx="31">
                  <c:v>11</c:v>
                </c:pt>
                <c:pt idx="32">
                  <c:v>1</c:v>
                </c:pt>
                <c:pt idx="33">
                  <c:v>3</c:v>
                </c:pt>
                <c:pt idx="34">
                  <c:v>9</c:v>
                </c:pt>
                <c:pt idx="35">
                  <c:v>7</c:v>
                </c:pt>
                <c:pt idx="36">
                  <c:v>5</c:v>
                </c:pt>
                <c:pt idx="37">
                  <c:v>3</c:v>
                </c:pt>
                <c:pt idx="38">
                  <c:v>7</c:v>
                </c:pt>
                <c:pt idx="39">
                  <c:v>3</c:v>
                </c:pt>
                <c:pt idx="40">
                  <c:v>19</c:v>
                </c:pt>
                <c:pt idx="41">
                  <c:v>5</c:v>
                </c:pt>
                <c:pt idx="42">
                  <c:v>8</c:v>
                </c:pt>
                <c:pt idx="43">
                  <c:v>18</c:v>
                </c:pt>
                <c:pt idx="44">
                  <c:v>10</c:v>
                </c:pt>
                <c:pt idx="45">
                  <c:v>8</c:v>
                </c:pt>
                <c:pt idx="46">
                  <c:v>19</c:v>
                </c:pt>
                <c:pt idx="47">
                  <c:v>16</c:v>
                </c:pt>
                <c:pt idx="48">
                  <c:v>2</c:v>
                </c:pt>
                <c:pt idx="49">
                  <c:v>17</c:v>
                </c:pt>
                <c:pt idx="50">
                  <c:v>20</c:v>
                </c:pt>
                <c:pt idx="51">
                  <c:v>4</c:v>
                </c:pt>
                <c:pt idx="52">
                  <c:v>15</c:v>
                </c:pt>
                <c:pt idx="53">
                  <c:v>17</c:v>
                </c:pt>
                <c:pt idx="54">
                  <c:v>13</c:v>
                </c:pt>
                <c:pt idx="55">
                  <c:v>13</c:v>
                </c:pt>
                <c:pt idx="56">
                  <c:v>11</c:v>
                </c:pt>
                <c:pt idx="57">
                  <c:v>17</c:v>
                </c:pt>
                <c:pt idx="58">
                  <c:v>1</c:v>
                </c:pt>
                <c:pt idx="59">
                  <c:v>3</c:v>
                </c:pt>
                <c:pt idx="60">
                  <c:v>9</c:v>
                </c:pt>
                <c:pt idx="61">
                  <c:v>2</c:v>
                </c:pt>
                <c:pt idx="62">
                  <c:v>10</c:v>
                </c:pt>
                <c:pt idx="63">
                  <c:v>5</c:v>
                </c:pt>
                <c:pt idx="64">
                  <c:v>20</c:v>
                </c:pt>
                <c:pt idx="65">
                  <c:v>9</c:v>
                </c:pt>
                <c:pt idx="66">
                  <c:v>4</c:v>
                </c:pt>
                <c:pt idx="67">
                  <c:v>14</c:v>
                </c:pt>
                <c:pt idx="68">
                  <c:v>5</c:v>
                </c:pt>
                <c:pt idx="69">
                  <c:v>8</c:v>
                </c:pt>
                <c:pt idx="70">
                  <c:v>8</c:v>
                </c:pt>
                <c:pt idx="71">
                  <c:v>13</c:v>
                </c:pt>
                <c:pt idx="72">
                  <c:v>15</c:v>
                </c:pt>
                <c:pt idx="73">
                  <c:v>19</c:v>
                </c:pt>
                <c:pt idx="74">
                  <c:v>19</c:v>
                </c:pt>
                <c:pt idx="75">
                  <c:v>8</c:v>
                </c:pt>
                <c:pt idx="76">
                  <c:v>18</c:v>
                </c:pt>
                <c:pt idx="77">
                  <c:v>5</c:v>
                </c:pt>
                <c:pt idx="78">
                  <c:v>7</c:v>
                </c:pt>
                <c:pt idx="79">
                  <c:v>11</c:v>
                </c:pt>
                <c:pt idx="80">
                  <c:v>9</c:v>
                </c:pt>
                <c:pt idx="81">
                  <c:v>10</c:v>
                </c:pt>
                <c:pt idx="82">
                  <c:v>5</c:v>
                </c:pt>
                <c:pt idx="83">
                  <c:v>15</c:v>
                </c:pt>
                <c:pt idx="84">
                  <c:v>15</c:v>
                </c:pt>
                <c:pt idx="85">
                  <c:v>13</c:v>
                </c:pt>
                <c:pt idx="86">
                  <c:v>19</c:v>
                </c:pt>
                <c:pt idx="87">
                  <c:v>5</c:v>
                </c:pt>
                <c:pt idx="88">
                  <c:v>8</c:v>
                </c:pt>
                <c:pt idx="89">
                  <c:v>4</c:v>
                </c:pt>
                <c:pt idx="90">
                  <c:v>20</c:v>
                </c:pt>
                <c:pt idx="91">
                  <c:v>10</c:v>
                </c:pt>
                <c:pt idx="92">
                  <c:v>20</c:v>
                </c:pt>
                <c:pt idx="93">
                  <c:v>13</c:v>
                </c:pt>
                <c:pt idx="94">
                  <c:v>2</c:v>
                </c:pt>
                <c:pt idx="95">
                  <c:v>5</c:v>
                </c:pt>
                <c:pt idx="96">
                  <c:v>12</c:v>
                </c:pt>
                <c:pt idx="97">
                  <c:v>5</c:v>
                </c:pt>
                <c:pt idx="98">
                  <c:v>12</c:v>
                </c:pt>
                <c:pt idx="9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96-48A3-8C7E-5C59EF3F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574400"/>
        <c:axId val="1898573440"/>
      </c:scatterChart>
      <c:valAx>
        <c:axId val="189857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573440"/>
        <c:crosses val="autoZero"/>
        <c:crossBetween val="midCat"/>
      </c:valAx>
      <c:valAx>
        <c:axId val="18985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574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Quantity Sold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Sheet1!$E$2:$E$101</c:f>
              <c:numCache>
                <c:formatCode>General</c:formatCode>
                <c:ptCount val="100"/>
                <c:pt idx="0">
                  <c:v>4050</c:v>
                </c:pt>
                <c:pt idx="1">
                  <c:v>7875</c:v>
                </c:pt>
                <c:pt idx="2">
                  <c:v>5832</c:v>
                </c:pt>
                <c:pt idx="3">
                  <c:v>676</c:v>
                </c:pt>
                <c:pt idx="4">
                  <c:v>6560</c:v>
                </c:pt>
                <c:pt idx="5">
                  <c:v>1905</c:v>
                </c:pt>
                <c:pt idx="6">
                  <c:v>6948</c:v>
                </c:pt>
                <c:pt idx="7">
                  <c:v>1944</c:v>
                </c:pt>
                <c:pt idx="8">
                  <c:v>7776</c:v>
                </c:pt>
                <c:pt idx="9">
                  <c:v>2790</c:v>
                </c:pt>
                <c:pt idx="10">
                  <c:v>7995</c:v>
                </c:pt>
                <c:pt idx="11">
                  <c:v>9984</c:v>
                </c:pt>
                <c:pt idx="12">
                  <c:v>7683</c:v>
                </c:pt>
                <c:pt idx="13">
                  <c:v>6885</c:v>
                </c:pt>
                <c:pt idx="14">
                  <c:v>229</c:v>
                </c:pt>
                <c:pt idx="15">
                  <c:v>6104</c:v>
                </c:pt>
                <c:pt idx="16">
                  <c:v>558</c:v>
                </c:pt>
                <c:pt idx="17">
                  <c:v>6413</c:v>
                </c:pt>
                <c:pt idx="18">
                  <c:v>1017</c:v>
                </c:pt>
                <c:pt idx="19">
                  <c:v>9310</c:v>
                </c:pt>
                <c:pt idx="20">
                  <c:v>2560</c:v>
                </c:pt>
                <c:pt idx="21">
                  <c:v>6855</c:v>
                </c:pt>
                <c:pt idx="22">
                  <c:v>7398</c:v>
                </c:pt>
                <c:pt idx="23">
                  <c:v>2094</c:v>
                </c:pt>
                <c:pt idx="24">
                  <c:v>3996</c:v>
                </c:pt>
                <c:pt idx="25">
                  <c:v>4884</c:v>
                </c:pt>
                <c:pt idx="26">
                  <c:v>1767</c:v>
                </c:pt>
                <c:pt idx="27">
                  <c:v>7840</c:v>
                </c:pt>
                <c:pt idx="28">
                  <c:v>4806</c:v>
                </c:pt>
                <c:pt idx="29">
                  <c:v>2598</c:v>
                </c:pt>
                <c:pt idx="30">
                  <c:v>12920</c:v>
                </c:pt>
                <c:pt idx="31">
                  <c:v>2134</c:v>
                </c:pt>
                <c:pt idx="32">
                  <c:v>311</c:v>
                </c:pt>
                <c:pt idx="33">
                  <c:v>2388</c:v>
                </c:pt>
                <c:pt idx="34">
                  <c:v>2853</c:v>
                </c:pt>
                <c:pt idx="35">
                  <c:v>4382</c:v>
                </c:pt>
                <c:pt idx="36">
                  <c:v>2690</c:v>
                </c:pt>
                <c:pt idx="37">
                  <c:v>399</c:v>
                </c:pt>
                <c:pt idx="38">
                  <c:v>4459</c:v>
                </c:pt>
                <c:pt idx="39">
                  <c:v>2274</c:v>
                </c:pt>
                <c:pt idx="40">
                  <c:v>11552</c:v>
                </c:pt>
                <c:pt idx="41">
                  <c:v>4540</c:v>
                </c:pt>
                <c:pt idx="42">
                  <c:v>4216</c:v>
                </c:pt>
                <c:pt idx="43">
                  <c:v>4140</c:v>
                </c:pt>
                <c:pt idx="44">
                  <c:v>8610</c:v>
                </c:pt>
                <c:pt idx="45">
                  <c:v>7200</c:v>
                </c:pt>
                <c:pt idx="46">
                  <c:v>10849</c:v>
                </c:pt>
                <c:pt idx="47">
                  <c:v>14256</c:v>
                </c:pt>
                <c:pt idx="48">
                  <c:v>1464</c:v>
                </c:pt>
                <c:pt idx="49">
                  <c:v>9622</c:v>
                </c:pt>
                <c:pt idx="50">
                  <c:v>13420</c:v>
                </c:pt>
                <c:pt idx="51">
                  <c:v>3004</c:v>
                </c:pt>
                <c:pt idx="52">
                  <c:v>11865</c:v>
                </c:pt>
                <c:pt idx="53">
                  <c:v>7395</c:v>
                </c:pt>
                <c:pt idx="54">
                  <c:v>12701</c:v>
                </c:pt>
                <c:pt idx="55">
                  <c:v>8697</c:v>
                </c:pt>
                <c:pt idx="56">
                  <c:v>2728</c:v>
                </c:pt>
                <c:pt idx="57">
                  <c:v>7395</c:v>
                </c:pt>
                <c:pt idx="58">
                  <c:v>632</c:v>
                </c:pt>
                <c:pt idx="59">
                  <c:v>1044</c:v>
                </c:pt>
                <c:pt idx="60">
                  <c:v>4779</c:v>
                </c:pt>
                <c:pt idx="61">
                  <c:v>636</c:v>
                </c:pt>
                <c:pt idx="62">
                  <c:v>7800</c:v>
                </c:pt>
                <c:pt idx="63">
                  <c:v>545</c:v>
                </c:pt>
                <c:pt idx="64">
                  <c:v>6040</c:v>
                </c:pt>
                <c:pt idx="65">
                  <c:v>8136</c:v>
                </c:pt>
                <c:pt idx="66">
                  <c:v>3928</c:v>
                </c:pt>
                <c:pt idx="67">
                  <c:v>2968</c:v>
                </c:pt>
                <c:pt idx="68">
                  <c:v>3955</c:v>
                </c:pt>
                <c:pt idx="69">
                  <c:v>4048</c:v>
                </c:pt>
                <c:pt idx="70">
                  <c:v>6464</c:v>
                </c:pt>
                <c:pt idx="71">
                  <c:v>3042</c:v>
                </c:pt>
                <c:pt idx="72">
                  <c:v>9480</c:v>
                </c:pt>
                <c:pt idx="73">
                  <c:v>16321</c:v>
                </c:pt>
                <c:pt idx="74">
                  <c:v>8436</c:v>
                </c:pt>
                <c:pt idx="75">
                  <c:v>2832</c:v>
                </c:pt>
                <c:pt idx="76">
                  <c:v>8604</c:v>
                </c:pt>
                <c:pt idx="77">
                  <c:v>2805</c:v>
                </c:pt>
                <c:pt idx="78">
                  <c:v>5544</c:v>
                </c:pt>
                <c:pt idx="79">
                  <c:v>1694</c:v>
                </c:pt>
                <c:pt idx="80">
                  <c:v>5760</c:v>
                </c:pt>
                <c:pt idx="81">
                  <c:v>8550</c:v>
                </c:pt>
                <c:pt idx="82">
                  <c:v>1220</c:v>
                </c:pt>
                <c:pt idx="83">
                  <c:v>2490</c:v>
                </c:pt>
                <c:pt idx="84">
                  <c:v>3225</c:v>
                </c:pt>
                <c:pt idx="85">
                  <c:v>7930</c:v>
                </c:pt>
                <c:pt idx="86">
                  <c:v>12920</c:v>
                </c:pt>
                <c:pt idx="87">
                  <c:v>4685</c:v>
                </c:pt>
                <c:pt idx="88">
                  <c:v>808</c:v>
                </c:pt>
                <c:pt idx="89">
                  <c:v>1592</c:v>
                </c:pt>
                <c:pt idx="90">
                  <c:v>14860</c:v>
                </c:pt>
                <c:pt idx="91">
                  <c:v>8040</c:v>
                </c:pt>
                <c:pt idx="92">
                  <c:v>3880</c:v>
                </c:pt>
                <c:pt idx="93">
                  <c:v>2522</c:v>
                </c:pt>
                <c:pt idx="94">
                  <c:v>852</c:v>
                </c:pt>
                <c:pt idx="95">
                  <c:v>1185</c:v>
                </c:pt>
                <c:pt idx="96">
                  <c:v>1836</c:v>
                </c:pt>
                <c:pt idx="97">
                  <c:v>3835</c:v>
                </c:pt>
                <c:pt idx="98">
                  <c:v>2460</c:v>
                </c:pt>
                <c:pt idx="99">
                  <c:v>3941</c:v>
                </c:pt>
              </c:numCache>
            </c:numRef>
          </c:xVal>
          <c:yVal>
            <c:numRef>
              <c:f>Sheet1!$F$2:$F$101</c:f>
              <c:numCache>
                <c:formatCode>General</c:formatCode>
                <c:ptCount val="100"/>
                <c:pt idx="0">
                  <c:v>18</c:v>
                </c:pt>
                <c:pt idx="1">
                  <c:v>15</c:v>
                </c:pt>
                <c:pt idx="2">
                  <c:v>6</c:v>
                </c:pt>
                <c:pt idx="3">
                  <c:v>4</c:v>
                </c:pt>
                <c:pt idx="4">
                  <c:v>10</c:v>
                </c:pt>
                <c:pt idx="5">
                  <c:v>5</c:v>
                </c:pt>
                <c:pt idx="6">
                  <c:v>18</c:v>
                </c:pt>
                <c:pt idx="7">
                  <c:v>18</c:v>
                </c:pt>
                <c:pt idx="8">
                  <c:v>8</c:v>
                </c:pt>
                <c:pt idx="9">
                  <c:v>18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9</c:v>
                </c:pt>
                <c:pt idx="14">
                  <c:v>1</c:v>
                </c:pt>
                <c:pt idx="15">
                  <c:v>7</c:v>
                </c:pt>
                <c:pt idx="16">
                  <c:v>1</c:v>
                </c:pt>
                <c:pt idx="17">
                  <c:v>11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15</c:v>
                </c:pt>
                <c:pt idx="22">
                  <c:v>9</c:v>
                </c:pt>
                <c:pt idx="23">
                  <c:v>6</c:v>
                </c:pt>
                <c:pt idx="24">
                  <c:v>4</c:v>
                </c:pt>
                <c:pt idx="25">
                  <c:v>6</c:v>
                </c:pt>
                <c:pt idx="26">
                  <c:v>3</c:v>
                </c:pt>
                <c:pt idx="27">
                  <c:v>14</c:v>
                </c:pt>
                <c:pt idx="28">
                  <c:v>6</c:v>
                </c:pt>
                <c:pt idx="29">
                  <c:v>3</c:v>
                </c:pt>
                <c:pt idx="30">
                  <c:v>17</c:v>
                </c:pt>
                <c:pt idx="31">
                  <c:v>11</c:v>
                </c:pt>
                <c:pt idx="32">
                  <c:v>1</c:v>
                </c:pt>
                <c:pt idx="33">
                  <c:v>3</c:v>
                </c:pt>
                <c:pt idx="34">
                  <c:v>9</c:v>
                </c:pt>
                <c:pt idx="35">
                  <c:v>7</c:v>
                </c:pt>
                <c:pt idx="36">
                  <c:v>5</c:v>
                </c:pt>
                <c:pt idx="37">
                  <c:v>3</c:v>
                </c:pt>
                <c:pt idx="38">
                  <c:v>7</c:v>
                </c:pt>
                <c:pt idx="39">
                  <c:v>3</c:v>
                </c:pt>
                <c:pt idx="40">
                  <c:v>19</c:v>
                </c:pt>
                <c:pt idx="41">
                  <c:v>5</c:v>
                </c:pt>
                <c:pt idx="42">
                  <c:v>8</c:v>
                </c:pt>
                <c:pt idx="43">
                  <c:v>18</c:v>
                </c:pt>
                <c:pt idx="44">
                  <c:v>10</c:v>
                </c:pt>
                <c:pt idx="45">
                  <c:v>8</c:v>
                </c:pt>
                <c:pt idx="46">
                  <c:v>19</c:v>
                </c:pt>
                <c:pt idx="47">
                  <c:v>16</c:v>
                </c:pt>
                <c:pt idx="48">
                  <c:v>2</c:v>
                </c:pt>
                <c:pt idx="49">
                  <c:v>17</c:v>
                </c:pt>
                <c:pt idx="50">
                  <c:v>20</c:v>
                </c:pt>
                <c:pt idx="51">
                  <c:v>4</c:v>
                </c:pt>
                <c:pt idx="52">
                  <c:v>15</c:v>
                </c:pt>
                <c:pt idx="53">
                  <c:v>17</c:v>
                </c:pt>
                <c:pt idx="54">
                  <c:v>13</c:v>
                </c:pt>
                <c:pt idx="55">
                  <c:v>13</c:v>
                </c:pt>
                <c:pt idx="56">
                  <c:v>11</c:v>
                </c:pt>
                <c:pt idx="57">
                  <c:v>17</c:v>
                </c:pt>
                <c:pt idx="58">
                  <c:v>1</c:v>
                </c:pt>
                <c:pt idx="59">
                  <c:v>3</c:v>
                </c:pt>
                <c:pt idx="60">
                  <c:v>9</c:v>
                </c:pt>
                <c:pt idx="61">
                  <c:v>2</c:v>
                </c:pt>
                <c:pt idx="62">
                  <c:v>10</c:v>
                </c:pt>
                <c:pt idx="63">
                  <c:v>5</c:v>
                </c:pt>
                <c:pt idx="64">
                  <c:v>20</c:v>
                </c:pt>
                <c:pt idx="65">
                  <c:v>9</c:v>
                </c:pt>
                <c:pt idx="66">
                  <c:v>4</c:v>
                </c:pt>
                <c:pt idx="67">
                  <c:v>14</c:v>
                </c:pt>
                <c:pt idx="68">
                  <c:v>5</c:v>
                </c:pt>
                <c:pt idx="69">
                  <c:v>8</c:v>
                </c:pt>
                <c:pt idx="70">
                  <c:v>8</c:v>
                </c:pt>
                <c:pt idx="71">
                  <c:v>13</c:v>
                </c:pt>
                <c:pt idx="72">
                  <c:v>15</c:v>
                </c:pt>
                <c:pt idx="73">
                  <c:v>19</c:v>
                </c:pt>
                <c:pt idx="74">
                  <c:v>19</c:v>
                </c:pt>
                <c:pt idx="75">
                  <c:v>8</c:v>
                </c:pt>
                <c:pt idx="76">
                  <c:v>18</c:v>
                </c:pt>
                <c:pt idx="77">
                  <c:v>5</c:v>
                </c:pt>
                <c:pt idx="78">
                  <c:v>7</c:v>
                </c:pt>
                <c:pt idx="79">
                  <c:v>11</c:v>
                </c:pt>
                <c:pt idx="80">
                  <c:v>9</c:v>
                </c:pt>
                <c:pt idx="81">
                  <c:v>10</c:v>
                </c:pt>
                <c:pt idx="82">
                  <c:v>5</c:v>
                </c:pt>
                <c:pt idx="83">
                  <c:v>15</c:v>
                </c:pt>
                <c:pt idx="84">
                  <c:v>15</c:v>
                </c:pt>
                <c:pt idx="85">
                  <c:v>13</c:v>
                </c:pt>
                <c:pt idx="86">
                  <c:v>19</c:v>
                </c:pt>
                <c:pt idx="87">
                  <c:v>5</c:v>
                </c:pt>
                <c:pt idx="88">
                  <c:v>8</c:v>
                </c:pt>
                <c:pt idx="89">
                  <c:v>4</c:v>
                </c:pt>
                <c:pt idx="90">
                  <c:v>20</c:v>
                </c:pt>
                <c:pt idx="91">
                  <c:v>10</c:v>
                </c:pt>
                <c:pt idx="92">
                  <c:v>20</c:v>
                </c:pt>
                <c:pt idx="93">
                  <c:v>13</c:v>
                </c:pt>
                <c:pt idx="94">
                  <c:v>2</c:v>
                </c:pt>
                <c:pt idx="95">
                  <c:v>5</c:v>
                </c:pt>
                <c:pt idx="96">
                  <c:v>12</c:v>
                </c:pt>
                <c:pt idx="97">
                  <c:v>5</c:v>
                </c:pt>
                <c:pt idx="98">
                  <c:v>12</c:v>
                </c:pt>
                <c:pt idx="9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8-4ECD-8115-E4EA44B9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186800"/>
        <c:axId val="423187280"/>
      </c:scatterChart>
      <c:valAx>
        <c:axId val="42318680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87280"/>
        <c:crosses val="autoZero"/>
        <c:crossBetween val="midCat"/>
      </c:valAx>
      <c:valAx>
        <c:axId val="4231872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1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>
      <a:outerShdw blurRad="50800" dist="38100" dir="8100000" sx="101000" sy="101000" algn="tr" rotWithShape="0">
        <a:schemeClr val="tx1">
          <a:lumMod val="50000"/>
          <a:lumOff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hyperlink" Target="https://kryptera.se/google-valjer-nu-https-som-standard/" TargetMode="External"/><Relationship Id="rId1" Type="http://schemas.openxmlformats.org/officeDocument/2006/relationships/image" Target="../media/image2.png"/><Relationship Id="rId6" Type="http://schemas.openxmlformats.org/officeDocument/2006/relationships/hyperlink" Target="https://bearbones.miraheze.org/wiki/Netflix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s://fr.wikipedia.org/wiki/Amazo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6</xdr:col>
      <xdr:colOff>285750</xdr:colOff>
      <xdr:row>13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4B05-5C35-73ED-8EAC-A923D9EBC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13</xdr:row>
      <xdr:rowOff>9524</xdr:rowOff>
    </xdr:from>
    <xdr:to>
      <xdr:col>6</xdr:col>
      <xdr:colOff>295276</xdr:colOff>
      <xdr:row>27</xdr:row>
      <xdr:rowOff>2571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02321-4037-4D32-8A17-8A8D03CFC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609599</xdr:colOff>
      <xdr:row>0</xdr:row>
      <xdr:rowOff>1</xdr:rowOff>
    </xdr:from>
    <xdr:to>
      <xdr:col>15</xdr:col>
      <xdr:colOff>504825</xdr:colOff>
      <xdr:row>13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1EC92B-A6C5-4571-82AF-288980697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15</xdr:col>
      <xdr:colOff>451200</xdr:colOff>
      <xdr:row>25</xdr:row>
      <xdr:rowOff>90000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225C07-663C-4196-98B2-F928C89D6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21</xdr:col>
      <xdr:colOff>342900</xdr:colOff>
      <xdr:row>15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1BD2EA-5E4C-4617-9490-CF8CB58FE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19050</xdr:colOff>
      <xdr:row>15</xdr:row>
      <xdr:rowOff>142875</xdr:rowOff>
    </xdr:from>
    <xdr:to>
      <xdr:col>21</xdr:col>
      <xdr:colOff>419100</xdr:colOff>
      <xdr:row>25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2EAC17-6DCA-4514-9837-014579673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400050</xdr:colOff>
      <xdr:row>15</xdr:row>
      <xdr:rowOff>0</xdr:rowOff>
    </xdr:from>
    <xdr:ext cx="209550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7ECCA8-5B70-E101-2C62-15A2F0EBBDAC}"/>
            </a:ext>
          </a:extLst>
        </xdr:cNvPr>
        <xdr:cNvSpPr txBox="1"/>
      </xdr:nvSpPr>
      <xdr:spPr>
        <a:xfrm>
          <a:off x="7324725" y="4162425"/>
          <a:ext cx="20955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oneCellAnchor>
    <xdr:from>
      <xdr:col>4</xdr:col>
      <xdr:colOff>0</xdr:colOff>
      <xdr:row>39</xdr:row>
      <xdr:rowOff>180975</xdr:rowOff>
    </xdr:from>
    <xdr:ext cx="7591425" cy="23320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F5C4DED-D4B4-13A5-CFF8-322CD80E114F}"/>
            </a:ext>
          </a:extLst>
        </xdr:cNvPr>
        <xdr:cNvSpPr txBox="1"/>
      </xdr:nvSpPr>
      <xdr:spPr>
        <a:xfrm>
          <a:off x="2638425" y="9058275"/>
          <a:ext cx="75914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4</xdr:col>
      <xdr:colOff>57150</xdr:colOff>
      <xdr:row>10</xdr:row>
      <xdr:rowOff>19049</xdr:rowOff>
    </xdr:from>
    <xdr:to>
      <xdr:col>4</xdr:col>
      <xdr:colOff>1400176</xdr:colOff>
      <xdr:row>10</xdr:row>
      <xdr:rowOff>447674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4406626-28E8-4FB3-9D53-6F5F7EA1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714625" y="2971799"/>
          <a:ext cx="1343026" cy="42862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15</xdr:col>
      <xdr:colOff>419100</xdr:colOff>
      <xdr:row>11</xdr:row>
      <xdr:rowOff>466725</xdr:rowOff>
    </xdr:from>
    <xdr:ext cx="1076325" cy="68580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552E560-257B-1786-4FF3-C056977461DC}"/>
            </a:ext>
          </a:extLst>
        </xdr:cNvPr>
        <xdr:cNvSpPr txBox="1"/>
      </xdr:nvSpPr>
      <xdr:spPr>
        <a:xfrm rot="677481">
          <a:off x="11725275" y="3914775"/>
          <a:ext cx="1076325" cy="685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4</xdr:col>
      <xdr:colOff>19050</xdr:colOff>
      <xdr:row>11</xdr:row>
      <xdr:rowOff>47626</xdr:rowOff>
    </xdr:from>
    <xdr:to>
      <xdr:col>4</xdr:col>
      <xdr:colOff>1390649</xdr:colOff>
      <xdr:row>11</xdr:row>
      <xdr:rowOff>638175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E7162E3-FEB5-4F61-B73C-A88C4F40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676525" y="3457576"/>
          <a:ext cx="1371599" cy="590549"/>
        </a:xfrm>
        <a:prstGeom prst="rect">
          <a:avLst/>
        </a:prstGeom>
      </xdr:spPr>
    </xdr:pic>
    <xdr:clientData/>
  </xdr:twoCellAnchor>
  <xdr:twoCellAnchor>
    <xdr:from>
      <xdr:col>4</xdr:col>
      <xdr:colOff>57150</xdr:colOff>
      <xdr:row>12</xdr:row>
      <xdr:rowOff>47626</xdr:rowOff>
    </xdr:from>
    <xdr:to>
      <xdr:col>4</xdr:col>
      <xdr:colOff>1381125</xdr:colOff>
      <xdr:row>12</xdr:row>
      <xdr:rowOff>552450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442D46B-8FE7-4AB8-B563-EF6A7576F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714625" y="4124326"/>
          <a:ext cx="1323975" cy="504824"/>
        </a:xfrm>
        <a:prstGeom prst="rect">
          <a:avLst/>
        </a:prstGeom>
        <a:effectLst>
          <a:outerShdw blurRad="50800" dist="50800" dir="5400000" algn="ctr" rotWithShape="0">
            <a:sysClr val="windowText" lastClr="000000"/>
          </a:outerShdw>
        </a:effectLst>
      </xdr:spPr>
    </xdr:pic>
    <xdr:clientData/>
  </xdr:twoCellAnchor>
  <xdr:twoCellAnchor>
    <xdr:from>
      <xdr:col>4</xdr:col>
      <xdr:colOff>9525</xdr:colOff>
      <xdr:row>9</xdr:row>
      <xdr:rowOff>38100</xdr:rowOff>
    </xdr:from>
    <xdr:to>
      <xdr:col>4</xdr:col>
      <xdr:colOff>1418294</xdr:colOff>
      <xdr:row>9</xdr:row>
      <xdr:rowOff>609600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379C5A4-8918-43EE-92A7-9B69FFF1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2381250"/>
          <a:ext cx="1408769" cy="571500"/>
        </a:xfrm>
        <a:prstGeom prst="rect">
          <a:avLst/>
        </a:prstGeom>
        <a:solidFill>
          <a:schemeClr val="accent1"/>
        </a:solidFill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62931597224" backgroundQuery="1" createdVersion="8" refreshedVersion="8" minRefreshableVersion="3" recordCount="0" supportSubquery="1" supportAdvancedDrill="1" xr:uid="{B5822A61-E5BD-4D0F-9C74-F5D694CB964E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able1].[Category].[Category]" caption="Category" numFmtId="0" hierarchy="2" level="1">
      <sharedItems count="4">
        <s v="Appliances"/>
        <s v="Clothing"/>
        <s v="Electronics"/>
        <s v="Footwear"/>
      </sharedItems>
    </cacheField>
    <cacheField name="[Measures].[Sum of Sales Amount]" caption="Sum of Sales Amount" numFmtId="0" hierarchy="8" level="32767"/>
  </cacheFields>
  <cacheHierarchies count="9"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20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51216205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6370740741" backgroundQuery="1" createdVersion="8" refreshedVersion="8" minRefreshableVersion="3" recordCount="0" supportSubquery="1" supportAdvancedDrill="1" xr:uid="{17088028-6DD9-4F36-9683-20A6EEA4E18F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es Amount]" caption="Sum of Sales Amount" numFmtId="0" hierarchy="8" level="32767"/>
    <cacheField name="[Table1].[Region].[Region]" caption="Region" numFmtId="0" hierarchy="3" level="1">
      <sharedItems count="4">
        <s v="East"/>
        <s v="North"/>
        <s v="South"/>
        <s v="West"/>
      </sharedItems>
    </cacheField>
  </cacheFields>
  <cacheHierarchies count="9"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ales Amount]" caption="Sales Amount" attribute="1" defaultMemberUniqueName="[Table1].[Sales Amount].[All]" allUniqueName="[Table1].[Sales Amount].[All]" dimensionUniqueName="[Table1]" displayFolder="" count="0" memberValueDatatype="20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09023635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81420833331" backgroundQuery="1" createdVersion="8" refreshedVersion="8" minRefreshableVersion="3" recordCount="0" supportSubquery="1" supportAdvancedDrill="1" xr:uid="{29923CD9-79A8-43F0-B97C-19822582968B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es Amount]" caption="Sum of Sales Amount" numFmtId="0" hierarchy="8" level="32767"/>
    <cacheField name="[Table1].[Product].[Product]" caption="Product" numFmtId="0" hierarchy="1" level="1">
      <sharedItems count="8">
        <s v="Blender"/>
        <s v="Boots"/>
        <s v="Laptop"/>
        <s v="Microwave"/>
        <s v="Shirt"/>
        <s v="Smartphone"/>
        <s v="Sneakers"/>
        <s v="Trousers"/>
      </sharedItems>
    </cacheField>
  </cacheFields>
  <cacheHierarchies count="9"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20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2410818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TS" refreshedDate="46177.682007870368" backgroundQuery="1" createdVersion="8" refreshedVersion="8" minRefreshableVersion="3" recordCount="0" supportSubquery="1" supportAdvancedDrill="1" xr:uid="{4705C858-2AF1-4786-8A58-164CD1070304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Sales Amount]" caption="Sum of Sales Amount" numFmtId="0" hierarchy="8" level="32767"/>
    <cacheField name="[Table1].[Date].[Date]" caption="Date" numFmtId="0" level="1">
      <sharedItems count="67">
        <s v="2025-01-01"/>
        <s v="2025-01-02"/>
        <s v="2025-01-03"/>
        <s v="2025-01-06"/>
        <s v="2025-01-08"/>
        <s v="2025-01-09"/>
        <s v="2025-01-10"/>
        <s v="2025-01-11"/>
        <s v="2025-01-12"/>
        <s v="2025-01-13"/>
        <s v="2025-01-19"/>
        <s v="2025-01-20"/>
        <s v="2025-01-22"/>
        <s v="2025-01-23"/>
        <s v="2025-01-24"/>
        <s v="2025-01-29"/>
        <s v="2025-02-01"/>
        <s v="2025-02-02"/>
        <s v="2025-02-04"/>
        <s v="2025-02-05"/>
        <s v="2025-02-06"/>
        <s v="2025-02-07"/>
        <s v="2025-02-09"/>
        <s v="2025-02-11"/>
        <s v="2025-02-13"/>
        <s v="2025-02-14"/>
        <s v="2025-02-15"/>
        <s v="2025-02-16"/>
        <s v="2025-02-17"/>
        <s v="2025-02-18"/>
        <s v="2025-02-19"/>
        <s v="2025-02-22"/>
        <s v="2025-02-23"/>
        <s v="2025-02-24"/>
        <s v="2025-02-25"/>
        <s v="2025-02-26"/>
        <s v="2025-02-28"/>
        <s v="2025-03-03"/>
        <s v="2025-03-04"/>
        <s v="2025-03-05"/>
        <s v="2025-03-06"/>
        <s v="2025-03-08"/>
        <s v="2025-03-09"/>
        <s v="2025-03-11"/>
        <s v="2025-03-12"/>
        <s v="2025-03-15"/>
        <s v="2025-03-16"/>
        <s v="2025-03-18"/>
        <s v="2025-03-19"/>
        <s v="2025-03-23"/>
        <s v="2025-03-25"/>
        <s v="2025-03-28"/>
        <s v="2025-03-30"/>
        <s v="2025-03-31"/>
        <s v="2025-04-01"/>
        <s v="2025-04-02"/>
        <s v="2025-04-07"/>
        <s v="2025-04-09"/>
        <s v="2025-04-14"/>
        <s v="2025-04-15"/>
        <s v="2025-04-17"/>
        <s v="2025-04-18"/>
        <s v="2025-04-19"/>
        <s v="2025-04-20"/>
        <s v="2025-04-28"/>
        <s v="2025-04-30"/>
        <s v="2025-05-01"/>
      </sharedItems>
    </cacheField>
  </cacheFields>
  <cacheHierarchies count="9">
    <cacheHierarchy uniqueName="[Table1].[Date]" caption="Date" attribute="1" defaultMemberUniqueName="[Table1].[Date].[All]" allUniqueName="[Table1].[Dat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Sales Amount]" caption="Sales Amount" attribute="1" defaultMemberUniqueName="[Table1].[Sales Amount].[All]" allUniqueName="[Table1].[Sales Amount].[All]" dimensionUniqueName="[Table1]" displayFolder="" count="0" memberValueDatatype="20" unbalanced="0"/>
    <cacheHierarchy uniqueName="[Table1].[Quantity Sold]" caption="Quantity Sold" attribute="1" defaultMemberUniqueName="[Table1].[Quantity Sold].[All]" allUniqueName="[Table1].[Quantity Sold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70840472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8E168-E9D6-485B-A8E2-CD5E85A01C23}" name="PivotChartTable7" cacheId="7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1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 Amoun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" columnCount="1" cacheId="24108180">
        <x15:pivotRow count="1">
          <x15:c>
            <x15:v>110928</x15:v>
          </x15:c>
        </x15:pivotRow>
        <x15:pivotRow count="1">
          <x15:c>
            <x15:v>34687</x15:v>
          </x15:c>
        </x15:pivotRow>
        <x15:pivotRow count="1">
          <x15:c>
            <x15:v>55834</x15:v>
          </x15:c>
        </x15:pivotRow>
        <x15:pivotRow count="1">
          <x15:c>
            <x15:v>42624</x15:v>
          </x15:c>
        </x15:pivotRow>
        <x15:pivotRow count="1">
          <x15:c>
            <x15:v>120105</x15:v>
          </x15:c>
        </x15:pivotRow>
        <x15:pivotRow count="1">
          <x15:c>
            <x15:v>72506</x15:v>
          </x15:c>
        </x15:pivotRow>
        <x15:pivotRow count="1">
          <x15:c>
            <x15:v>52563</x15:v>
          </x15:c>
        </x15:pivotRow>
        <x15:pivotRow count="1">
          <x15:c>
            <x15:v>38873</x15:v>
          </x15:c>
        </x15:pivotRow>
        <x15:pivotRow count="1">
          <x15:c>
            <x15:v>528120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Excel practice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8E168-E9D6-485B-A8E2-CD5E85A01C23}" name="PivotChartTable4" cacheId="7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1:B6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</pivotFields>
  <rowFields count="1">
    <field x="1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Sales Amoun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8" columnCount="1" cacheId="1708404723">
        <x15:pivotRow count="1">
          <x15:c>
            <x15:v>15435</x15:v>
          </x15:c>
        </x15:pivotRow>
        <x15:pivotRow count="1">
          <x15:c>
            <x15:v>3928</x15:v>
          </x15:c>
        </x15:pivotRow>
        <x15:pivotRow count="1">
          <x15:c>
            <x15:v>16350</x15:v>
          </x15:c>
        </x15:pivotRow>
        <x15:pivotRow count="1">
          <x15:c>
            <x15:v>7398</x15:v>
          </x15:c>
        </x15:pivotRow>
        <x15:pivotRow count="1">
          <x15:c>
            <x15:v>8565</x15:v>
          </x15:c>
        </x15:pivotRow>
        <x15:pivotRow count="1">
          <x15:c>
            <x15:v>16321</x15:v>
          </x15:c>
        </x15:pivotRow>
        <x15:pivotRow count="1">
          <x15:c>
            <x15:v>1694</x15:v>
          </x15:c>
        </x15:pivotRow>
        <x15:pivotRow count="1">
          <x15:c>
            <x15:v>1220</x15:v>
          </x15:c>
        </x15:pivotRow>
        <x15:pivotRow count="1">
          <x15:c>
            <x15:v>636</x15:v>
          </x15:c>
        </x15:pivotRow>
        <x15:pivotRow count="1">
          <x15:c>
            <x15:v>9265</x15:v>
          </x15:c>
        </x15:pivotRow>
        <x15:pivotRow count="1">
          <x15:c>
            <x15:v>5832</x15:v>
          </x15:c>
        </x15:pivotRow>
        <x15:pivotRow count="1">
          <x15:c>
            <x15:v>14366</x15:v>
          </x15:c>
        </x15:pivotRow>
        <x15:pivotRow count="1">
          <x15:c>
            <x15:v>8719</x15:v>
          </x15:c>
        </x15:pivotRow>
        <x15:pivotRow count="1">
          <x15:c>
            <x15:v>2968</x15:v>
          </x15:c>
        </x15:pivotRow>
        <x15:pivotRow count="1">
          <x15:c>
            <x15:v>6855</x15:v>
          </x15:c>
        </x15:pivotRow>
        <x15:pivotRow count="1">
          <x15:c>
            <x15:v>545</x15:v>
          </x15:c>
        </x15:pivotRow>
        <x15:pivotRow count="1">
          <x15:c>
            <x15:v>3955</x15:v>
          </x15:c>
        </x15:pivotRow>
        <x15:pivotRow count="1">
          <x15:c>
            <x15:v>5544</x15:v>
          </x15:c>
        </x15:pivotRow>
        <x15:pivotRow count="1">
          <x15:c>
            <x15:v>2134</x15:v>
          </x15:c>
        </x15:pivotRow>
        <x15:pivotRow count="1">
          <x15:c>
            <x15:v>31595</x15:v>
          </x15:c>
        </x15:pivotRow>
        <x15:pivotRow count="1">
          <x15:c>
            <x15:v>1484</x15:v>
          </x15:c>
        </x15:pivotRow>
        <x15:pivotRow count="1">
          <x15:c>
            <x15:v>4216</x15:v>
          </x15:c>
        </x15:pivotRow>
        <x15:pivotRow count="1">
          <x15:c>
            <x15:v>4449</x15:v>
          </x15:c>
        </x15:pivotRow>
        <x15:pivotRow count="1">
          <x15:c>
            <x15:v>6885</x15:v>
          </x15:c>
        </x15:pivotRow>
        <x15:pivotRow count="1">
          <x15:c>
            <x15:v>6312</x15:v>
          </x15:c>
        </x15:pivotRow>
        <x15:pivotRow count="1">
          <x15:c>
            <x15:v>11848</x15:v>
          </x15:c>
        </x15:pivotRow>
        <x15:pivotRow count="1">
          <x15:c>
            <x15:v>2560</x15:v>
          </x15:c>
        </x15:pivotRow>
        <x15:pivotRow count="1">
          <x15:c>
            <x15:v>14975</x15:v>
          </x15:c>
        </x15:pivotRow>
        <x15:pivotRow count="1">
          <x15:c>
            <x15:v>7144</x15:v>
          </x15:c>
        </x15:pivotRow>
        <x15:pivotRow count="1">
          <x15:c>
            <x15:v>6040</x15:v>
          </x15:c>
        </x15:pivotRow>
        <x15:pivotRow count="1">
          <x15:c>
            <x15:v>13420</x15:v>
          </x15:c>
        </x15:pivotRow>
        <x15:pivotRow count="1">
          <x15:c>
            <x15:v>3042</x15:v>
          </x15:c>
        </x15:pivotRow>
        <x15:pivotRow count="1">
          <x15:c>
            <x15:v>2460</x15:v>
          </x15:c>
        </x15:pivotRow>
        <x15:pivotRow count="1">
          <x15:c>
            <x15:v>8550</x15:v>
          </x15:c>
        </x15:pivotRow>
        <x15:pivotRow count="1">
          <x15:c>
            <x15:v>4779</x15:v>
          </x15:c>
        </x15:pivotRow>
        <x15:pivotRow count="1">
          <x15:c>
            <x15:v>2388</x15:v>
          </x15:c>
        </x15:pivotRow>
        <x15:pivotRow count="1">
          <x15:c>
            <x15:v>2598</x15:v>
          </x15:c>
        </x15:pivotRow>
        <x15:pivotRow count="1">
          <x15:c>
            <x15:v>14595</x15:v>
          </x15:c>
        </x15:pivotRow>
        <x15:pivotRow count="1">
          <x15:c>
            <x15:v>6948</x15:v>
          </x15:c>
        </x15:pivotRow>
        <x15:pivotRow count="1">
          <x15:c>
            <x15:v>9310</x15:v>
          </x15:c>
        </x15:pivotRow>
        <x15:pivotRow count="1">
          <x15:c>
            <x15:v>558</x15:v>
          </x15:c>
        </x15:pivotRow>
        <x15:pivotRow count="1">
          <x15:c>
            <x15:v>8136</x15:v>
          </x15:c>
        </x15:pivotRow>
        <x15:pivotRow count="1">
          <x15:c>
            <x15:v>24167</x15:v>
          </x15:c>
        </x15:pivotRow>
        <x15:pivotRow count="1">
          <x15:c>
            <x15:v>7649</x15:v>
          </x15:c>
        </x15:pivotRow>
        <x15:pivotRow count="1">
          <x15:c>
            <x15:v>8610</x15:v>
          </x15:c>
        </x15:pivotRow>
        <x15:pivotRow count="1">
          <x15:c>
            <x15:v>3225</x15:v>
          </x15:c>
        </x15:pivotRow>
        <x15:pivotRow count="1">
          <x15:c>
            <x15:v>11683</x15:v>
          </x15:c>
        </x15:pivotRow>
        <x15:pivotRow count="1">
          <x15:c>
            <x15:v>7875</x15:v>
          </x15:c>
        </x15:pivotRow>
        <x15:pivotRow count="1">
          <x15:c>
            <x15:v>13880</x15:v>
          </x15:c>
        </x15:pivotRow>
        <x15:pivotRow count="1">
          <x15:c>
            <x15:v>7683</x15:v>
          </x15:c>
        </x15:pivotRow>
        <x15:pivotRow count="1">
          <x15:c>
            <x15:v>8249</x15:v>
          </x15:c>
        </x15:pivotRow>
        <x15:pivotRow count="1">
          <x15:c>
            <x15:v>8472</x15:v>
          </x15:c>
        </x15:pivotRow>
        <x15:pivotRow count="1">
          <x15:c>
            <x15:v>10849</x15:v>
          </x15:c>
        </x15:pivotRow>
        <x15:pivotRow count="1">
          <x15:c>
            <x15:v>3143</x15:v>
          </x15:c>
        </x15:pivotRow>
        <x15:pivotRow count="1">
          <x15:c>
            <x15:v>2853</x15:v>
          </x15:c>
        </x15:pivotRow>
        <x15:pivotRow count="1">
          <x15:c>
            <x15:v>8822</x15:v>
          </x15:c>
        </x15:pivotRow>
        <x15:pivotRow count="1">
          <x15:c>
            <x15:v>11865</x15:v>
          </x15:c>
        </x15:pivotRow>
        <x15:pivotRow count="1">
          <x15:c>
            <x15:v>21356</x15:v>
          </x15:c>
        </x15:pivotRow>
        <x15:pivotRow count="1">
          <x15:c>
            <x15:v>9480</x15:v>
          </x15:c>
        </x15:pivotRow>
        <x15:pivotRow count="1">
          <x15:c>
            <x15:v>16800</x15:v>
          </x15:c>
        </x15:pivotRow>
        <x15:pivotRow count="1">
          <x15:c>
            <x15:v>1944</x15:v>
          </x15:c>
        </x15:pivotRow>
        <x15:pivotRow count="1">
          <x15:c>
            <x15:v>2522</x15:v>
          </x15:c>
        </x15:pivotRow>
        <x15:pivotRow count="1">
          <x15:c>
            <x15:v>8697</x15:v>
          </x15:c>
        </x15:pivotRow>
        <x15:pivotRow count="1">
          <x15:c>
            <x15:v>229</x15:v>
          </x15:c>
        </x15:pivotRow>
        <x15:pivotRow count="1">
          <x15:c>
            <x15:v>1905</x15:v>
          </x15:c>
        </x15:pivotRow>
        <x15:pivotRow count="1">
          <x15:c>
            <x15:v>2490</x15:v>
          </x15:c>
        </x15:pivotRow>
        <x15:pivotRow count="1">
          <x15:c>
            <x15:v>17650</x15:v>
          </x15:c>
        </x15:pivotRow>
        <x15:pivotRow count="1">
          <x15:c>
            <x15:v>528120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Excel practice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8E168-E9D6-485B-A8E2-CD5E85A01C23}" name="PivotChartTable1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512162058">
        <x15:pivotRow count="1">
          <x15:c>
            <x15:v>153552</x15:v>
          </x15:c>
        </x15:pivotRow>
        <x15:pivotRow count="1">
          <x15:c>
            <x15:v>158978</x15:v>
          </x15:c>
        </x15:pivotRow>
        <x15:pivotRow count="1">
          <x15:c>
            <x15:v>128340</x15:v>
          </x15:c>
        </x15:pivotRow>
        <x15:pivotRow count="1">
          <x15:c>
            <x15:v>87250</x15:v>
          </x15:c>
        </x15:pivotRow>
        <x15:pivotRow count="1">
          <x15:c>
            <x15:v>528120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Excel practice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8E168-E9D6-485B-A8E2-CD5E85A01C23}" name="PivotChar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2090236357">
        <x15:pivotRow count="1">
          <x15:c>
            <x15:v>171871</x15:v>
          </x15:c>
        </x15:pivotRow>
        <x15:pivotRow count="1">
          <x15:c>
            <x15:v>137638</x15:v>
          </x15:c>
        </x15:pivotRow>
        <x15:pivotRow count="1">
          <x15:c>
            <x15:v>110772</x15:v>
          </x15:c>
        </x15:pivotRow>
        <x15:pivotRow count="1">
          <x15:c>
            <x15:v>107839</x15:v>
          </x15:c>
        </x15:pivotRow>
        <x15:pivotRow count="1">
          <x15:c>
            <x15:v>528120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Excel practice2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C826C-5FA7-457F-AE9F-20627B287DA7}" autoFormatId="16" applyNumberFormats="0" applyBorderFormats="0" applyFontFormats="0" applyPatternFormats="0" applyAlignmentFormats="0" applyWidthHeightFormats="0">
  <queryTableRefresh nextId="20" unboundColumnsRight="11">
    <queryTableFields count="1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5B55FC-0183-4EF1-BD2C-F585055E7F6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3F95441-E4E3-4512-A6D3-B208C7E8C22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B13CDB-D9DE-44AA-9CD0-298FEC244D6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08DC3D9-C0A1-4A2F-9AF7-58A6AEA9805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C2202DD-6845-455A-85EA-49AF740D0B5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70FEF01-2E60-445F-9722-A7E253317D79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7" dataBound="0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C48A17D-730E-462B-BB32-51A2D8CECBE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616A1-A8DD-417F-BE4D-4E10C08C59A6}" name="basicformulas" displayName="basicformulas" ref="A1:Q101" tableType="queryTable" totalsRowShown="0">
  <autoFilter ref="A1:Q101" xr:uid="{BF5616A1-A8DD-417F-BE4D-4E10C08C59A6}"/>
  <tableColumns count="17">
    <tableColumn id="1" xr3:uid="{5E98949C-2599-40FE-A2A6-5C2890E31BDB}" uniqueName="1" name="Date" queryTableFieldId="1" dataDxfId="69"/>
    <tableColumn id="2" xr3:uid="{5CF231B3-6BCB-47CE-83D0-932E0C05B4B2}" uniqueName="2" name="Product" queryTableFieldId="2" dataDxfId="68"/>
    <tableColumn id="3" xr3:uid="{0288502D-0128-4E8A-ABB9-74CE33CD1DE4}" uniqueName="3" name="Category" queryTableFieldId="3" dataDxfId="67"/>
    <tableColumn id="4" xr3:uid="{8E1AED89-F49A-4E93-BEC8-0687B5FF4693}" uniqueName="4" name="Region" queryTableFieldId="4" dataDxfId="66"/>
    <tableColumn id="5" xr3:uid="{56DAF4E1-D791-441D-8A7B-07B20E94E0DC}" uniqueName="5" name="Sales Amount" queryTableFieldId="5"/>
    <tableColumn id="6" xr3:uid="{DF27BC26-351F-4FB6-8801-CA7A35CE13D0}" uniqueName="6" name="Quantity Sold" queryTableFieldId="6"/>
    <tableColumn id="8" xr3:uid="{93984C7C-9FCB-41BE-B39E-54645B18BA3B}" uniqueName="8" name="sqrt" queryTableFieldId="8" dataDxfId="65">
      <calculatedColumnFormula>SQRT(F:F)</calculatedColumnFormula>
    </tableColumn>
    <tableColumn id="9" xr3:uid="{592AB1A7-A7F2-451F-BB4B-FF3D08998CFA}" uniqueName="9" name="roung" queryTableFieldId="9" dataDxfId="64">
      <calculatedColumnFormula>ROUND(G:G,1)</calculatedColumnFormula>
    </tableColumn>
    <tableColumn id="10" xr3:uid="{8B23A83D-361D-4C4A-A8B3-CC853B9D4E70}" uniqueName="10" name="sum" queryTableFieldId="10" dataDxfId="63">
      <calculatedColumnFormula>SUM(basicformulas[[#This Row],[sqrt]:[roung]])</calculatedColumnFormula>
    </tableColumn>
    <tableColumn id="11" xr3:uid="{5AD4CAD3-237F-4F64-B4D4-E15F1A1BFB85}" uniqueName="11" name="left" queryTableFieldId="11" dataDxfId="62">
      <calculatedColumnFormula>LEFT(B:B,1)</calculatedColumnFormula>
    </tableColumn>
    <tableColumn id="12" xr3:uid="{79E5487C-7EF0-431E-8311-DB3D5C275D8B}" uniqueName="12" name="right" queryTableFieldId="12" dataDxfId="61">
      <calculatedColumnFormula>RIGHT(basicformulas[[#This Row],[Product]],5)</calculatedColumnFormula>
    </tableColumn>
    <tableColumn id="13" xr3:uid="{46D041DB-1946-4036-AD95-9763BFC4289F}" uniqueName="13" name="average" queryTableFieldId="13" dataDxfId="60">
      <calculatedColumnFormula>AVERAGE(F:F)</calculatedColumnFormula>
    </tableColumn>
    <tableColumn id="14" xr3:uid="{D73049D0-6C53-4182-8C13-C2675DB95CBB}" uniqueName="14" name="min" queryTableFieldId="14" dataDxfId="59">
      <calculatedColumnFormula>MIN(F:F)</calculatedColumnFormula>
    </tableColumn>
    <tableColumn id="15" xr3:uid="{40952FF9-9DB9-4B63-A929-D80C6AD9EA9C}" uniqueName="15" name="max" queryTableFieldId="15" dataDxfId="58">
      <calculatedColumnFormula>MAX(F:F)</calculatedColumnFormula>
    </tableColumn>
    <tableColumn id="16" xr3:uid="{60901457-AAED-482D-B8E8-8D68D558F736}" uniqueName="16" name="median" queryTableFieldId="16" dataDxfId="57">
      <calculatedColumnFormula>MEDIAN(E:E)</calculatedColumnFormula>
    </tableColumn>
    <tableColumn id="17" xr3:uid="{203734F2-FFD2-48C9-B35E-D5045FE2B5DE}" uniqueName="17" name="rank" queryTableFieldId="17" dataDxfId="56">
      <calculatedColumnFormula>RANK(basicformulas[[#This Row],[Quantity Sold]],F:F)</calculatedColumnFormula>
    </tableColumn>
    <tableColumn id="19" xr3:uid="{F682B332-4543-42B7-94F5-5B49A47D1499}" uniqueName="19" name="len" queryTableFieldId="19" dataDxfId="55">
      <calculatedColumnFormula>LEN(B:B)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DD8A4B-A31B-4301-A4EB-AAF21E8B3229}" name="Table1__2" displayName="Table1__2" ref="A1:F101" tableType="queryTable" totalsRowShown="0">
  <autoFilter ref="A1:F101" xr:uid="{93DD8A4B-A31B-4301-A4EB-AAF21E8B3229}"/>
  <tableColumns count="6">
    <tableColumn id="1" xr3:uid="{B4740CF7-434E-48C8-9B64-880D47B3384E}" uniqueName="1" name="Date" queryTableFieldId="1" dataDxfId="54"/>
    <tableColumn id="2" xr3:uid="{B606ED23-8447-4EEF-AAA9-300372F92C36}" uniqueName="2" name="Product" queryTableFieldId="2" dataDxfId="53"/>
    <tableColumn id="3" xr3:uid="{4F793CC9-24BD-4948-832A-EFA4328BD7AC}" uniqueName="3" name="Category" queryTableFieldId="3" dataDxfId="52"/>
    <tableColumn id="4" xr3:uid="{F3B2D610-330E-4135-88C3-7A4D75D02CA6}" uniqueName="4" name="Region" queryTableFieldId="4" dataDxfId="51"/>
    <tableColumn id="5" xr3:uid="{D5D55EBB-7A9A-4E69-BD15-2F28BD2393EB}" uniqueName="5" name="Sales Amount" queryTableFieldId="5"/>
    <tableColumn id="6" xr3:uid="{2F1B9427-6220-40F1-8F9B-5B5949455176}" uniqueName="6" name="Quantity Sol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EDA177-1437-4533-8F0E-621C4836CAD7}" name="Table1__3" displayName="Table1__3" ref="A1:G101" tableType="queryTable" totalsRowShown="0">
  <autoFilter ref="A1:G101" xr:uid="{3DEDA177-1437-4533-8F0E-621C4836CAD7}"/>
  <tableColumns count="7">
    <tableColumn id="1" xr3:uid="{3A008B78-FA59-4D0F-BE56-98A608EAC47D}" uniqueName="1" name="Date" queryTableFieldId="1" dataDxfId="50"/>
    <tableColumn id="2" xr3:uid="{60FDBE76-0D23-4145-A02C-7E6A33425F51}" uniqueName="2" name="Product" queryTableFieldId="2" dataDxfId="49"/>
    <tableColumn id="3" xr3:uid="{F43A21B0-8146-4847-86D7-36F8C01994A7}" uniqueName="3" name="Category" queryTableFieldId="3" dataDxfId="48"/>
    <tableColumn id="4" xr3:uid="{051E61B2-5345-4821-BAD9-93398864EB13}" uniqueName="4" name="Region" queryTableFieldId="4" dataDxfId="47"/>
    <tableColumn id="5" xr3:uid="{B78F6F64-78F7-467F-97EC-DA8E654197D4}" uniqueName="5" name="Sales Amount" queryTableFieldId="5"/>
    <tableColumn id="6" xr3:uid="{7A5617EB-D333-4016-A085-E1194ADE5A7D}" uniqueName="6" name="Quantity Sold" queryTableFieldId="6"/>
    <tableColumn id="7" xr3:uid="{ABF996B4-2E1C-41D9-A161-5A42FC51CDE9}" uniqueName="7" name="sub" queryTableFieldId="7" dataDxfId="46">
      <calculatedColumnFormula>SUBSTITUTE(C:C,"ing","s")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911D6C-DAF1-4601-A352-C75DCCE1BB81}" name="Table57" displayName="Table57" ref="R12:T15" totalsRowShown="0" headerRowDxfId="45">
  <autoFilter ref="R12:T15" xr:uid="{4C911D6C-DAF1-4601-A352-C75DCCE1BB81}"/>
  <tableColumns count="3">
    <tableColumn id="1" xr3:uid="{E3C646DB-61AD-4575-A1AE-94EF888C3E27}" name="FIRSTNAME"/>
    <tableColumn id="2" xr3:uid="{F9A0A712-EE8B-4FD8-BDBD-0B738CB92562}" name="LASTNAME"/>
    <tableColumn id="3" xr3:uid="{EC0CF226-A905-4CB0-A59D-7128345ECB29}" name="FULLNAME">
      <calculatedColumnFormula>_xlfn.CONCAT(R13," ",S13)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C1EF04-2588-4D99-8AFD-C9BF2A9F2FB8}" name="Table5" displayName="Table5" ref="H24:J27" totalsRowShown="0" headerRowDxfId="44">
  <autoFilter ref="H24:J27" xr:uid="{ECC1EF04-2588-4D99-8AFD-C9BF2A9F2FB8}"/>
  <tableColumns count="3">
    <tableColumn id="1" xr3:uid="{CF141DA7-5C4C-49B3-935A-AF69D9D68762}" name="FIRSTNAME"/>
    <tableColumn id="2" xr3:uid="{FFC4B82D-19A4-46C3-A061-436B8D2881A2}" name="LASTNAME"/>
    <tableColumn id="3" xr3:uid="{BDC0A170-A791-454D-98FF-FFEEE640C7F6}" name="FULLNAME">
      <calculatedColumnFormula>_xlfn.CONCAT(H25," ",I25)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490585-E70B-4ECA-A267-471DB644206C}" name="Table1__4" displayName="Table1__4" ref="A1:F101" tableType="queryTable" totalsRowShown="0">
  <autoFilter ref="A1:F101" xr:uid="{B0490585-E70B-4ECA-A267-471DB644206C}"/>
  <tableColumns count="6">
    <tableColumn id="1" xr3:uid="{3B3973B3-FA73-4ED1-B64E-CA8DCCF6148C}" uniqueName="1" name="Date" queryTableFieldId="1" dataDxfId="43"/>
    <tableColumn id="2" xr3:uid="{AC10CA4F-E793-46CD-98CB-FB3C8896B684}" uniqueName="2" name="Product" queryTableFieldId="2" dataDxfId="42"/>
    <tableColumn id="3" xr3:uid="{290031EF-4229-4934-85B0-E00F20AC499F}" uniqueName="3" name="Category" queryTableFieldId="3" dataDxfId="41"/>
    <tableColumn id="4" xr3:uid="{36365261-CC3B-4BAC-90C2-5FB6FBBB0A15}" uniqueName="4" name="Region" queryTableFieldId="4" dataDxfId="40"/>
    <tableColumn id="5" xr3:uid="{3A7646DE-0448-4852-969E-D5FEFDB5368E}" uniqueName="5" name="Sales Amount" queryTableFieldId="5"/>
    <tableColumn id="6" xr3:uid="{0EE31715-483A-4192-9E98-14E634614076}" uniqueName="6" name="Quantity Sold" queryTableFieldId="6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531E75-B2E5-473D-BE43-B22E5DF9F77E}" name="Table1__5" displayName="Table1__5" ref="A1:F101" tableType="queryTable" totalsRowShown="0">
  <autoFilter ref="A1:F101" xr:uid="{C4531E75-B2E5-473D-BE43-B22E5DF9F77E}"/>
  <tableColumns count="6">
    <tableColumn id="1" xr3:uid="{98DACBCC-895A-4050-8340-C855C9B85E9E}" uniqueName="1" name="Date" queryTableFieldId="1" dataDxfId="39"/>
    <tableColumn id="2" xr3:uid="{768CBDE1-2A12-47AC-ACD8-2E97D2286E8D}" uniqueName="2" name="Product" queryTableFieldId="2" dataDxfId="38"/>
    <tableColumn id="3" xr3:uid="{1B3BF3AE-3135-464E-9EC5-FFD63D44B614}" uniqueName="3" name="Category" queryTableFieldId="3" dataDxfId="37"/>
    <tableColumn id="4" xr3:uid="{F9F9EE01-5711-4DE3-AB8B-AC95C3C7D33C}" uniqueName="4" name="Region" queryTableFieldId="4" dataDxfId="36"/>
    <tableColumn id="5" xr3:uid="{7A15B38C-2C22-4E1C-B0E9-7DF344E6D5C4}" uniqueName="5" name="Sales Amount" queryTableFieldId="5"/>
    <tableColumn id="6" xr3:uid="{5CD4A28F-20FB-449E-8D87-471CBF7B524C}" uniqueName="6" name="Quantity Sold" queryTableFieldId="6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9037EA-7ADC-4DC9-8DB5-62C24E190998}" name="Table12" displayName="Table12" ref="J29:M33" totalsRowShown="0">
  <autoFilter ref="J29:M33" xr:uid="{339037EA-7ADC-4DC9-8DB5-62C24E190998}"/>
  <tableColumns count="4">
    <tableColumn id="1" xr3:uid="{D8D5FA6F-AC3F-4931-8895-3E4080BC593F}" name="name"/>
    <tableColumn id="2" xr3:uid="{9BF1697B-E71F-4B47-8D91-D69356B53EF2}" name="marks"/>
    <tableColumn id="3" xr3:uid="{B1A918D9-9C65-499F-AD40-6BBE9335D24D}" name="dept"/>
    <tableColumn id="4" xr3:uid="{1887A3B3-5281-4E7D-B584-0A6A41670B3E}" name="rank" dataDxfId="35">
      <calculatedColumnFormula>_xlfn.RANK.EQ(Table12[[#This Row],[marks]],Table12[marks],0)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C1EE37-E17A-4F69-942F-15692AF33EE1}" name="Table1__6" displayName="Table1__6" ref="A1:F101" tableType="queryTable" totalsRowShown="0">
  <autoFilter ref="A1:F101" xr:uid="{66C1EE37-E17A-4F69-942F-15692AF33EE1}"/>
  <tableColumns count="6">
    <tableColumn id="1" xr3:uid="{41E74CA7-F326-4167-A943-51E9F2936B60}" uniqueName="1" name="Date" queryTableFieldId="1" dataDxfId="34"/>
    <tableColumn id="2" xr3:uid="{3E0688CA-C70C-4EFD-8A14-A008D95D5EE5}" uniqueName="2" name="Product" queryTableFieldId="2" dataDxfId="33"/>
    <tableColumn id="3" xr3:uid="{B6631467-F120-447F-91F1-FF6D27F9971E}" uniqueName="3" name="Category" queryTableFieldId="3" dataDxfId="32"/>
    <tableColumn id="4" xr3:uid="{8960715C-1FBB-48D7-BE4F-E5A07B3E67BD}" uniqueName="4" name="Region" queryTableFieldId="4" dataDxfId="31"/>
    <tableColumn id="5" xr3:uid="{3B0C1EF6-B922-4B3D-89CD-A648CBE0C0F1}" uniqueName="5" name="Sales Amount" queryTableFieldId="5"/>
    <tableColumn id="6" xr3:uid="{1DEE74BE-BA34-48EC-A568-D66582B33877}" uniqueName="6" name="Quantity Sold" queryTableFieldId="6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1B8792-DA19-4AE2-AE93-A539CC888DBD}" name="Table1__7" displayName="Table1__7" ref="A1:G101" tableType="queryTable" totalsRowShown="0">
  <autoFilter ref="A1:G101" xr:uid="{D41B8792-DA19-4AE2-AE93-A539CC888DBD}"/>
  <tableColumns count="7">
    <tableColumn id="1" xr3:uid="{F96D2D5F-76E0-427B-B1F6-0F11D361A6D5}" uniqueName="1" name="Date" queryTableFieldId="1" dataDxfId="30"/>
    <tableColumn id="2" xr3:uid="{3AC8535E-113A-48B5-BF5C-6FB530218D07}" uniqueName="2" name="Product" queryTableFieldId="2" dataDxfId="29"/>
    <tableColumn id="3" xr3:uid="{F37337AE-8A71-4179-B4E3-37EB6B78626E}" uniqueName="3" name="Category" queryTableFieldId="3" dataDxfId="28"/>
    <tableColumn id="4" xr3:uid="{8B09F1CC-3D9A-4BAC-9662-93A3EB81AA7C}" uniqueName="4" name="Region" queryTableFieldId="4" dataDxfId="27"/>
    <tableColumn id="5" xr3:uid="{07707080-5B94-4715-8FBC-DCCB4A40835D}" uniqueName="5" name="Sales Amount" queryTableFieldId="5"/>
    <tableColumn id="6" xr3:uid="{5483FA29-37AF-4B39-8D59-94D79A8022D4}" uniqueName="6" name="Quantity Sold" queryTableFieldId="6"/>
    <tableColumn id="7" xr3:uid="{2731326C-E10C-4C58-8CD5-E81FD451E6A8}" uniqueName="7" name="Region_encode" queryTableFieldId="7" dataDxfId="26">
      <calculatedColumnFormula array="1">_xlfn.SWITCH(Table1__7[[#This Row],[Region]],"North",1,"South",2,"East",3,4)</calculatedColumnFormula>
    </tableColumn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5B24EB-0245-4DC3-B831-757926C3CAE7}" name="Table1__8" displayName="Table1__8" ref="A1:F101" tableType="queryTable" totalsRowShown="0">
  <autoFilter ref="A1:F101" xr:uid="{FF5B24EB-0245-4DC3-B831-757926C3CAE7}"/>
  <sortState xmlns:xlrd2="http://schemas.microsoft.com/office/spreadsheetml/2017/richdata2" ref="A2:F101">
    <sortCondition ref="B15:B101"/>
  </sortState>
  <tableColumns count="6">
    <tableColumn id="1" xr3:uid="{6CBC2523-92F6-4848-8A4E-8FAB8B40892C}" uniqueName="1" name="Date" queryTableFieldId="1" dataDxfId="25"/>
    <tableColumn id="2" xr3:uid="{65D0917F-854F-4044-A8EE-B2349545C5FB}" uniqueName="2" name="Product" queryTableFieldId="2" dataDxfId="24"/>
    <tableColumn id="3" xr3:uid="{E2CB1CBA-E0B2-4E55-8F1E-06C0322B8A6D}" uniqueName="3" name="Category" queryTableFieldId="3" dataDxfId="23"/>
    <tableColumn id="4" xr3:uid="{91AB9828-8C56-44B1-8724-8C26FBB683A6}" uniqueName="4" name="Region" queryTableFieldId="4" dataDxfId="22"/>
    <tableColumn id="5" xr3:uid="{2B44B0DF-CD69-4503-B2C1-010C31926849}" uniqueName="5" name="Sales Amount" queryTableFieldId="5" dataDxfId="21"/>
    <tableColumn id="6" xr3:uid="{2919B4A2-6068-4846-953A-7D821EFD8570}" uniqueName="6" name="Quantity Sold" queryTableFieldId="6" dataDxfId="20"/>
  </tableColumns>
  <tableStyleInfo name="TableStyleMedium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1" totalsRowShown="0" headerRowDxfId="19" headerRowBorderDxfId="18" tableBorderDxfId="17">
  <autoFilter ref="A1:F101" xr:uid="{00000000-0009-0000-0100-000001000000}"/>
  <tableColumns count="6">
    <tableColumn id="1" xr3:uid="{00000000-0010-0000-0000-000001000000}" name="Date" dataDxfId="16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Sales Amount"/>
    <tableColumn id="6" xr3:uid="{00000000-0010-0000-0000-000006000000}" name="Quantity Sol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921BEE-480B-4F36-A609-549F8B4B643D}" name="Table10" displayName="Table10" ref="D9:F13" totalsRowShown="0" headerRowDxfId="15" dataDxfId="14">
  <autoFilter ref="D9:F13" xr:uid="{E9921BEE-480B-4F36-A609-549F8B4B643D}"/>
  <tableColumns count="3">
    <tableColumn id="1" xr3:uid="{516026BE-CCD6-4240-8A7E-48199ABA4F23}" name="company" dataDxfId="13"/>
    <tableColumn id="2" xr3:uid="{233BD92F-BDDA-40EF-9DB0-A1B6F372D0DE}" name="Logo" dataDxfId="12"/>
    <tableColumn id="3" xr3:uid="{368E81FA-782B-44A7-8405-6C2BAA6657D6}" name="Sales" dataDxfId="1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623C-4BC8-4F59-84AB-18B517E314AA}">
  <dimension ref="A1:Y170"/>
  <sheetViews>
    <sheetView topLeftCell="G7" zoomScale="130" zoomScaleNormal="130" workbookViewId="0">
      <selection activeCell="S4" sqref="S4"/>
    </sheetView>
  </sheetViews>
  <sheetFormatPr defaultRowHeight="15" x14ac:dyDescent="0.25"/>
  <cols>
    <col min="1" max="1" width="11.1406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13.140625" bestFit="1" customWidth="1"/>
    <col min="8" max="8" width="8.42578125" bestFit="1" customWidth="1"/>
    <col min="9" max="9" width="13.140625" bestFit="1" customWidth="1"/>
    <col min="10" max="10" width="6.42578125" bestFit="1" customWidth="1"/>
    <col min="11" max="11" width="7.42578125" bestFit="1" customWidth="1"/>
    <col min="12" max="12" width="10.28515625" bestFit="1" customWidth="1"/>
    <col min="13" max="13" width="6.7109375" bestFit="1" customWidth="1"/>
    <col min="14" max="14" width="7" bestFit="1" customWidth="1"/>
    <col min="15" max="15" width="10" bestFit="1" customWidth="1"/>
    <col min="16" max="16" width="7.140625" bestFit="1" customWidth="1"/>
    <col min="17" max="17" width="6.140625" bestFit="1" customWidth="1"/>
    <col min="19" max="19" width="17.28515625" bestFit="1" customWidth="1"/>
    <col min="25" max="25" width="12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91</v>
      </c>
      <c r="I1" t="s">
        <v>89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</row>
    <row r="2" spans="1:25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G2">
        <f t="shared" ref="G2:G33" si="0">SQRT(F:F)</f>
        <v>4.2426406871192848</v>
      </c>
      <c r="H2">
        <f t="shared" ref="H2:H33" si="1">ROUND(G:G,1)</f>
        <v>4.2</v>
      </c>
      <c r="I2">
        <f>SUM(basicformulas[[#This Row],[sqrt]:[roung]])</f>
        <v>8.4426406871192849</v>
      </c>
      <c r="J2" t="str">
        <f t="shared" ref="J2:J33" si="2">LEFT(B:B,1)</f>
        <v>S</v>
      </c>
      <c r="K2" t="str">
        <f>RIGHT(basicformulas[[#This Row],[Product]],5)</f>
        <v>akers</v>
      </c>
      <c r="L2">
        <f t="shared" ref="L2:L33" si="3">AVERAGE(F:F)</f>
        <v>9.9700000000000006</v>
      </c>
      <c r="M2">
        <f t="shared" ref="M2:M33" si="4">MIN(F:F)</f>
        <v>1</v>
      </c>
      <c r="N2">
        <f t="shared" ref="N2:N33" si="5">MAX(F:F)</f>
        <v>20</v>
      </c>
      <c r="O2">
        <f t="shared" ref="O2:O33" si="6">MEDIAN(E:E)</f>
        <v>4299</v>
      </c>
      <c r="P2">
        <f>RANK(basicformulas[[#This Row],[Quantity Sold]],F:F)</f>
        <v>10</v>
      </c>
      <c r="Q2">
        <f t="shared" ref="Q2:Q33" si="7">LEN(B:B)</f>
        <v>8</v>
      </c>
    </row>
    <row r="3" spans="1:25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G3">
        <f t="shared" si="0"/>
        <v>3.872983346207417</v>
      </c>
      <c r="H3">
        <f t="shared" si="1"/>
        <v>3.9</v>
      </c>
      <c r="I3">
        <f>SUM(basicformulas[[#This Row],[sqrt]:[roung]])</f>
        <v>7.7729833462074165</v>
      </c>
      <c r="J3" t="str">
        <f t="shared" si="2"/>
        <v>S</v>
      </c>
      <c r="K3" t="str">
        <f>RIGHT(basicformulas[[#This Row],[Product]],5)</f>
        <v>phone</v>
      </c>
      <c r="L3">
        <f t="shared" si="3"/>
        <v>9.9700000000000006</v>
      </c>
      <c r="M3">
        <f t="shared" si="4"/>
        <v>1</v>
      </c>
      <c r="N3">
        <f t="shared" si="5"/>
        <v>20</v>
      </c>
      <c r="O3">
        <f t="shared" si="6"/>
        <v>4299</v>
      </c>
      <c r="P3">
        <f>RANK(basicformulas[[#This Row],[Quantity Sold]],F:F)</f>
        <v>21</v>
      </c>
      <c r="Q3">
        <f t="shared" si="7"/>
        <v>10</v>
      </c>
    </row>
    <row r="4" spans="1:25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  <c r="G4">
        <f t="shared" si="0"/>
        <v>2.4494897427831779</v>
      </c>
      <c r="H4">
        <f t="shared" si="1"/>
        <v>2.4</v>
      </c>
      <c r="I4">
        <f>SUM(basicformulas[[#This Row],[sqrt]:[roung]])</f>
        <v>4.8494897427831773</v>
      </c>
      <c r="J4" t="str">
        <f t="shared" si="2"/>
        <v>S</v>
      </c>
      <c r="K4" t="str">
        <f>RIGHT(basicformulas[[#This Row],[Product]],5)</f>
        <v>Shirt</v>
      </c>
      <c r="L4">
        <f t="shared" si="3"/>
        <v>9.9700000000000006</v>
      </c>
      <c r="M4">
        <f t="shared" si="4"/>
        <v>1</v>
      </c>
      <c r="N4">
        <f t="shared" si="5"/>
        <v>20</v>
      </c>
      <c r="O4">
        <f t="shared" si="6"/>
        <v>4299</v>
      </c>
      <c r="P4">
        <f>RANK(basicformulas[[#This Row],[Quantity Sold]],F:F)</f>
        <v>68</v>
      </c>
      <c r="Q4">
        <f t="shared" si="7"/>
        <v>5</v>
      </c>
      <c r="Y4" s="3" t="s">
        <v>109</v>
      </c>
    </row>
    <row r="5" spans="1:25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G5">
        <f t="shared" si="0"/>
        <v>2</v>
      </c>
      <c r="H5">
        <f t="shared" si="1"/>
        <v>2</v>
      </c>
      <c r="I5">
        <f>SUM(basicformulas[[#This Row],[sqrt]:[roung]])</f>
        <v>4</v>
      </c>
      <c r="J5" t="str">
        <f t="shared" si="2"/>
        <v>M</v>
      </c>
      <c r="K5" t="str">
        <f>RIGHT(basicformulas[[#This Row],[Product]],5)</f>
        <v>owave</v>
      </c>
      <c r="L5">
        <f t="shared" si="3"/>
        <v>9.9700000000000006</v>
      </c>
      <c r="M5">
        <f t="shared" si="4"/>
        <v>1</v>
      </c>
      <c r="N5">
        <f t="shared" si="5"/>
        <v>20</v>
      </c>
      <c r="O5">
        <f t="shared" si="6"/>
        <v>4299</v>
      </c>
      <c r="P5">
        <f>RANK(basicformulas[[#This Row],[Quantity Sold]],F:F)</f>
        <v>82</v>
      </c>
      <c r="Q5">
        <f t="shared" si="7"/>
        <v>9</v>
      </c>
      <c r="W5" s="3" t="s">
        <v>98</v>
      </c>
      <c r="Y5">
        <f>LEN(T6)</f>
        <v>8</v>
      </c>
    </row>
    <row r="6" spans="1:25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G6">
        <f t="shared" si="0"/>
        <v>3.1622776601683795</v>
      </c>
      <c r="H6">
        <f t="shared" si="1"/>
        <v>3.2</v>
      </c>
      <c r="I6">
        <f>SUM(basicformulas[[#This Row],[sqrt]:[roung]])</f>
        <v>6.3622776601683793</v>
      </c>
      <c r="J6" t="str">
        <f t="shared" si="2"/>
        <v>S</v>
      </c>
      <c r="K6" t="str">
        <f>RIGHT(basicformulas[[#This Row],[Product]],5)</f>
        <v>phone</v>
      </c>
      <c r="L6">
        <f t="shared" si="3"/>
        <v>9.9700000000000006</v>
      </c>
      <c r="M6">
        <f t="shared" si="4"/>
        <v>1</v>
      </c>
      <c r="N6">
        <f t="shared" si="5"/>
        <v>20</v>
      </c>
      <c r="O6">
        <f t="shared" si="6"/>
        <v>4299</v>
      </c>
      <c r="P6">
        <f>RANK(basicformulas[[#This Row],[Quantity Sold]],F:F)</f>
        <v>43</v>
      </c>
      <c r="Q6">
        <f t="shared" si="7"/>
        <v>10</v>
      </c>
      <c r="T6" t="s">
        <v>100</v>
      </c>
      <c r="U6">
        <v>10</v>
      </c>
      <c r="W6">
        <f>RANK(U6,U6:U10)</f>
        <v>5</v>
      </c>
      <c r="Y6">
        <f>LEN(T7)</f>
        <v>5</v>
      </c>
    </row>
    <row r="7" spans="1:25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  <c r="G7">
        <f t="shared" si="0"/>
        <v>2.2360679774997898</v>
      </c>
      <c r="H7">
        <f t="shared" si="1"/>
        <v>2.2000000000000002</v>
      </c>
      <c r="I7">
        <f>SUM(basicformulas[[#This Row],[sqrt]:[roung]])</f>
        <v>4.43606797749979</v>
      </c>
      <c r="J7" t="str">
        <f t="shared" si="2"/>
        <v>M</v>
      </c>
      <c r="K7" t="str">
        <f>RIGHT(basicformulas[[#This Row],[Product]],5)</f>
        <v>owave</v>
      </c>
      <c r="L7">
        <f t="shared" si="3"/>
        <v>9.9700000000000006</v>
      </c>
      <c r="M7">
        <f t="shared" si="4"/>
        <v>1</v>
      </c>
      <c r="N7">
        <f t="shared" si="5"/>
        <v>20</v>
      </c>
      <c r="O7">
        <f t="shared" si="6"/>
        <v>4299</v>
      </c>
      <c r="P7">
        <f>RANK(basicformulas[[#This Row],[Quantity Sold]],F:F)</f>
        <v>72</v>
      </c>
      <c r="Q7">
        <f t="shared" si="7"/>
        <v>9</v>
      </c>
      <c r="T7" t="s">
        <v>101</v>
      </c>
      <c r="U7">
        <v>20</v>
      </c>
      <c r="W7">
        <f t="shared" ref="W7:W9" si="8">RANK(U7,U7:U11)</f>
        <v>4</v>
      </c>
      <c r="Y7">
        <f t="shared" ref="Y7:Y8" si="9">LEN(T8)</f>
        <v>6</v>
      </c>
    </row>
    <row r="8" spans="1:25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G8">
        <f t="shared" si="0"/>
        <v>4.2426406871192848</v>
      </c>
      <c r="H8">
        <f t="shared" si="1"/>
        <v>4.2</v>
      </c>
      <c r="I8">
        <f>SUM(basicformulas[[#This Row],[sqrt]:[roung]])</f>
        <v>8.4426406871192849</v>
      </c>
      <c r="J8" t="str">
        <f t="shared" si="2"/>
        <v>T</v>
      </c>
      <c r="K8" t="str">
        <f>RIGHT(basicformulas[[#This Row],[Product]],5)</f>
        <v>users</v>
      </c>
      <c r="L8">
        <f t="shared" si="3"/>
        <v>9.9700000000000006</v>
      </c>
      <c r="M8">
        <f t="shared" si="4"/>
        <v>1</v>
      </c>
      <c r="N8">
        <f t="shared" si="5"/>
        <v>20</v>
      </c>
      <c r="O8">
        <f t="shared" si="6"/>
        <v>4299</v>
      </c>
      <c r="P8">
        <f>RANK(basicformulas[[#This Row],[Quantity Sold]],F:F)</f>
        <v>10</v>
      </c>
      <c r="Q8">
        <f t="shared" si="7"/>
        <v>8</v>
      </c>
      <c r="T8" t="s">
        <v>102</v>
      </c>
      <c r="U8">
        <v>35.5</v>
      </c>
      <c r="W8">
        <f t="shared" si="8"/>
        <v>3</v>
      </c>
      <c r="Y8">
        <f t="shared" si="9"/>
        <v>4</v>
      </c>
    </row>
    <row r="9" spans="1:25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>
        <f t="shared" si="0"/>
        <v>4.2426406871192848</v>
      </c>
      <c r="H9">
        <f t="shared" si="1"/>
        <v>4.2</v>
      </c>
      <c r="I9">
        <f>SUM(basicformulas[[#This Row],[sqrt]:[roung]])</f>
        <v>8.4426406871192849</v>
      </c>
      <c r="J9" t="str">
        <f t="shared" si="2"/>
        <v>T</v>
      </c>
      <c r="K9" t="str">
        <f>RIGHT(basicformulas[[#This Row],[Product]],5)</f>
        <v>users</v>
      </c>
      <c r="L9">
        <f t="shared" si="3"/>
        <v>9.9700000000000006</v>
      </c>
      <c r="M9">
        <f t="shared" si="4"/>
        <v>1</v>
      </c>
      <c r="N9">
        <f t="shared" si="5"/>
        <v>20</v>
      </c>
      <c r="O9">
        <f t="shared" si="6"/>
        <v>4299</v>
      </c>
      <c r="P9">
        <f>RANK(basicformulas[[#This Row],[Quantity Sold]],F:F)</f>
        <v>10</v>
      </c>
      <c r="Q9">
        <f t="shared" si="7"/>
        <v>8</v>
      </c>
      <c r="T9" t="s">
        <v>103</v>
      </c>
      <c r="U9">
        <v>50</v>
      </c>
      <c r="W9">
        <f t="shared" si="8"/>
        <v>1</v>
      </c>
      <c r="Y9">
        <f>LEN(T9)</f>
        <v>4</v>
      </c>
    </row>
    <row r="10" spans="1:25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>
        <f t="shared" si="0"/>
        <v>2.8284271247461903</v>
      </c>
      <c r="H10">
        <f t="shared" si="1"/>
        <v>2.8</v>
      </c>
      <c r="I10">
        <f>SUM(basicformulas[[#This Row],[sqrt]:[roung]])</f>
        <v>5.6284271247461906</v>
      </c>
      <c r="J10" t="str">
        <f t="shared" si="2"/>
        <v>B</v>
      </c>
      <c r="K10" t="str">
        <f>RIGHT(basicformulas[[#This Row],[Product]],5)</f>
        <v>ender</v>
      </c>
      <c r="L10">
        <f t="shared" si="3"/>
        <v>9.9700000000000006</v>
      </c>
      <c r="M10">
        <f t="shared" si="4"/>
        <v>1</v>
      </c>
      <c r="N10">
        <f t="shared" si="5"/>
        <v>20</v>
      </c>
      <c r="O10">
        <f t="shared" si="6"/>
        <v>4299</v>
      </c>
      <c r="P10">
        <f>RANK(basicformulas[[#This Row],[Quantity Sold]],F:F)</f>
        <v>56</v>
      </c>
      <c r="Q10">
        <f t="shared" si="7"/>
        <v>7</v>
      </c>
      <c r="T10" t="s">
        <v>104</v>
      </c>
      <c r="U10">
        <v>50</v>
      </c>
      <c r="W10">
        <f>RANK(U10,U10:U14)</f>
        <v>1</v>
      </c>
      <c r="Y10">
        <f>LEN(T10)</f>
        <v>7</v>
      </c>
    </row>
    <row r="11" spans="1:25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>
        <f t="shared" si="0"/>
        <v>4.2426406871192848</v>
      </c>
      <c r="H11">
        <f t="shared" si="1"/>
        <v>4.2</v>
      </c>
      <c r="I11">
        <f>SUM(basicformulas[[#This Row],[sqrt]:[roung]])</f>
        <v>8.4426406871192849</v>
      </c>
      <c r="J11" t="str">
        <f t="shared" si="2"/>
        <v>S</v>
      </c>
      <c r="K11" t="str">
        <f>RIGHT(basicformulas[[#This Row],[Product]],5)</f>
        <v>phone</v>
      </c>
      <c r="L11">
        <f t="shared" si="3"/>
        <v>9.9700000000000006</v>
      </c>
      <c r="M11">
        <f t="shared" si="4"/>
        <v>1</v>
      </c>
      <c r="N11">
        <f t="shared" si="5"/>
        <v>20</v>
      </c>
      <c r="O11">
        <f t="shared" si="6"/>
        <v>4299</v>
      </c>
      <c r="P11">
        <f>RANK(basicformulas[[#This Row],[Quantity Sold]],F:F)</f>
        <v>10</v>
      </c>
      <c r="Q11">
        <f t="shared" si="7"/>
        <v>10</v>
      </c>
    </row>
    <row r="12" spans="1:25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>
        <f t="shared" si="0"/>
        <v>3.6055512754639891</v>
      </c>
      <c r="H12">
        <f t="shared" si="1"/>
        <v>3.6</v>
      </c>
      <c r="I12">
        <f>SUM(basicformulas[[#This Row],[sqrt]:[roung]])</f>
        <v>7.2055512754639892</v>
      </c>
      <c r="J12" t="str">
        <f t="shared" si="2"/>
        <v>S</v>
      </c>
      <c r="K12" t="str">
        <f>RIGHT(basicformulas[[#This Row],[Product]],5)</f>
        <v>Shirt</v>
      </c>
      <c r="L12">
        <f t="shared" si="3"/>
        <v>9.9700000000000006</v>
      </c>
      <c r="M12">
        <f t="shared" si="4"/>
        <v>1</v>
      </c>
      <c r="N12">
        <f t="shared" si="5"/>
        <v>20</v>
      </c>
      <c r="O12">
        <f t="shared" si="6"/>
        <v>4299</v>
      </c>
      <c r="P12">
        <f>RANK(basicformulas[[#This Row],[Quantity Sold]],F:F)</f>
        <v>29</v>
      </c>
      <c r="Q12">
        <f t="shared" si="7"/>
        <v>5</v>
      </c>
      <c r="T12" s="3" t="s">
        <v>95</v>
      </c>
      <c r="U12">
        <f>MIN(U6:U10)</f>
        <v>10</v>
      </c>
      <c r="X12" s="3" t="s">
        <v>107</v>
      </c>
      <c r="Y12" s="3" t="s">
        <v>108</v>
      </c>
    </row>
    <row r="13" spans="1:25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>
        <f t="shared" si="0"/>
        <v>3.6055512754639891</v>
      </c>
      <c r="H13">
        <f t="shared" si="1"/>
        <v>3.6</v>
      </c>
      <c r="I13">
        <f>SUM(basicformulas[[#This Row],[sqrt]:[roung]])</f>
        <v>7.2055512754639892</v>
      </c>
      <c r="J13" t="str">
        <f t="shared" si="2"/>
        <v>S</v>
      </c>
      <c r="K13" t="str">
        <f>RIGHT(basicformulas[[#This Row],[Product]],5)</f>
        <v>Shirt</v>
      </c>
      <c r="L13">
        <f t="shared" si="3"/>
        <v>9.9700000000000006</v>
      </c>
      <c r="M13">
        <f t="shared" si="4"/>
        <v>1</v>
      </c>
      <c r="N13">
        <f t="shared" si="5"/>
        <v>20</v>
      </c>
      <c r="O13">
        <f t="shared" si="6"/>
        <v>4299</v>
      </c>
      <c r="P13">
        <f>RANK(basicformulas[[#This Row],[Quantity Sold]],F:F)</f>
        <v>29</v>
      </c>
      <c r="Q13">
        <f t="shared" si="7"/>
        <v>5</v>
      </c>
      <c r="T13" s="3" t="s">
        <v>96</v>
      </c>
      <c r="U13">
        <f>MAX(U6:U10)</f>
        <v>50</v>
      </c>
      <c r="X13" t="str">
        <f>LEFT(T6,1)</f>
        <v>s</v>
      </c>
      <c r="Y13" t="str">
        <f>RIGHT(T6,1)</f>
        <v>h</v>
      </c>
    </row>
    <row r="14" spans="1:25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>
        <f t="shared" si="0"/>
        <v>3.6055512754639891</v>
      </c>
      <c r="H14">
        <f t="shared" si="1"/>
        <v>3.6</v>
      </c>
      <c r="I14">
        <f>SUM(basicformulas[[#This Row],[sqrt]:[roung]])</f>
        <v>7.2055512754639892</v>
      </c>
      <c r="J14" t="str">
        <f t="shared" si="2"/>
        <v>S</v>
      </c>
      <c r="K14" t="str">
        <f>RIGHT(basicformulas[[#This Row],[Product]],5)</f>
        <v>Shirt</v>
      </c>
      <c r="L14">
        <f t="shared" si="3"/>
        <v>9.9700000000000006</v>
      </c>
      <c r="M14">
        <f t="shared" si="4"/>
        <v>1</v>
      </c>
      <c r="N14">
        <f t="shared" si="5"/>
        <v>20</v>
      </c>
      <c r="O14">
        <f t="shared" si="6"/>
        <v>4299</v>
      </c>
      <c r="P14">
        <f>RANK(basicformulas[[#This Row],[Quantity Sold]],F:F)</f>
        <v>29</v>
      </c>
      <c r="Q14">
        <f t="shared" si="7"/>
        <v>5</v>
      </c>
      <c r="T14" s="3" t="s">
        <v>94</v>
      </c>
      <c r="U14">
        <f>AVERAGE(U6:U10)</f>
        <v>33.1</v>
      </c>
      <c r="X14" t="str">
        <f t="shared" ref="X14:X17" si="10">LEFT(T7,1)</f>
        <v>v</v>
      </c>
      <c r="Y14" t="str">
        <f t="shared" ref="Y14:Y17" si="11">RIGHT(T7,1)</f>
        <v>y</v>
      </c>
    </row>
    <row r="15" spans="1:25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>
        <f t="shared" si="0"/>
        <v>3</v>
      </c>
      <c r="H15">
        <f t="shared" si="1"/>
        <v>3</v>
      </c>
      <c r="I15">
        <f>SUM(basicformulas[[#This Row],[sqrt]:[roung]])</f>
        <v>6</v>
      </c>
      <c r="J15" t="str">
        <f t="shared" si="2"/>
        <v>M</v>
      </c>
      <c r="K15" t="str">
        <f>RIGHT(basicformulas[[#This Row],[Product]],5)</f>
        <v>owave</v>
      </c>
      <c r="L15">
        <f t="shared" si="3"/>
        <v>9.9700000000000006</v>
      </c>
      <c r="M15">
        <f t="shared" si="4"/>
        <v>1</v>
      </c>
      <c r="N15">
        <f t="shared" si="5"/>
        <v>20</v>
      </c>
      <c r="O15">
        <f t="shared" si="6"/>
        <v>4299</v>
      </c>
      <c r="P15">
        <f>RANK(basicformulas[[#This Row],[Quantity Sold]],F:F)</f>
        <v>49</v>
      </c>
      <c r="Q15">
        <f t="shared" si="7"/>
        <v>9</v>
      </c>
      <c r="T15" s="3" t="s">
        <v>105</v>
      </c>
      <c r="U15">
        <f>MEDIAN(U6:U10)</f>
        <v>35.5</v>
      </c>
      <c r="X15" t="str">
        <f t="shared" si="10"/>
        <v>n</v>
      </c>
      <c r="Y15" t="str">
        <f t="shared" si="11"/>
        <v>a</v>
      </c>
    </row>
    <row r="16" spans="1:25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>
        <f t="shared" si="0"/>
        <v>1</v>
      </c>
      <c r="H16">
        <f t="shared" si="1"/>
        <v>1</v>
      </c>
      <c r="I16">
        <f>SUM(basicformulas[[#This Row],[sqrt]:[roung]])</f>
        <v>2</v>
      </c>
      <c r="J16" t="str">
        <f t="shared" si="2"/>
        <v>B</v>
      </c>
      <c r="K16" t="str">
        <f>RIGHT(basicformulas[[#This Row],[Product]],5)</f>
        <v>Boots</v>
      </c>
      <c r="L16">
        <f t="shared" si="3"/>
        <v>9.9700000000000006</v>
      </c>
      <c r="M16">
        <f t="shared" si="4"/>
        <v>1</v>
      </c>
      <c r="N16">
        <f t="shared" si="5"/>
        <v>20</v>
      </c>
      <c r="O16">
        <f t="shared" si="6"/>
        <v>4299</v>
      </c>
      <c r="P16">
        <f>RANK(basicformulas[[#This Row],[Quantity Sold]],F:F)</f>
        <v>97</v>
      </c>
      <c r="Q16">
        <f t="shared" si="7"/>
        <v>5</v>
      </c>
      <c r="T16" s="3" t="s">
        <v>106</v>
      </c>
      <c r="U16">
        <f>ROUND(U14,0)</f>
        <v>33</v>
      </c>
      <c r="X16" t="str">
        <f t="shared" si="10"/>
        <v>u</v>
      </c>
      <c r="Y16" t="str">
        <f t="shared" si="11"/>
        <v>y</v>
      </c>
    </row>
    <row r="17" spans="1:25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>
        <f t="shared" si="0"/>
        <v>2.6457513110645907</v>
      </c>
      <c r="H17">
        <f t="shared" si="1"/>
        <v>2.6</v>
      </c>
      <c r="I17">
        <f>SUM(basicformulas[[#This Row],[sqrt]:[roung]])</f>
        <v>5.2457513110645912</v>
      </c>
      <c r="J17" t="str">
        <f t="shared" si="2"/>
        <v>L</v>
      </c>
      <c r="K17" t="str">
        <f>RIGHT(basicformulas[[#This Row],[Product]],5)</f>
        <v>aptop</v>
      </c>
      <c r="L17">
        <f t="shared" si="3"/>
        <v>9.9700000000000006</v>
      </c>
      <c r="M17">
        <f t="shared" si="4"/>
        <v>1</v>
      </c>
      <c r="N17">
        <f t="shared" si="5"/>
        <v>20</v>
      </c>
      <c r="O17">
        <f t="shared" si="6"/>
        <v>4299</v>
      </c>
      <c r="P17">
        <f>RANK(basicformulas[[#This Row],[Quantity Sold]],F:F)</f>
        <v>63</v>
      </c>
      <c r="Q17">
        <f t="shared" si="7"/>
        <v>6</v>
      </c>
      <c r="X17" t="str">
        <f t="shared" si="10"/>
        <v>v</v>
      </c>
      <c r="Y17" t="str">
        <f t="shared" si="11"/>
        <v>h</v>
      </c>
    </row>
    <row r="18" spans="1:25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>
        <f t="shared" si="0"/>
        <v>1</v>
      </c>
      <c r="H18">
        <f t="shared" si="1"/>
        <v>1</v>
      </c>
      <c r="I18">
        <f>SUM(basicformulas[[#This Row],[sqrt]:[roung]])</f>
        <v>2</v>
      </c>
      <c r="J18" t="str">
        <f t="shared" si="2"/>
        <v>B</v>
      </c>
      <c r="K18" t="str">
        <f>RIGHT(basicformulas[[#This Row],[Product]],5)</f>
        <v>ender</v>
      </c>
      <c r="L18">
        <f t="shared" si="3"/>
        <v>9.9700000000000006</v>
      </c>
      <c r="M18">
        <f t="shared" si="4"/>
        <v>1</v>
      </c>
      <c r="N18">
        <f t="shared" si="5"/>
        <v>20</v>
      </c>
      <c r="O18">
        <f t="shared" si="6"/>
        <v>4299</v>
      </c>
      <c r="P18">
        <f>RANK(basicformulas[[#This Row],[Quantity Sold]],F:F)</f>
        <v>97</v>
      </c>
      <c r="Q18">
        <f t="shared" si="7"/>
        <v>7</v>
      </c>
      <c r="T18" s="3" t="s">
        <v>90</v>
      </c>
      <c r="U18">
        <f>SQRT(U16)</f>
        <v>5.7445626465380286</v>
      </c>
    </row>
    <row r="19" spans="1:25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>
        <f t="shared" si="0"/>
        <v>3.3166247903553998</v>
      </c>
      <c r="H19">
        <f t="shared" si="1"/>
        <v>3.3</v>
      </c>
      <c r="I19">
        <f>SUM(basicformulas[[#This Row],[sqrt]:[roung]])</f>
        <v>6.6166247903553996</v>
      </c>
      <c r="J19" t="str">
        <f t="shared" si="2"/>
        <v>M</v>
      </c>
      <c r="K19" t="str">
        <f>RIGHT(basicformulas[[#This Row],[Product]],5)</f>
        <v>owave</v>
      </c>
      <c r="L19">
        <f t="shared" si="3"/>
        <v>9.9700000000000006</v>
      </c>
      <c r="M19">
        <f t="shared" si="4"/>
        <v>1</v>
      </c>
      <c r="N19">
        <f t="shared" si="5"/>
        <v>20</v>
      </c>
      <c r="O19">
        <f t="shared" si="6"/>
        <v>4299</v>
      </c>
      <c r="P19">
        <f>RANK(basicformulas[[#This Row],[Quantity Sold]],F:F)</f>
        <v>39</v>
      </c>
      <c r="Q19">
        <f t="shared" si="7"/>
        <v>9</v>
      </c>
    </row>
    <row r="20" spans="1:25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>
        <f t="shared" si="0"/>
        <v>3</v>
      </c>
      <c r="H20">
        <f t="shared" si="1"/>
        <v>3</v>
      </c>
      <c r="I20">
        <f>SUM(basicformulas[[#This Row],[sqrt]:[roung]])</f>
        <v>6</v>
      </c>
      <c r="J20" t="str">
        <f t="shared" si="2"/>
        <v>S</v>
      </c>
      <c r="K20" t="str">
        <f>RIGHT(basicformulas[[#This Row],[Product]],5)</f>
        <v>phone</v>
      </c>
      <c r="L20">
        <f t="shared" si="3"/>
        <v>9.9700000000000006</v>
      </c>
      <c r="M20">
        <f t="shared" si="4"/>
        <v>1</v>
      </c>
      <c r="N20">
        <f t="shared" si="5"/>
        <v>20</v>
      </c>
      <c r="O20">
        <f t="shared" si="6"/>
        <v>4299</v>
      </c>
      <c r="P20">
        <f>RANK(basicformulas[[#This Row],[Quantity Sold]],F:F)</f>
        <v>49</v>
      </c>
      <c r="Q20">
        <f t="shared" si="7"/>
        <v>10</v>
      </c>
    </row>
    <row r="21" spans="1:25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>
        <f t="shared" si="0"/>
        <v>3.1622776601683795</v>
      </c>
      <c r="H21">
        <f t="shared" si="1"/>
        <v>3.2</v>
      </c>
      <c r="I21">
        <f>SUM(basicformulas[[#This Row],[sqrt]:[roung]])</f>
        <v>6.3622776601683793</v>
      </c>
      <c r="J21" t="str">
        <f t="shared" si="2"/>
        <v>L</v>
      </c>
      <c r="K21" t="str">
        <f>RIGHT(basicformulas[[#This Row],[Product]],5)</f>
        <v>aptop</v>
      </c>
      <c r="L21">
        <f t="shared" si="3"/>
        <v>9.9700000000000006</v>
      </c>
      <c r="M21">
        <f t="shared" si="4"/>
        <v>1</v>
      </c>
      <c r="N21">
        <f t="shared" si="5"/>
        <v>20</v>
      </c>
      <c r="O21">
        <f t="shared" si="6"/>
        <v>4299</v>
      </c>
      <c r="P21">
        <f>RANK(basicformulas[[#This Row],[Quantity Sold]],F:F)</f>
        <v>43</v>
      </c>
      <c r="Q21">
        <f t="shared" si="7"/>
        <v>6</v>
      </c>
      <c r="T21" s="3" t="s">
        <v>89</v>
      </c>
      <c r="U21">
        <f>SUM(U6:U10)</f>
        <v>165.5</v>
      </c>
      <c r="W21" t="s">
        <v>110</v>
      </c>
    </row>
    <row r="22" spans="1:25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>
        <f t="shared" si="0"/>
        <v>2</v>
      </c>
      <c r="H22">
        <f t="shared" si="1"/>
        <v>2</v>
      </c>
      <c r="I22">
        <f>SUM(basicformulas[[#This Row],[sqrt]:[roung]])</f>
        <v>4</v>
      </c>
      <c r="J22" t="str">
        <f t="shared" si="2"/>
        <v>S</v>
      </c>
      <c r="K22" t="str">
        <f>RIGHT(basicformulas[[#This Row],[Product]],5)</f>
        <v>Shirt</v>
      </c>
      <c r="L22">
        <f t="shared" si="3"/>
        <v>9.9700000000000006</v>
      </c>
      <c r="M22">
        <f t="shared" si="4"/>
        <v>1</v>
      </c>
      <c r="N22">
        <f t="shared" si="5"/>
        <v>20</v>
      </c>
      <c r="O22">
        <f t="shared" si="6"/>
        <v>4299</v>
      </c>
      <c r="P22">
        <f>RANK(basicformulas[[#This Row],[Quantity Sold]],F:F)</f>
        <v>82</v>
      </c>
      <c r="Q22">
        <f t="shared" si="7"/>
        <v>5</v>
      </c>
      <c r="W22" t="b">
        <f>V6=_xlfn.RANK.AVG(U6,U6:U10)</f>
        <v>0</v>
      </c>
    </row>
    <row r="23" spans="1:25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>
        <f t="shared" si="0"/>
        <v>3.872983346207417</v>
      </c>
      <c r="H23">
        <f t="shared" si="1"/>
        <v>3.9</v>
      </c>
      <c r="I23">
        <f>SUM(basicformulas[[#This Row],[sqrt]:[roung]])</f>
        <v>7.7729833462074165</v>
      </c>
      <c r="J23" t="str">
        <f t="shared" si="2"/>
        <v>M</v>
      </c>
      <c r="K23" t="str">
        <f>RIGHT(basicformulas[[#This Row],[Product]],5)</f>
        <v>owave</v>
      </c>
      <c r="L23">
        <f t="shared" si="3"/>
        <v>9.9700000000000006</v>
      </c>
      <c r="M23">
        <f t="shared" si="4"/>
        <v>1</v>
      </c>
      <c r="N23">
        <f t="shared" si="5"/>
        <v>20</v>
      </c>
      <c r="O23">
        <f t="shared" si="6"/>
        <v>4299</v>
      </c>
      <c r="P23">
        <f>RANK(basicformulas[[#This Row],[Quantity Sold]],F:F)</f>
        <v>21</v>
      </c>
      <c r="Q23">
        <f t="shared" si="7"/>
        <v>9</v>
      </c>
    </row>
    <row r="24" spans="1:25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>
        <f t="shared" si="0"/>
        <v>3</v>
      </c>
      <c r="H24">
        <f t="shared" si="1"/>
        <v>3</v>
      </c>
      <c r="I24">
        <f>SUM(basicformulas[[#This Row],[sqrt]:[roung]])</f>
        <v>6</v>
      </c>
      <c r="J24" t="str">
        <f t="shared" si="2"/>
        <v>B</v>
      </c>
      <c r="K24" t="str">
        <f>RIGHT(basicformulas[[#This Row],[Product]],5)</f>
        <v>ender</v>
      </c>
      <c r="L24">
        <f t="shared" si="3"/>
        <v>9.9700000000000006</v>
      </c>
      <c r="M24">
        <f t="shared" si="4"/>
        <v>1</v>
      </c>
      <c r="N24">
        <f t="shared" si="5"/>
        <v>20</v>
      </c>
      <c r="O24">
        <f t="shared" si="6"/>
        <v>4299</v>
      </c>
      <c r="P24">
        <f>RANK(basicformulas[[#This Row],[Quantity Sold]],F:F)</f>
        <v>49</v>
      </c>
      <c r="Q24">
        <f t="shared" si="7"/>
        <v>7</v>
      </c>
    </row>
    <row r="25" spans="1:25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G25">
        <f t="shared" si="0"/>
        <v>2.4494897427831779</v>
      </c>
      <c r="H25">
        <f t="shared" si="1"/>
        <v>2.4</v>
      </c>
      <c r="I25">
        <f>SUM(basicformulas[[#This Row],[sqrt]:[roung]])</f>
        <v>4.8494897427831773</v>
      </c>
      <c r="J25" t="str">
        <f t="shared" si="2"/>
        <v>S</v>
      </c>
      <c r="K25" t="str">
        <f>RIGHT(basicformulas[[#This Row],[Product]],5)</f>
        <v>phone</v>
      </c>
      <c r="L25">
        <f t="shared" si="3"/>
        <v>9.9700000000000006</v>
      </c>
      <c r="M25">
        <f t="shared" si="4"/>
        <v>1</v>
      </c>
      <c r="N25">
        <f t="shared" si="5"/>
        <v>20</v>
      </c>
      <c r="O25">
        <f t="shared" si="6"/>
        <v>4299</v>
      </c>
      <c r="P25">
        <f>RANK(basicformulas[[#This Row],[Quantity Sold]],F:F)</f>
        <v>68</v>
      </c>
      <c r="Q25">
        <f t="shared" si="7"/>
        <v>10</v>
      </c>
      <c r="S25" s="3" t="s">
        <v>112</v>
      </c>
      <c r="T25" t="str" cm="1">
        <f t="array" ref="T25">_xlfn._xlws.FILTER(T6:T10,LEFT(T6:T10,1)="n")</f>
        <v>nandha</v>
      </c>
    </row>
    <row r="26" spans="1:25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G26">
        <f t="shared" si="0"/>
        <v>2</v>
      </c>
      <c r="H26">
        <f t="shared" si="1"/>
        <v>2</v>
      </c>
      <c r="I26">
        <f>SUM(basicformulas[[#This Row],[sqrt]:[roung]])</f>
        <v>4</v>
      </c>
      <c r="J26" t="str">
        <f t="shared" si="2"/>
        <v>S</v>
      </c>
      <c r="K26" t="str">
        <f>RIGHT(basicformulas[[#This Row],[Product]],5)</f>
        <v>phone</v>
      </c>
      <c r="L26">
        <f t="shared" si="3"/>
        <v>9.9700000000000006</v>
      </c>
      <c r="M26">
        <f t="shared" si="4"/>
        <v>1</v>
      </c>
      <c r="N26">
        <f t="shared" si="5"/>
        <v>20</v>
      </c>
      <c r="O26">
        <f t="shared" si="6"/>
        <v>4299</v>
      </c>
      <c r="P26">
        <f>RANK(basicformulas[[#This Row],[Quantity Sold]],F:F)</f>
        <v>82</v>
      </c>
      <c r="Q26">
        <f t="shared" si="7"/>
        <v>10</v>
      </c>
    </row>
    <row r="27" spans="1:25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G27">
        <f t="shared" si="0"/>
        <v>2.4494897427831779</v>
      </c>
      <c r="H27">
        <f t="shared" si="1"/>
        <v>2.4</v>
      </c>
      <c r="I27">
        <f>SUM(basicformulas[[#This Row],[sqrt]:[roung]])</f>
        <v>4.8494897427831773</v>
      </c>
      <c r="J27" t="str">
        <f t="shared" si="2"/>
        <v>B</v>
      </c>
      <c r="K27" t="str">
        <f>RIGHT(basicformulas[[#This Row],[Product]],5)</f>
        <v>ender</v>
      </c>
      <c r="L27">
        <f t="shared" si="3"/>
        <v>9.9700000000000006</v>
      </c>
      <c r="M27">
        <f t="shared" si="4"/>
        <v>1</v>
      </c>
      <c r="N27">
        <f t="shared" si="5"/>
        <v>20</v>
      </c>
      <c r="O27">
        <f t="shared" si="6"/>
        <v>4299</v>
      </c>
      <c r="P27">
        <f>RANK(basicformulas[[#This Row],[Quantity Sold]],F:F)</f>
        <v>68</v>
      </c>
      <c r="Q27">
        <f t="shared" si="7"/>
        <v>7</v>
      </c>
    </row>
    <row r="28" spans="1:25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G28">
        <f t="shared" si="0"/>
        <v>1.7320508075688772</v>
      </c>
      <c r="H28">
        <f t="shared" si="1"/>
        <v>1.7</v>
      </c>
      <c r="I28">
        <f>SUM(basicformulas[[#This Row],[sqrt]:[roung]])</f>
        <v>3.4320508075688769</v>
      </c>
      <c r="J28" t="str">
        <f t="shared" si="2"/>
        <v>T</v>
      </c>
      <c r="K28" t="str">
        <f>RIGHT(basicformulas[[#This Row],[Product]],5)</f>
        <v>users</v>
      </c>
      <c r="L28">
        <f t="shared" si="3"/>
        <v>9.9700000000000006</v>
      </c>
      <c r="M28">
        <f t="shared" si="4"/>
        <v>1</v>
      </c>
      <c r="N28">
        <f t="shared" si="5"/>
        <v>20</v>
      </c>
      <c r="O28">
        <f t="shared" si="6"/>
        <v>4299</v>
      </c>
      <c r="P28">
        <f>RANK(basicformulas[[#This Row],[Quantity Sold]],F:F)</f>
        <v>88</v>
      </c>
      <c r="Q28">
        <f t="shared" si="7"/>
        <v>8</v>
      </c>
    </row>
    <row r="29" spans="1:25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G29">
        <f t="shared" si="0"/>
        <v>3.7416573867739413</v>
      </c>
      <c r="H29">
        <f t="shared" si="1"/>
        <v>3.7</v>
      </c>
      <c r="I29">
        <f>SUM(basicformulas[[#This Row],[sqrt]:[roung]])</f>
        <v>7.441657386773942</v>
      </c>
      <c r="J29" t="str">
        <f t="shared" si="2"/>
        <v>B</v>
      </c>
      <c r="K29" t="str">
        <f>RIGHT(basicformulas[[#This Row],[Product]],5)</f>
        <v>ender</v>
      </c>
      <c r="L29">
        <f t="shared" si="3"/>
        <v>9.9700000000000006</v>
      </c>
      <c r="M29">
        <f t="shared" si="4"/>
        <v>1</v>
      </c>
      <c r="N29">
        <f t="shared" si="5"/>
        <v>20</v>
      </c>
      <c r="O29">
        <f t="shared" si="6"/>
        <v>4299</v>
      </c>
      <c r="P29">
        <f>RANK(basicformulas[[#This Row],[Quantity Sold]],F:F)</f>
        <v>27</v>
      </c>
      <c r="Q29">
        <f t="shared" si="7"/>
        <v>7</v>
      </c>
    </row>
    <row r="30" spans="1:25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G30">
        <f t="shared" si="0"/>
        <v>2.4494897427831779</v>
      </c>
      <c r="H30">
        <f t="shared" si="1"/>
        <v>2.4</v>
      </c>
      <c r="I30">
        <f>SUM(basicformulas[[#This Row],[sqrt]:[roung]])</f>
        <v>4.8494897427831773</v>
      </c>
      <c r="J30" t="str">
        <f t="shared" si="2"/>
        <v>B</v>
      </c>
      <c r="K30" t="str">
        <f>RIGHT(basicformulas[[#This Row],[Product]],5)</f>
        <v>ender</v>
      </c>
      <c r="L30">
        <f t="shared" si="3"/>
        <v>9.9700000000000006</v>
      </c>
      <c r="M30">
        <f t="shared" si="4"/>
        <v>1</v>
      </c>
      <c r="N30">
        <f t="shared" si="5"/>
        <v>20</v>
      </c>
      <c r="O30">
        <f t="shared" si="6"/>
        <v>4299</v>
      </c>
      <c r="P30">
        <f>RANK(basicformulas[[#This Row],[Quantity Sold]],F:F)</f>
        <v>68</v>
      </c>
      <c r="Q30">
        <f t="shared" si="7"/>
        <v>7</v>
      </c>
    </row>
    <row r="31" spans="1:25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G31">
        <f t="shared" si="0"/>
        <v>1.7320508075688772</v>
      </c>
      <c r="H31">
        <f t="shared" si="1"/>
        <v>1.7</v>
      </c>
      <c r="I31">
        <f>SUM(basicformulas[[#This Row],[sqrt]:[roung]])</f>
        <v>3.4320508075688769</v>
      </c>
      <c r="J31" t="str">
        <f t="shared" si="2"/>
        <v>B</v>
      </c>
      <c r="K31" t="str">
        <f>RIGHT(basicformulas[[#This Row],[Product]],5)</f>
        <v>ender</v>
      </c>
      <c r="L31">
        <f t="shared" si="3"/>
        <v>9.9700000000000006</v>
      </c>
      <c r="M31">
        <f t="shared" si="4"/>
        <v>1</v>
      </c>
      <c r="N31">
        <f t="shared" si="5"/>
        <v>20</v>
      </c>
      <c r="O31">
        <f t="shared" si="6"/>
        <v>4299</v>
      </c>
      <c r="P31">
        <f>RANK(basicformulas[[#This Row],[Quantity Sold]],F:F)</f>
        <v>88</v>
      </c>
      <c r="Q31">
        <f t="shared" si="7"/>
        <v>7</v>
      </c>
    </row>
    <row r="32" spans="1:25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G32">
        <f t="shared" si="0"/>
        <v>4.1231056256176606</v>
      </c>
      <c r="H32">
        <f t="shared" si="1"/>
        <v>4.0999999999999996</v>
      </c>
      <c r="I32">
        <f>SUM(basicformulas[[#This Row],[sqrt]:[roung]])</f>
        <v>8.2231056256176593</v>
      </c>
      <c r="J32" t="str">
        <f t="shared" si="2"/>
        <v>S</v>
      </c>
      <c r="K32" t="str">
        <f>RIGHT(basicformulas[[#This Row],[Product]],5)</f>
        <v>akers</v>
      </c>
      <c r="L32">
        <f t="shared" si="3"/>
        <v>9.9700000000000006</v>
      </c>
      <c r="M32">
        <f t="shared" si="4"/>
        <v>1</v>
      </c>
      <c r="N32">
        <f t="shared" si="5"/>
        <v>20</v>
      </c>
      <c r="O32">
        <f t="shared" si="6"/>
        <v>4299</v>
      </c>
      <c r="P32">
        <f>RANK(basicformulas[[#This Row],[Quantity Sold]],F:F)</f>
        <v>16</v>
      </c>
      <c r="Q32">
        <f t="shared" si="7"/>
        <v>8</v>
      </c>
    </row>
    <row r="33" spans="1:17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G33">
        <f t="shared" si="0"/>
        <v>3.3166247903553998</v>
      </c>
      <c r="H33">
        <f t="shared" si="1"/>
        <v>3.3</v>
      </c>
      <c r="I33">
        <f>SUM(basicformulas[[#This Row],[sqrt]:[roung]])</f>
        <v>6.6166247903553996</v>
      </c>
      <c r="J33" t="str">
        <f t="shared" si="2"/>
        <v>T</v>
      </c>
      <c r="K33" t="str">
        <f>RIGHT(basicformulas[[#This Row],[Product]],5)</f>
        <v>users</v>
      </c>
      <c r="L33">
        <f t="shared" si="3"/>
        <v>9.9700000000000006</v>
      </c>
      <c r="M33">
        <f t="shared" si="4"/>
        <v>1</v>
      </c>
      <c r="N33">
        <f t="shared" si="5"/>
        <v>20</v>
      </c>
      <c r="O33">
        <f t="shared" si="6"/>
        <v>4299</v>
      </c>
      <c r="P33">
        <f>RANK(basicformulas[[#This Row],[Quantity Sold]],F:F)</f>
        <v>39</v>
      </c>
      <c r="Q33">
        <f t="shared" si="7"/>
        <v>8</v>
      </c>
    </row>
    <row r="34" spans="1:1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G34">
        <f t="shared" ref="G34:G65" si="12">SQRT(F:F)</f>
        <v>1</v>
      </c>
      <c r="H34">
        <f t="shared" ref="H34:H65" si="13">ROUND(G:G,1)</f>
        <v>1</v>
      </c>
      <c r="I34">
        <f>SUM(basicformulas[[#This Row],[sqrt]:[roung]])</f>
        <v>2</v>
      </c>
      <c r="J34" t="str">
        <f t="shared" ref="J34:J65" si="14">LEFT(B:B,1)</f>
        <v>B</v>
      </c>
      <c r="K34" t="str">
        <f>RIGHT(basicformulas[[#This Row],[Product]],5)</f>
        <v>Boots</v>
      </c>
      <c r="L34">
        <f t="shared" ref="L34:L65" si="15">AVERAGE(F:F)</f>
        <v>9.9700000000000006</v>
      </c>
      <c r="M34">
        <f t="shared" ref="M34:M65" si="16">MIN(F:F)</f>
        <v>1</v>
      </c>
      <c r="N34">
        <f t="shared" ref="N34:N65" si="17">MAX(F:F)</f>
        <v>20</v>
      </c>
      <c r="O34">
        <f t="shared" ref="O34:O65" si="18">MEDIAN(E:E)</f>
        <v>4299</v>
      </c>
      <c r="P34">
        <f>RANK(basicformulas[[#This Row],[Quantity Sold]],F:F)</f>
        <v>97</v>
      </c>
      <c r="Q34">
        <f t="shared" ref="Q34:Q65" si="19">LEN(B:B)</f>
        <v>5</v>
      </c>
    </row>
    <row r="35" spans="1:1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G35">
        <f t="shared" si="12"/>
        <v>1.7320508075688772</v>
      </c>
      <c r="H35">
        <f t="shared" si="13"/>
        <v>1.7</v>
      </c>
      <c r="I35">
        <f>SUM(basicformulas[[#This Row],[sqrt]:[roung]])</f>
        <v>3.4320508075688769</v>
      </c>
      <c r="J35" t="str">
        <f t="shared" si="14"/>
        <v>S</v>
      </c>
      <c r="K35" t="str">
        <f>RIGHT(basicformulas[[#This Row],[Product]],5)</f>
        <v>akers</v>
      </c>
      <c r="L35">
        <f t="shared" si="15"/>
        <v>9.9700000000000006</v>
      </c>
      <c r="M35">
        <f t="shared" si="16"/>
        <v>1</v>
      </c>
      <c r="N35">
        <f t="shared" si="17"/>
        <v>20</v>
      </c>
      <c r="O35">
        <f t="shared" si="18"/>
        <v>4299</v>
      </c>
      <c r="P35">
        <f>RANK(basicformulas[[#This Row],[Quantity Sold]],F:F)</f>
        <v>88</v>
      </c>
      <c r="Q35">
        <f t="shared" si="19"/>
        <v>8</v>
      </c>
    </row>
    <row r="36" spans="1:1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G36">
        <f t="shared" si="12"/>
        <v>3</v>
      </c>
      <c r="H36">
        <f t="shared" si="13"/>
        <v>3</v>
      </c>
      <c r="I36">
        <f>SUM(basicformulas[[#This Row],[sqrt]:[roung]])</f>
        <v>6</v>
      </c>
      <c r="J36" t="str">
        <f t="shared" si="14"/>
        <v>M</v>
      </c>
      <c r="K36" t="str">
        <f>RIGHT(basicformulas[[#This Row],[Product]],5)</f>
        <v>owave</v>
      </c>
      <c r="L36">
        <f t="shared" si="15"/>
        <v>9.9700000000000006</v>
      </c>
      <c r="M36">
        <f t="shared" si="16"/>
        <v>1</v>
      </c>
      <c r="N36">
        <f t="shared" si="17"/>
        <v>20</v>
      </c>
      <c r="O36">
        <f t="shared" si="18"/>
        <v>4299</v>
      </c>
      <c r="P36">
        <f>RANK(basicformulas[[#This Row],[Quantity Sold]],F:F)</f>
        <v>49</v>
      </c>
      <c r="Q36">
        <f t="shared" si="19"/>
        <v>9</v>
      </c>
    </row>
    <row r="37" spans="1:1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  <c r="G37">
        <f t="shared" si="12"/>
        <v>2.6457513110645907</v>
      </c>
      <c r="H37">
        <f t="shared" si="13"/>
        <v>2.6</v>
      </c>
      <c r="I37">
        <f>SUM(basicformulas[[#This Row],[sqrt]:[roung]])</f>
        <v>5.2457513110645912</v>
      </c>
      <c r="J37" t="str">
        <f t="shared" si="14"/>
        <v>L</v>
      </c>
      <c r="K37" t="str">
        <f>RIGHT(basicformulas[[#This Row],[Product]],5)</f>
        <v>aptop</v>
      </c>
      <c r="L37">
        <f t="shared" si="15"/>
        <v>9.9700000000000006</v>
      </c>
      <c r="M37">
        <f t="shared" si="16"/>
        <v>1</v>
      </c>
      <c r="N37">
        <f t="shared" si="17"/>
        <v>20</v>
      </c>
      <c r="O37">
        <f t="shared" si="18"/>
        <v>4299</v>
      </c>
      <c r="P37">
        <f>RANK(basicformulas[[#This Row],[Quantity Sold]],F:F)</f>
        <v>63</v>
      </c>
      <c r="Q37">
        <f t="shared" si="19"/>
        <v>6</v>
      </c>
    </row>
    <row r="38" spans="1:1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G38">
        <f t="shared" si="12"/>
        <v>2.2360679774997898</v>
      </c>
      <c r="H38">
        <f t="shared" si="13"/>
        <v>2.2000000000000002</v>
      </c>
      <c r="I38">
        <f>SUM(basicformulas[[#This Row],[sqrt]:[roung]])</f>
        <v>4.43606797749979</v>
      </c>
      <c r="J38" t="str">
        <f t="shared" si="14"/>
        <v>S</v>
      </c>
      <c r="K38" t="str">
        <f>RIGHT(basicformulas[[#This Row],[Product]],5)</f>
        <v>akers</v>
      </c>
      <c r="L38">
        <f t="shared" si="15"/>
        <v>9.9700000000000006</v>
      </c>
      <c r="M38">
        <f t="shared" si="16"/>
        <v>1</v>
      </c>
      <c r="N38">
        <f t="shared" si="17"/>
        <v>20</v>
      </c>
      <c r="O38">
        <f t="shared" si="18"/>
        <v>4299</v>
      </c>
      <c r="P38">
        <f>RANK(basicformulas[[#This Row],[Quantity Sold]],F:F)</f>
        <v>72</v>
      </c>
      <c r="Q38">
        <f t="shared" si="19"/>
        <v>8</v>
      </c>
    </row>
    <row r="39" spans="1:1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G39">
        <f t="shared" si="12"/>
        <v>1.7320508075688772</v>
      </c>
      <c r="H39">
        <f t="shared" si="13"/>
        <v>1.7</v>
      </c>
      <c r="I39">
        <f>SUM(basicformulas[[#This Row],[sqrt]:[roung]])</f>
        <v>3.4320508075688769</v>
      </c>
      <c r="J39" t="str">
        <f t="shared" si="14"/>
        <v>T</v>
      </c>
      <c r="K39" t="str">
        <f>RIGHT(basicformulas[[#This Row],[Product]],5)</f>
        <v>users</v>
      </c>
      <c r="L39">
        <f t="shared" si="15"/>
        <v>9.9700000000000006</v>
      </c>
      <c r="M39">
        <f t="shared" si="16"/>
        <v>1</v>
      </c>
      <c r="N39">
        <f t="shared" si="17"/>
        <v>20</v>
      </c>
      <c r="O39">
        <f t="shared" si="18"/>
        <v>4299</v>
      </c>
      <c r="P39">
        <f>RANK(basicformulas[[#This Row],[Quantity Sold]],F:F)</f>
        <v>88</v>
      </c>
      <c r="Q39">
        <f t="shared" si="19"/>
        <v>8</v>
      </c>
    </row>
    <row r="40" spans="1:1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G40">
        <f t="shared" si="12"/>
        <v>2.6457513110645907</v>
      </c>
      <c r="H40">
        <f t="shared" si="13"/>
        <v>2.6</v>
      </c>
      <c r="I40">
        <f>SUM(basicformulas[[#This Row],[sqrt]:[roung]])</f>
        <v>5.2457513110645912</v>
      </c>
      <c r="J40" t="str">
        <f t="shared" si="14"/>
        <v>S</v>
      </c>
      <c r="K40" t="str">
        <f>RIGHT(basicformulas[[#This Row],[Product]],5)</f>
        <v>phone</v>
      </c>
      <c r="L40">
        <f t="shared" si="15"/>
        <v>9.9700000000000006</v>
      </c>
      <c r="M40">
        <f t="shared" si="16"/>
        <v>1</v>
      </c>
      <c r="N40">
        <f t="shared" si="17"/>
        <v>20</v>
      </c>
      <c r="O40">
        <f t="shared" si="18"/>
        <v>4299</v>
      </c>
      <c r="P40">
        <f>RANK(basicformulas[[#This Row],[Quantity Sold]],F:F)</f>
        <v>63</v>
      </c>
      <c r="Q40">
        <f t="shared" si="19"/>
        <v>10</v>
      </c>
    </row>
    <row r="41" spans="1:1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G41">
        <f t="shared" si="12"/>
        <v>1.7320508075688772</v>
      </c>
      <c r="H41">
        <f t="shared" si="13"/>
        <v>1.7</v>
      </c>
      <c r="I41">
        <f>SUM(basicformulas[[#This Row],[sqrt]:[roung]])</f>
        <v>3.4320508075688769</v>
      </c>
      <c r="J41" t="str">
        <f t="shared" si="14"/>
        <v>S</v>
      </c>
      <c r="K41" t="str">
        <f>RIGHT(basicformulas[[#This Row],[Product]],5)</f>
        <v>phone</v>
      </c>
      <c r="L41">
        <f t="shared" si="15"/>
        <v>9.9700000000000006</v>
      </c>
      <c r="M41">
        <f t="shared" si="16"/>
        <v>1</v>
      </c>
      <c r="N41">
        <f t="shared" si="17"/>
        <v>20</v>
      </c>
      <c r="O41">
        <f t="shared" si="18"/>
        <v>4299</v>
      </c>
      <c r="P41">
        <f>RANK(basicformulas[[#This Row],[Quantity Sold]],F:F)</f>
        <v>88</v>
      </c>
      <c r="Q41">
        <f t="shared" si="19"/>
        <v>10</v>
      </c>
    </row>
    <row r="42" spans="1:1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G42">
        <f t="shared" si="12"/>
        <v>4.358898943540674</v>
      </c>
      <c r="H42">
        <f t="shared" si="13"/>
        <v>4.4000000000000004</v>
      </c>
      <c r="I42">
        <f>SUM(basicformulas[[#This Row],[sqrt]:[roung]])</f>
        <v>8.7588989435406752</v>
      </c>
      <c r="J42" t="str">
        <f t="shared" si="14"/>
        <v>T</v>
      </c>
      <c r="K42" t="str">
        <f>RIGHT(basicformulas[[#This Row],[Product]],5)</f>
        <v>users</v>
      </c>
      <c r="L42">
        <f t="shared" si="15"/>
        <v>9.9700000000000006</v>
      </c>
      <c r="M42">
        <f t="shared" si="16"/>
        <v>1</v>
      </c>
      <c r="N42">
        <f t="shared" si="17"/>
        <v>20</v>
      </c>
      <c r="O42">
        <f t="shared" si="18"/>
        <v>4299</v>
      </c>
      <c r="P42">
        <f>RANK(basicformulas[[#This Row],[Quantity Sold]],F:F)</f>
        <v>5</v>
      </c>
      <c r="Q42">
        <f t="shared" si="19"/>
        <v>8</v>
      </c>
    </row>
    <row r="43" spans="1:1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G43">
        <f t="shared" si="12"/>
        <v>2.2360679774997898</v>
      </c>
      <c r="H43">
        <f t="shared" si="13"/>
        <v>2.2000000000000002</v>
      </c>
      <c r="I43">
        <f>SUM(basicformulas[[#This Row],[sqrt]:[roung]])</f>
        <v>4.43606797749979</v>
      </c>
      <c r="J43" t="str">
        <f t="shared" si="14"/>
        <v>S</v>
      </c>
      <c r="K43" t="str">
        <f>RIGHT(basicformulas[[#This Row],[Product]],5)</f>
        <v>akers</v>
      </c>
      <c r="L43">
        <f t="shared" si="15"/>
        <v>9.9700000000000006</v>
      </c>
      <c r="M43">
        <f t="shared" si="16"/>
        <v>1</v>
      </c>
      <c r="N43">
        <f t="shared" si="17"/>
        <v>20</v>
      </c>
      <c r="O43">
        <f t="shared" si="18"/>
        <v>4299</v>
      </c>
      <c r="P43">
        <f>RANK(basicformulas[[#This Row],[Quantity Sold]],F:F)</f>
        <v>72</v>
      </c>
      <c r="Q43">
        <f t="shared" si="19"/>
        <v>8</v>
      </c>
    </row>
    <row r="44" spans="1:1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G44">
        <f t="shared" si="12"/>
        <v>2.8284271247461903</v>
      </c>
      <c r="H44">
        <f t="shared" si="13"/>
        <v>2.8</v>
      </c>
      <c r="I44">
        <f>SUM(basicformulas[[#This Row],[sqrt]:[roung]])</f>
        <v>5.6284271247461906</v>
      </c>
      <c r="J44" t="str">
        <f t="shared" si="14"/>
        <v>T</v>
      </c>
      <c r="K44" t="str">
        <f>RIGHT(basicformulas[[#This Row],[Product]],5)</f>
        <v>users</v>
      </c>
      <c r="L44">
        <f t="shared" si="15"/>
        <v>9.9700000000000006</v>
      </c>
      <c r="M44">
        <f t="shared" si="16"/>
        <v>1</v>
      </c>
      <c r="N44">
        <f t="shared" si="17"/>
        <v>20</v>
      </c>
      <c r="O44">
        <f t="shared" si="18"/>
        <v>4299</v>
      </c>
      <c r="P44">
        <f>RANK(basicformulas[[#This Row],[Quantity Sold]],F:F)</f>
        <v>56</v>
      </c>
      <c r="Q44">
        <f t="shared" si="19"/>
        <v>8</v>
      </c>
    </row>
    <row r="45" spans="1:1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G45">
        <f t="shared" si="12"/>
        <v>4.2426406871192848</v>
      </c>
      <c r="H45">
        <f t="shared" si="13"/>
        <v>4.2</v>
      </c>
      <c r="I45">
        <f>SUM(basicformulas[[#This Row],[sqrt]:[roung]])</f>
        <v>8.4426406871192849</v>
      </c>
      <c r="J45" t="str">
        <f t="shared" si="14"/>
        <v>S</v>
      </c>
      <c r="K45" t="str">
        <f>RIGHT(basicformulas[[#This Row],[Product]],5)</f>
        <v>Shirt</v>
      </c>
      <c r="L45">
        <f t="shared" si="15"/>
        <v>9.9700000000000006</v>
      </c>
      <c r="M45">
        <f t="shared" si="16"/>
        <v>1</v>
      </c>
      <c r="N45">
        <f t="shared" si="17"/>
        <v>20</v>
      </c>
      <c r="O45">
        <f t="shared" si="18"/>
        <v>4299</v>
      </c>
      <c r="P45">
        <f>RANK(basicformulas[[#This Row],[Quantity Sold]],F:F)</f>
        <v>10</v>
      </c>
      <c r="Q45">
        <f t="shared" si="19"/>
        <v>5</v>
      </c>
    </row>
    <row r="46" spans="1:1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G46">
        <f t="shared" si="12"/>
        <v>3.1622776601683795</v>
      </c>
      <c r="H46">
        <f t="shared" si="13"/>
        <v>3.2</v>
      </c>
      <c r="I46">
        <f>SUM(basicformulas[[#This Row],[sqrt]:[roung]])</f>
        <v>6.3622776601683793</v>
      </c>
      <c r="J46" t="str">
        <f t="shared" si="14"/>
        <v>S</v>
      </c>
      <c r="K46" t="str">
        <f>RIGHT(basicformulas[[#This Row],[Product]],5)</f>
        <v>phone</v>
      </c>
      <c r="L46">
        <f t="shared" si="15"/>
        <v>9.9700000000000006</v>
      </c>
      <c r="M46">
        <f t="shared" si="16"/>
        <v>1</v>
      </c>
      <c r="N46">
        <f t="shared" si="17"/>
        <v>20</v>
      </c>
      <c r="O46">
        <f t="shared" si="18"/>
        <v>4299</v>
      </c>
      <c r="P46">
        <f>RANK(basicformulas[[#This Row],[Quantity Sold]],F:F)</f>
        <v>43</v>
      </c>
      <c r="Q46">
        <f t="shared" si="19"/>
        <v>10</v>
      </c>
    </row>
    <row r="47" spans="1:1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G47">
        <f t="shared" si="12"/>
        <v>2.8284271247461903</v>
      </c>
      <c r="H47">
        <f t="shared" si="13"/>
        <v>2.8</v>
      </c>
      <c r="I47">
        <f>SUM(basicformulas[[#This Row],[sqrt]:[roung]])</f>
        <v>5.6284271247461906</v>
      </c>
      <c r="J47" t="str">
        <f t="shared" si="14"/>
        <v>S</v>
      </c>
      <c r="K47" t="str">
        <f>RIGHT(basicformulas[[#This Row],[Product]],5)</f>
        <v>phone</v>
      </c>
      <c r="L47">
        <f t="shared" si="15"/>
        <v>9.9700000000000006</v>
      </c>
      <c r="M47">
        <f t="shared" si="16"/>
        <v>1</v>
      </c>
      <c r="N47">
        <f t="shared" si="17"/>
        <v>20</v>
      </c>
      <c r="O47">
        <f t="shared" si="18"/>
        <v>4299</v>
      </c>
      <c r="P47">
        <f>RANK(basicformulas[[#This Row],[Quantity Sold]],F:F)</f>
        <v>56</v>
      </c>
      <c r="Q47">
        <f t="shared" si="19"/>
        <v>10</v>
      </c>
    </row>
    <row r="48" spans="1:1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  <c r="G48">
        <f t="shared" si="12"/>
        <v>4.358898943540674</v>
      </c>
      <c r="H48">
        <f t="shared" si="13"/>
        <v>4.4000000000000004</v>
      </c>
      <c r="I48">
        <f>SUM(basicformulas[[#This Row],[sqrt]:[roung]])</f>
        <v>8.7588989435406752</v>
      </c>
      <c r="J48" t="str">
        <f t="shared" si="14"/>
        <v>B</v>
      </c>
      <c r="K48" t="str">
        <f>RIGHT(basicformulas[[#This Row],[Product]],5)</f>
        <v>Boots</v>
      </c>
      <c r="L48">
        <f t="shared" si="15"/>
        <v>9.9700000000000006</v>
      </c>
      <c r="M48">
        <f t="shared" si="16"/>
        <v>1</v>
      </c>
      <c r="N48">
        <f t="shared" si="17"/>
        <v>20</v>
      </c>
      <c r="O48">
        <f t="shared" si="18"/>
        <v>4299</v>
      </c>
      <c r="P48">
        <f>RANK(basicformulas[[#This Row],[Quantity Sold]],F:F)</f>
        <v>5</v>
      </c>
      <c r="Q48">
        <f t="shared" si="19"/>
        <v>5</v>
      </c>
    </row>
    <row r="49" spans="1:17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  <c r="G49">
        <f t="shared" si="12"/>
        <v>4</v>
      </c>
      <c r="H49">
        <f t="shared" si="13"/>
        <v>4</v>
      </c>
      <c r="I49">
        <f>SUM(basicformulas[[#This Row],[sqrt]:[roung]])</f>
        <v>8</v>
      </c>
      <c r="J49" t="str">
        <f t="shared" si="14"/>
        <v>B</v>
      </c>
      <c r="K49" t="str">
        <f>RIGHT(basicformulas[[#This Row],[Product]],5)</f>
        <v>ender</v>
      </c>
      <c r="L49">
        <f t="shared" si="15"/>
        <v>9.9700000000000006</v>
      </c>
      <c r="M49">
        <f t="shared" si="16"/>
        <v>1</v>
      </c>
      <c r="N49">
        <f t="shared" si="17"/>
        <v>20</v>
      </c>
      <c r="O49">
        <f t="shared" si="18"/>
        <v>4299</v>
      </c>
      <c r="P49">
        <f>RANK(basicformulas[[#This Row],[Quantity Sold]],F:F)</f>
        <v>20</v>
      </c>
      <c r="Q49">
        <f t="shared" si="19"/>
        <v>7</v>
      </c>
    </row>
    <row r="50" spans="1:17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  <c r="G50">
        <f t="shared" si="12"/>
        <v>1.4142135623730951</v>
      </c>
      <c r="H50">
        <f t="shared" si="13"/>
        <v>1.4</v>
      </c>
      <c r="I50">
        <f>SUM(basicformulas[[#This Row],[sqrt]:[roung]])</f>
        <v>2.8142135623730953</v>
      </c>
      <c r="J50" t="str">
        <f t="shared" si="14"/>
        <v>S</v>
      </c>
      <c r="K50" t="str">
        <f>RIGHT(basicformulas[[#This Row],[Product]],5)</f>
        <v>phone</v>
      </c>
      <c r="L50">
        <f t="shared" si="15"/>
        <v>9.9700000000000006</v>
      </c>
      <c r="M50">
        <f t="shared" si="16"/>
        <v>1</v>
      </c>
      <c r="N50">
        <f t="shared" si="17"/>
        <v>20</v>
      </c>
      <c r="O50">
        <f t="shared" si="18"/>
        <v>4299</v>
      </c>
      <c r="P50">
        <f>RANK(basicformulas[[#This Row],[Quantity Sold]],F:F)</f>
        <v>94</v>
      </c>
      <c r="Q50">
        <f t="shared" si="19"/>
        <v>10</v>
      </c>
    </row>
    <row r="51" spans="1:17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  <c r="G51">
        <f t="shared" si="12"/>
        <v>4.1231056256176606</v>
      </c>
      <c r="H51">
        <f t="shared" si="13"/>
        <v>4.0999999999999996</v>
      </c>
      <c r="I51">
        <f>SUM(basicformulas[[#This Row],[sqrt]:[roung]])</f>
        <v>8.2231056256176593</v>
      </c>
      <c r="J51" t="str">
        <f t="shared" si="14"/>
        <v>B</v>
      </c>
      <c r="K51" t="str">
        <f>RIGHT(basicformulas[[#This Row],[Product]],5)</f>
        <v>ender</v>
      </c>
      <c r="L51">
        <f t="shared" si="15"/>
        <v>9.9700000000000006</v>
      </c>
      <c r="M51">
        <f t="shared" si="16"/>
        <v>1</v>
      </c>
      <c r="N51">
        <f t="shared" si="17"/>
        <v>20</v>
      </c>
      <c r="O51">
        <f t="shared" si="18"/>
        <v>4299</v>
      </c>
      <c r="P51">
        <f>RANK(basicformulas[[#This Row],[Quantity Sold]],F:F)</f>
        <v>16</v>
      </c>
      <c r="Q51">
        <f t="shared" si="19"/>
        <v>7</v>
      </c>
    </row>
    <row r="52" spans="1:17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  <c r="G52">
        <f t="shared" si="12"/>
        <v>4.4721359549995796</v>
      </c>
      <c r="H52">
        <f t="shared" si="13"/>
        <v>4.5</v>
      </c>
      <c r="I52">
        <f>SUM(basicformulas[[#This Row],[sqrt]:[roung]])</f>
        <v>8.9721359549995796</v>
      </c>
      <c r="J52" t="str">
        <f t="shared" si="14"/>
        <v>S</v>
      </c>
      <c r="K52" t="str">
        <f>RIGHT(basicformulas[[#This Row],[Product]],5)</f>
        <v>Shirt</v>
      </c>
      <c r="L52">
        <f t="shared" si="15"/>
        <v>9.9700000000000006</v>
      </c>
      <c r="M52">
        <f t="shared" si="16"/>
        <v>1</v>
      </c>
      <c r="N52">
        <f t="shared" si="17"/>
        <v>20</v>
      </c>
      <c r="O52">
        <f t="shared" si="18"/>
        <v>4299</v>
      </c>
      <c r="P52">
        <f>RANK(basicformulas[[#This Row],[Quantity Sold]],F:F)</f>
        <v>1</v>
      </c>
      <c r="Q52">
        <f t="shared" si="19"/>
        <v>5</v>
      </c>
    </row>
    <row r="53" spans="1:17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  <c r="G53">
        <f t="shared" si="12"/>
        <v>2</v>
      </c>
      <c r="H53">
        <f t="shared" si="13"/>
        <v>2</v>
      </c>
      <c r="I53">
        <f>SUM(basicformulas[[#This Row],[sqrt]:[roung]])</f>
        <v>4</v>
      </c>
      <c r="J53" t="str">
        <f t="shared" si="14"/>
        <v>S</v>
      </c>
      <c r="K53" t="str">
        <f>RIGHT(basicformulas[[#This Row],[Product]],5)</f>
        <v>Shirt</v>
      </c>
      <c r="L53">
        <f t="shared" si="15"/>
        <v>9.9700000000000006</v>
      </c>
      <c r="M53">
        <f t="shared" si="16"/>
        <v>1</v>
      </c>
      <c r="N53">
        <f t="shared" si="17"/>
        <v>20</v>
      </c>
      <c r="O53">
        <f t="shared" si="18"/>
        <v>4299</v>
      </c>
      <c r="P53">
        <f>RANK(basicformulas[[#This Row],[Quantity Sold]],F:F)</f>
        <v>82</v>
      </c>
      <c r="Q53">
        <f t="shared" si="19"/>
        <v>5</v>
      </c>
    </row>
    <row r="54" spans="1:17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  <c r="G54">
        <f t="shared" si="12"/>
        <v>3.872983346207417</v>
      </c>
      <c r="H54">
        <f t="shared" si="13"/>
        <v>3.9</v>
      </c>
      <c r="I54">
        <f>SUM(basicformulas[[#This Row],[sqrt]:[roung]])</f>
        <v>7.7729833462074165</v>
      </c>
      <c r="J54" t="str">
        <f t="shared" si="14"/>
        <v>M</v>
      </c>
      <c r="K54" t="str">
        <f>RIGHT(basicformulas[[#This Row],[Product]],5)</f>
        <v>owave</v>
      </c>
      <c r="L54">
        <f t="shared" si="15"/>
        <v>9.9700000000000006</v>
      </c>
      <c r="M54">
        <f t="shared" si="16"/>
        <v>1</v>
      </c>
      <c r="N54">
        <f t="shared" si="17"/>
        <v>20</v>
      </c>
      <c r="O54">
        <f t="shared" si="18"/>
        <v>4299</v>
      </c>
      <c r="P54">
        <f>RANK(basicformulas[[#This Row],[Quantity Sold]],F:F)</f>
        <v>21</v>
      </c>
      <c r="Q54">
        <f t="shared" si="19"/>
        <v>9</v>
      </c>
    </row>
    <row r="55" spans="1:17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  <c r="G55">
        <f t="shared" si="12"/>
        <v>4.1231056256176606</v>
      </c>
      <c r="H55">
        <f t="shared" si="13"/>
        <v>4.0999999999999996</v>
      </c>
      <c r="I55">
        <f>SUM(basicformulas[[#This Row],[sqrt]:[roung]])</f>
        <v>8.2231056256176593</v>
      </c>
      <c r="J55" t="str">
        <f t="shared" si="14"/>
        <v>L</v>
      </c>
      <c r="K55" t="str">
        <f>RIGHT(basicformulas[[#This Row],[Product]],5)</f>
        <v>aptop</v>
      </c>
      <c r="L55">
        <f t="shared" si="15"/>
        <v>9.9700000000000006</v>
      </c>
      <c r="M55">
        <f t="shared" si="16"/>
        <v>1</v>
      </c>
      <c r="N55">
        <f t="shared" si="17"/>
        <v>20</v>
      </c>
      <c r="O55">
        <f t="shared" si="18"/>
        <v>4299</v>
      </c>
      <c r="P55">
        <f>RANK(basicformulas[[#This Row],[Quantity Sold]],F:F)</f>
        <v>16</v>
      </c>
      <c r="Q55">
        <f t="shared" si="19"/>
        <v>6</v>
      </c>
    </row>
    <row r="56" spans="1:17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  <c r="G56">
        <f t="shared" si="12"/>
        <v>3.6055512754639891</v>
      </c>
      <c r="H56">
        <f t="shared" si="13"/>
        <v>3.6</v>
      </c>
      <c r="I56">
        <f>SUM(basicformulas[[#This Row],[sqrt]:[roung]])</f>
        <v>7.2055512754639892</v>
      </c>
      <c r="J56" t="str">
        <f t="shared" si="14"/>
        <v>S</v>
      </c>
      <c r="K56" t="str">
        <f>RIGHT(basicformulas[[#This Row],[Product]],5)</f>
        <v>akers</v>
      </c>
      <c r="L56">
        <f t="shared" si="15"/>
        <v>9.9700000000000006</v>
      </c>
      <c r="M56">
        <f t="shared" si="16"/>
        <v>1</v>
      </c>
      <c r="N56">
        <f t="shared" si="17"/>
        <v>20</v>
      </c>
      <c r="O56">
        <f t="shared" si="18"/>
        <v>4299</v>
      </c>
      <c r="P56">
        <f>RANK(basicformulas[[#This Row],[Quantity Sold]],F:F)</f>
        <v>29</v>
      </c>
      <c r="Q56">
        <f t="shared" si="19"/>
        <v>8</v>
      </c>
    </row>
    <row r="57" spans="1:17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  <c r="G57">
        <f t="shared" si="12"/>
        <v>3.6055512754639891</v>
      </c>
      <c r="H57">
        <f t="shared" si="13"/>
        <v>3.6</v>
      </c>
      <c r="I57">
        <f>SUM(basicformulas[[#This Row],[sqrt]:[roung]])</f>
        <v>7.2055512754639892</v>
      </c>
      <c r="J57" t="str">
        <f t="shared" si="14"/>
        <v>S</v>
      </c>
      <c r="K57" t="str">
        <f>RIGHT(basicformulas[[#This Row],[Product]],5)</f>
        <v>Shirt</v>
      </c>
      <c r="L57">
        <f t="shared" si="15"/>
        <v>9.9700000000000006</v>
      </c>
      <c r="M57">
        <f t="shared" si="16"/>
        <v>1</v>
      </c>
      <c r="N57">
        <f t="shared" si="17"/>
        <v>20</v>
      </c>
      <c r="O57">
        <f t="shared" si="18"/>
        <v>4299</v>
      </c>
      <c r="P57">
        <f>RANK(basicformulas[[#This Row],[Quantity Sold]],F:F)</f>
        <v>29</v>
      </c>
      <c r="Q57">
        <f t="shared" si="19"/>
        <v>5</v>
      </c>
    </row>
    <row r="58" spans="1:17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  <c r="G58">
        <f t="shared" si="12"/>
        <v>3.3166247903553998</v>
      </c>
      <c r="H58">
        <f t="shared" si="13"/>
        <v>3.3</v>
      </c>
      <c r="I58">
        <f>SUM(basicformulas[[#This Row],[sqrt]:[roung]])</f>
        <v>6.6166247903553996</v>
      </c>
      <c r="J58" t="str">
        <f t="shared" si="14"/>
        <v>M</v>
      </c>
      <c r="K58" t="str">
        <f>RIGHT(basicformulas[[#This Row],[Product]],5)</f>
        <v>owave</v>
      </c>
      <c r="L58">
        <f t="shared" si="15"/>
        <v>9.9700000000000006</v>
      </c>
      <c r="M58">
        <f t="shared" si="16"/>
        <v>1</v>
      </c>
      <c r="N58">
        <f t="shared" si="17"/>
        <v>20</v>
      </c>
      <c r="O58">
        <f t="shared" si="18"/>
        <v>4299</v>
      </c>
      <c r="P58">
        <f>RANK(basicformulas[[#This Row],[Quantity Sold]],F:F)</f>
        <v>39</v>
      </c>
      <c r="Q58">
        <f t="shared" si="19"/>
        <v>9</v>
      </c>
    </row>
    <row r="59" spans="1:17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  <c r="G59">
        <f t="shared" si="12"/>
        <v>4.1231056256176606</v>
      </c>
      <c r="H59">
        <f t="shared" si="13"/>
        <v>4.0999999999999996</v>
      </c>
      <c r="I59">
        <f>SUM(basicformulas[[#This Row],[sqrt]:[roung]])</f>
        <v>8.2231056256176593</v>
      </c>
      <c r="J59" t="str">
        <f t="shared" si="14"/>
        <v>B</v>
      </c>
      <c r="K59" t="str">
        <f>RIGHT(basicformulas[[#This Row],[Product]],5)</f>
        <v>ender</v>
      </c>
      <c r="L59">
        <f t="shared" si="15"/>
        <v>9.9700000000000006</v>
      </c>
      <c r="M59">
        <f t="shared" si="16"/>
        <v>1</v>
      </c>
      <c r="N59">
        <f t="shared" si="17"/>
        <v>20</v>
      </c>
      <c r="O59">
        <f t="shared" si="18"/>
        <v>4299</v>
      </c>
      <c r="P59">
        <f>RANK(basicformulas[[#This Row],[Quantity Sold]],F:F)</f>
        <v>16</v>
      </c>
      <c r="Q59">
        <f t="shared" si="19"/>
        <v>7</v>
      </c>
    </row>
    <row r="60" spans="1:17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  <c r="G60">
        <f t="shared" si="12"/>
        <v>1</v>
      </c>
      <c r="H60">
        <f t="shared" si="13"/>
        <v>1</v>
      </c>
      <c r="I60">
        <f>SUM(basicformulas[[#This Row],[sqrt]:[roung]])</f>
        <v>2</v>
      </c>
      <c r="J60" t="str">
        <f t="shared" si="14"/>
        <v>L</v>
      </c>
      <c r="K60" t="str">
        <f>RIGHT(basicformulas[[#This Row],[Product]],5)</f>
        <v>aptop</v>
      </c>
      <c r="L60">
        <f t="shared" si="15"/>
        <v>9.9700000000000006</v>
      </c>
      <c r="M60">
        <f t="shared" si="16"/>
        <v>1</v>
      </c>
      <c r="N60">
        <f t="shared" si="17"/>
        <v>20</v>
      </c>
      <c r="O60">
        <f t="shared" si="18"/>
        <v>4299</v>
      </c>
      <c r="P60">
        <f>RANK(basicformulas[[#This Row],[Quantity Sold]],F:F)</f>
        <v>97</v>
      </c>
      <c r="Q60">
        <f t="shared" si="19"/>
        <v>6</v>
      </c>
    </row>
    <row r="61" spans="1:17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  <c r="G61">
        <f t="shared" si="12"/>
        <v>1.7320508075688772</v>
      </c>
      <c r="H61">
        <f t="shared" si="13"/>
        <v>1.7</v>
      </c>
      <c r="I61">
        <f>SUM(basicformulas[[#This Row],[sqrt]:[roung]])</f>
        <v>3.4320508075688769</v>
      </c>
      <c r="J61" t="str">
        <f t="shared" si="14"/>
        <v>T</v>
      </c>
      <c r="K61" t="str">
        <f>RIGHT(basicformulas[[#This Row],[Product]],5)</f>
        <v>users</v>
      </c>
      <c r="L61">
        <f t="shared" si="15"/>
        <v>9.9700000000000006</v>
      </c>
      <c r="M61">
        <f t="shared" si="16"/>
        <v>1</v>
      </c>
      <c r="N61">
        <f t="shared" si="17"/>
        <v>20</v>
      </c>
      <c r="O61">
        <f t="shared" si="18"/>
        <v>4299</v>
      </c>
      <c r="P61">
        <f>RANK(basicformulas[[#This Row],[Quantity Sold]],F:F)</f>
        <v>88</v>
      </c>
      <c r="Q61">
        <f t="shared" si="19"/>
        <v>8</v>
      </c>
    </row>
    <row r="62" spans="1:17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  <c r="G62">
        <f t="shared" si="12"/>
        <v>3</v>
      </c>
      <c r="H62">
        <f t="shared" si="13"/>
        <v>3</v>
      </c>
      <c r="I62">
        <f>SUM(basicformulas[[#This Row],[sqrt]:[roung]])</f>
        <v>6</v>
      </c>
      <c r="J62" t="str">
        <f t="shared" si="14"/>
        <v>S</v>
      </c>
      <c r="K62" t="str">
        <f>RIGHT(basicformulas[[#This Row],[Product]],5)</f>
        <v>Shirt</v>
      </c>
      <c r="L62">
        <f t="shared" si="15"/>
        <v>9.9700000000000006</v>
      </c>
      <c r="M62">
        <f t="shared" si="16"/>
        <v>1</v>
      </c>
      <c r="N62">
        <f t="shared" si="17"/>
        <v>20</v>
      </c>
      <c r="O62">
        <f t="shared" si="18"/>
        <v>4299</v>
      </c>
      <c r="P62">
        <f>RANK(basicformulas[[#This Row],[Quantity Sold]],F:F)</f>
        <v>49</v>
      </c>
      <c r="Q62">
        <f t="shared" si="19"/>
        <v>5</v>
      </c>
    </row>
    <row r="63" spans="1:17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  <c r="G63">
        <f t="shared" si="12"/>
        <v>1.4142135623730951</v>
      </c>
      <c r="H63">
        <f t="shared" si="13"/>
        <v>1.4</v>
      </c>
      <c r="I63">
        <f>SUM(basicformulas[[#This Row],[sqrt]:[roung]])</f>
        <v>2.8142135623730953</v>
      </c>
      <c r="J63" t="str">
        <f t="shared" si="14"/>
        <v>S</v>
      </c>
      <c r="K63" t="str">
        <f>RIGHT(basicformulas[[#This Row],[Product]],5)</f>
        <v>akers</v>
      </c>
      <c r="L63">
        <f t="shared" si="15"/>
        <v>9.9700000000000006</v>
      </c>
      <c r="M63">
        <f t="shared" si="16"/>
        <v>1</v>
      </c>
      <c r="N63">
        <f t="shared" si="17"/>
        <v>20</v>
      </c>
      <c r="O63">
        <f t="shared" si="18"/>
        <v>4299</v>
      </c>
      <c r="P63">
        <f>RANK(basicformulas[[#This Row],[Quantity Sold]],F:F)</f>
        <v>94</v>
      </c>
      <c r="Q63">
        <f t="shared" si="19"/>
        <v>8</v>
      </c>
    </row>
    <row r="64" spans="1:17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  <c r="G64">
        <f t="shared" si="12"/>
        <v>3.1622776601683795</v>
      </c>
      <c r="H64">
        <f t="shared" si="13"/>
        <v>3.2</v>
      </c>
      <c r="I64">
        <f>SUM(basicformulas[[#This Row],[sqrt]:[roung]])</f>
        <v>6.3622776601683793</v>
      </c>
      <c r="J64" t="str">
        <f t="shared" si="14"/>
        <v>L</v>
      </c>
      <c r="K64" t="str">
        <f>RIGHT(basicformulas[[#This Row],[Product]],5)</f>
        <v>aptop</v>
      </c>
      <c r="L64">
        <f t="shared" si="15"/>
        <v>9.9700000000000006</v>
      </c>
      <c r="M64">
        <f t="shared" si="16"/>
        <v>1</v>
      </c>
      <c r="N64">
        <f t="shared" si="17"/>
        <v>20</v>
      </c>
      <c r="O64">
        <f t="shared" si="18"/>
        <v>4299</v>
      </c>
      <c r="P64">
        <f>RANK(basicformulas[[#This Row],[Quantity Sold]],F:F)</f>
        <v>43</v>
      </c>
      <c r="Q64">
        <f t="shared" si="19"/>
        <v>6</v>
      </c>
    </row>
    <row r="65" spans="1:17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  <c r="G65">
        <f t="shared" si="12"/>
        <v>2.2360679774997898</v>
      </c>
      <c r="H65">
        <f t="shared" si="13"/>
        <v>2.2000000000000002</v>
      </c>
      <c r="I65">
        <f>SUM(basicformulas[[#This Row],[sqrt]:[roung]])</f>
        <v>4.43606797749979</v>
      </c>
      <c r="J65" t="str">
        <f t="shared" si="14"/>
        <v>S</v>
      </c>
      <c r="K65" t="str">
        <f>RIGHT(basicformulas[[#This Row],[Product]],5)</f>
        <v>akers</v>
      </c>
      <c r="L65">
        <f t="shared" si="15"/>
        <v>9.9700000000000006</v>
      </c>
      <c r="M65">
        <f t="shared" si="16"/>
        <v>1</v>
      </c>
      <c r="N65">
        <f t="shared" si="17"/>
        <v>20</v>
      </c>
      <c r="O65">
        <f t="shared" si="18"/>
        <v>4299</v>
      </c>
      <c r="P65">
        <f>RANK(basicformulas[[#This Row],[Quantity Sold]],F:F)</f>
        <v>72</v>
      </c>
      <c r="Q65">
        <f t="shared" si="19"/>
        <v>8</v>
      </c>
    </row>
    <row r="66" spans="1:17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  <c r="G66">
        <f t="shared" ref="G66:G97" si="20">SQRT(F:F)</f>
        <v>4.4721359549995796</v>
      </c>
      <c r="H66">
        <f t="shared" ref="H66:H97" si="21">ROUND(G:G,1)</f>
        <v>4.5</v>
      </c>
      <c r="I66">
        <f>SUM(basicformulas[[#This Row],[sqrt]:[roung]])</f>
        <v>8.9721359549995796</v>
      </c>
      <c r="J66" t="str">
        <f t="shared" ref="J66:J101" si="22">LEFT(B:B,1)</f>
        <v>S</v>
      </c>
      <c r="K66" t="str">
        <f>RIGHT(basicformulas[[#This Row],[Product]],5)</f>
        <v>Shirt</v>
      </c>
      <c r="L66">
        <f t="shared" ref="L66:L101" si="23">AVERAGE(F:F)</f>
        <v>9.9700000000000006</v>
      </c>
      <c r="M66">
        <f t="shared" ref="M66:M101" si="24">MIN(F:F)</f>
        <v>1</v>
      </c>
      <c r="N66">
        <f t="shared" ref="N66:N101" si="25">MAX(F:F)</f>
        <v>20</v>
      </c>
      <c r="O66">
        <f t="shared" ref="O66:O101" si="26">MEDIAN(E:E)</f>
        <v>4299</v>
      </c>
      <c r="P66">
        <f>RANK(basicformulas[[#This Row],[Quantity Sold]],F:F)</f>
        <v>1</v>
      </c>
      <c r="Q66">
        <f t="shared" ref="Q66:Q101" si="27">LEN(B:B)</f>
        <v>5</v>
      </c>
    </row>
    <row r="67" spans="1:17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  <c r="G67">
        <f t="shared" si="20"/>
        <v>3</v>
      </c>
      <c r="H67">
        <f t="shared" si="21"/>
        <v>3</v>
      </c>
      <c r="I67">
        <f>SUM(basicformulas[[#This Row],[sqrt]:[roung]])</f>
        <v>6</v>
      </c>
      <c r="J67" t="str">
        <f t="shared" si="22"/>
        <v>S</v>
      </c>
      <c r="K67" t="str">
        <f>RIGHT(basicformulas[[#This Row],[Product]],5)</f>
        <v>phone</v>
      </c>
      <c r="L67">
        <f t="shared" si="23"/>
        <v>9.9700000000000006</v>
      </c>
      <c r="M67">
        <f t="shared" si="24"/>
        <v>1</v>
      </c>
      <c r="N67">
        <f t="shared" si="25"/>
        <v>20</v>
      </c>
      <c r="O67">
        <f t="shared" si="26"/>
        <v>4299</v>
      </c>
      <c r="P67">
        <f>RANK(basicformulas[[#This Row],[Quantity Sold]],F:F)</f>
        <v>49</v>
      </c>
      <c r="Q67">
        <f t="shared" si="27"/>
        <v>10</v>
      </c>
    </row>
    <row r="68" spans="1:17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  <c r="G68">
        <f t="shared" si="20"/>
        <v>2</v>
      </c>
      <c r="H68">
        <f t="shared" si="21"/>
        <v>2</v>
      </c>
      <c r="I68">
        <f>SUM(basicformulas[[#This Row],[sqrt]:[roung]])</f>
        <v>4</v>
      </c>
      <c r="J68" t="str">
        <f t="shared" si="22"/>
        <v>L</v>
      </c>
      <c r="K68" t="str">
        <f>RIGHT(basicformulas[[#This Row],[Product]],5)</f>
        <v>aptop</v>
      </c>
      <c r="L68">
        <f t="shared" si="23"/>
        <v>9.9700000000000006</v>
      </c>
      <c r="M68">
        <f t="shared" si="24"/>
        <v>1</v>
      </c>
      <c r="N68">
        <f t="shared" si="25"/>
        <v>20</v>
      </c>
      <c r="O68">
        <f t="shared" si="26"/>
        <v>4299</v>
      </c>
      <c r="P68">
        <f>RANK(basicformulas[[#This Row],[Quantity Sold]],F:F)</f>
        <v>82</v>
      </c>
      <c r="Q68">
        <f t="shared" si="27"/>
        <v>6</v>
      </c>
    </row>
    <row r="69" spans="1:17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  <c r="G69">
        <f t="shared" si="20"/>
        <v>3.7416573867739413</v>
      </c>
      <c r="H69">
        <f t="shared" si="21"/>
        <v>3.7</v>
      </c>
      <c r="I69">
        <f>SUM(basicformulas[[#This Row],[sqrt]:[roung]])</f>
        <v>7.441657386773942</v>
      </c>
      <c r="J69" t="str">
        <f t="shared" si="22"/>
        <v>L</v>
      </c>
      <c r="K69" t="str">
        <f>RIGHT(basicformulas[[#This Row],[Product]],5)</f>
        <v>aptop</v>
      </c>
      <c r="L69">
        <f t="shared" si="23"/>
        <v>9.9700000000000006</v>
      </c>
      <c r="M69">
        <f t="shared" si="24"/>
        <v>1</v>
      </c>
      <c r="N69">
        <f t="shared" si="25"/>
        <v>20</v>
      </c>
      <c r="O69">
        <f t="shared" si="26"/>
        <v>4299</v>
      </c>
      <c r="P69">
        <f>RANK(basicformulas[[#This Row],[Quantity Sold]],F:F)</f>
        <v>27</v>
      </c>
      <c r="Q69">
        <f t="shared" si="27"/>
        <v>6</v>
      </c>
    </row>
    <row r="70" spans="1:17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  <c r="G70">
        <f t="shared" si="20"/>
        <v>2.2360679774997898</v>
      </c>
      <c r="H70">
        <f t="shared" si="21"/>
        <v>2.2000000000000002</v>
      </c>
      <c r="I70">
        <f>SUM(basicformulas[[#This Row],[sqrt]:[roung]])</f>
        <v>4.43606797749979</v>
      </c>
      <c r="J70" t="str">
        <f t="shared" si="22"/>
        <v>S</v>
      </c>
      <c r="K70" t="str">
        <f>RIGHT(basicformulas[[#This Row],[Product]],5)</f>
        <v>phone</v>
      </c>
      <c r="L70">
        <f t="shared" si="23"/>
        <v>9.9700000000000006</v>
      </c>
      <c r="M70">
        <f t="shared" si="24"/>
        <v>1</v>
      </c>
      <c r="N70">
        <f t="shared" si="25"/>
        <v>20</v>
      </c>
      <c r="O70">
        <f t="shared" si="26"/>
        <v>4299</v>
      </c>
      <c r="P70">
        <f>RANK(basicformulas[[#This Row],[Quantity Sold]],F:F)</f>
        <v>72</v>
      </c>
      <c r="Q70">
        <f t="shared" si="27"/>
        <v>10</v>
      </c>
    </row>
    <row r="71" spans="1:17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  <c r="G71">
        <f t="shared" si="20"/>
        <v>2.8284271247461903</v>
      </c>
      <c r="H71">
        <f t="shared" si="21"/>
        <v>2.8</v>
      </c>
      <c r="I71">
        <f>SUM(basicformulas[[#This Row],[sqrt]:[roung]])</f>
        <v>5.6284271247461906</v>
      </c>
      <c r="J71" t="str">
        <f t="shared" si="22"/>
        <v>S</v>
      </c>
      <c r="K71" t="str">
        <f>RIGHT(basicformulas[[#This Row],[Product]],5)</f>
        <v>Shirt</v>
      </c>
      <c r="L71">
        <f t="shared" si="23"/>
        <v>9.9700000000000006</v>
      </c>
      <c r="M71">
        <f t="shared" si="24"/>
        <v>1</v>
      </c>
      <c r="N71">
        <f t="shared" si="25"/>
        <v>20</v>
      </c>
      <c r="O71">
        <f t="shared" si="26"/>
        <v>4299</v>
      </c>
      <c r="P71">
        <f>RANK(basicformulas[[#This Row],[Quantity Sold]],F:F)</f>
        <v>56</v>
      </c>
      <c r="Q71">
        <f t="shared" si="27"/>
        <v>5</v>
      </c>
    </row>
    <row r="72" spans="1:17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  <c r="G72">
        <f t="shared" si="20"/>
        <v>2.8284271247461903</v>
      </c>
      <c r="H72">
        <f t="shared" si="21"/>
        <v>2.8</v>
      </c>
      <c r="I72">
        <f>SUM(basicformulas[[#This Row],[sqrt]:[roung]])</f>
        <v>5.6284271247461906</v>
      </c>
      <c r="J72" t="str">
        <f t="shared" si="22"/>
        <v>B</v>
      </c>
      <c r="K72" t="str">
        <f>RIGHT(basicformulas[[#This Row],[Product]],5)</f>
        <v>ender</v>
      </c>
      <c r="L72">
        <f t="shared" si="23"/>
        <v>9.9700000000000006</v>
      </c>
      <c r="M72">
        <f t="shared" si="24"/>
        <v>1</v>
      </c>
      <c r="N72">
        <f t="shared" si="25"/>
        <v>20</v>
      </c>
      <c r="O72">
        <f t="shared" si="26"/>
        <v>4299</v>
      </c>
      <c r="P72">
        <f>RANK(basicformulas[[#This Row],[Quantity Sold]],F:F)</f>
        <v>56</v>
      </c>
      <c r="Q72">
        <f t="shared" si="27"/>
        <v>7</v>
      </c>
    </row>
    <row r="73" spans="1:17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  <c r="G73">
        <f t="shared" si="20"/>
        <v>3.6055512754639891</v>
      </c>
      <c r="H73">
        <f t="shared" si="21"/>
        <v>3.6</v>
      </c>
      <c r="I73">
        <f>SUM(basicformulas[[#This Row],[sqrt]:[roung]])</f>
        <v>7.2055512754639892</v>
      </c>
      <c r="J73" t="str">
        <f t="shared" si="22"/>
        <v>S</v>
      </c>
      <c r="K73" t="str">
        <f>RIGHT(basicformulas[[#This Row],[Product]],5)</f>
        <v>akers</v>
      </c>
      <c r="L73">
        <f t="shared" si="23"/>
        <v>9.9700000000000006</v>
      </c>
      <c r="M73">
        <f t="shared" si="24"/>
        <v>1</v>
      </c>
      <c r="N73">
        <f t="shared" si="25"/>
        <v>20</v>
      </c>
      <c r="O73">
        <f t="shared" si="26"/>
        <v>4299</v>
      </c>
      <c r="P73">
        <f>RANK(basicformulas[[#This Row],[Quantity Sold]],F:F)</f>
        <v>29</v>
      </c>
      <c r="Q73">
        <f t="shared" si="27"/>
        <v>8</v>
      </c>
    </row>
    <row r="74" spans="1:17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  <c r="G74">
        <f t="shared" si="20"/>
        <v>3.872983346207417</v>
      </c>
      <c r="H74">
        <f t="shared" si="21"/>
        <v>3.9</v>
      </c>
      <c r="I74">
        <f>SUM(basicformulas[[#This Row],[sqrt]:[roung]])</f>
        <v>7.7729833462074165</v>
      </c>
      <c r="J74" t="str">
        <f t="shared" si="22"/>
        <v>L</v>
      </c>
      <c r="K74" t="str">
        <f>RIGHT(basicformulas[[#This Row],[Product]],5)</f>
        <v>aptop</v>
      </c>
      <c r="L74">
        <f t="shared" si="23"/>
        <v>9.9700000000000006</v>
      </c>
      <c r="M74">
        <f t="shared" si="24"/>
        <v>1</v>
      </c>
      <c r="N74">
        <f t="shared" si="25"/>
        <v>20</v>
      </c>
      <c r="O74">
        <f t="shared" si="26"/>
        <v>4299</v>
      </c>
      <c r="P74">
        <f>RANK(basicformulas[[#This Row],[Quantity Sold]],F:F)</f>
        <v>21</v>
      </c>
      <c r="Q74">
        <f t="shared" si="27"/>
        <v>6</v>
      </c>
    </row>
    <row r="75" spans="1:17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  <c r="G75">
        <f t="shared" si="20"/>
        <v>4.358898943540674</v>
      </c>
      <c r="H75">
        <f t="shared" si="21"/>
        <v>4.4000000000000004</v>
      </c>
      <c r="I75">
        <f>SUM(basicformulas[[#This Row],[sqrt]:[roung]])</f>
        <v>8.7588989435406752</v>
      </c>
      <c r="J75" t="str">
        <f t="shared" si="22"/>
        <v>S</v>
      </c>
      <c r="K75" t="str">
        <f>RIGHT(basicformulas[[#This Row],[Product]],5)</f>
        <v>Shirt</v>
      </c>
      <c r="L75">
        <f t="shared" si="23"/>
        <v>9.9700000000000006</v>
      </c>
      <c r="M75">
        <f t="shared" si="24"/>
        <v>1</v>
      </c>
      <c r="N75">
        <f t="shared" si="25"/>
        <v>20</v>
      </c>
      <c r="O75">
        <f t="shared" si="26"/>
        <v>4299</v>
      </c>
      <c r="P75">
        <f>RANK(basicformulas[[#This Row],[Quantity Sold]],F:F)</f>
        <v>5</v>
      </c>
      <c r="Q75">
        <f t="shared" si="27"/>
        <v>5</v>
      </c>
    </row>
    <row r="76" spans="1:17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  <c r="G76">
        <f t="shared" si="20"/>
        <v>4.358898943540674</v>
      </c>
      <c r="H76">
        <f t="shared" si="21"/>
        <v>4.4000000000000004</v>
      </c>
      <c r="I76">
        <f>SUM(basicformulas[[#This Row],[sqrt]:[roung]])</f>
        <v>8.7588989435406752</v>
      </c>
      <c r="J76" t="str">
        <f t="shared" si="22"/>
        <v>S</v>
      </c>
      <c r="K76" t="str">
        <f>RIGHT(basicformulas[[#This Row],[Product]],5)</f>
        <v>phone</v>
      </c>
      <c r="L76">
        <f t="shared" si="23"/>
        <v>9.9700000000000006</v>
      </c>
      <c r="M76">
        <f t="shared" si="24"/>
        <v>1</v>
      </c>
      <c r="N76">
        <f t="shared" si="25"/>
        <v>20</v>
      </c>
      <c r="O76">
        <f t="shared" si="26"/>
        <v>4299</v>
      </c>
      <c r="P76">
        <f>RANK(basicformulas[[#This Row],[Quantity Sold]],F:F)</f>
        <v>5</v>
      </c>
      <c r="Q76">
        <f t="shared" si="27"/>
        <v>10</v>
      </c>
    </row>
    <row r="77" spans="1:17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  <c r="G77">
        <f t="shared" si="20"/>
        <v>2.8284271247461903</v>
      </c>
      <c r="H77">
        <f t="shared" si="21"/>
        <v>2.8</v>
      </c>
      <c r="I77">
        <f>SUM(basicformulas[[#This Row],[sqrt]:[roung]])</f>
        <v>5.6284271247461906</v>
      </c>
      <c r="J77" t="str">
        <f t="shared" si="22"/>
        <v>S</v>
      </c>
      <c r="K77" t="str">
        <f>RIGHT(basicformulas[[#This Row],[Product]],5)</f>
        <v>phone</v>
      </c>
      <c r="L77">
        <f t="shared" si="23"/>
        <v>9.9700000000000006</v>
      </c>
      <c r="M77">
        <f t="shared" si="24"/>
        <v>1</v>
      </c>
      <c r="N77">
        <f t="shared" si="25"/>
        <v>20</v>
      </c>
      <c r="O77">
        <f t="shared" si="26"/>
        <v>4299</v>
      </c>
      <c r="P77">
        <f>RANK(basicformulas[[#This Row],[Quantity Sold]],F:F)</f>
        <v>56</v>
      </c>
      <c r="Q77">
        <f t="shared" si="27"/>
        <v>10</v>
      </c>
    </row>
    <row r="78" spans="1:17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  <c r="G78">
        <f t="shared" si="20"/>
        <v>4.2426406871192848</v>
      </c>
      <c r="H78">
        <f t="shared" si="21"/>
        <v>4.2</v>
      </c>
      <c r="I78">
        <f>SUM(basicformulas[[#This Row],[sqrt]:[roung]])</f>
        <v>8.4426406871192849</v>
      </c>
      <c r="J78" t="str">
        <f t="shared" si="22"/>
        <v>B</v>
      </c>
      <c r="K78" t="str">
        <f>RIGHT(basicformulas[[#This Row],[Product]],5)</f>
        <v>Boots</v>
      </c>
      <c r="L78">
        <f t="shared" si="23"/>
        <v>9.9700000000000006</v>
      </c>
      <c r="M78">
        <f t="shared" si="24"/>
        <v>1</v>
      </c>
      <c r="N78">
        <f t="shared" si="25"/>
        <v>20</v>
      </c>
      <c r="O78">
        <f t="shared" si="26"/>
        <v>4299</v>
      </c>
      <c r="P78">
        <f>RANK(basicformulas[[#This Row],[Quantity Sold]],F:F)</f>
        <v>10</v>
      </c>
      <c r="Q78">
        <f t="shared" si="27"/>
        <v>5</v>
      </c>
    </row>
    <row r="79" spans="1:17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  <c r="G79">
        <f t="shared" si="20"/>
        <v>2.2360679774997898</v>
      </c>
      <c r="H79">
        <f t="shared" si="21"/>
        <v>2.2000000000000002</v>
      </c>
      <c r="I79">
        <f>SUM(basicformulas[[#This Row],[sqrt]:[roung]])</f>
        <v>4.43606797749979</v>
      </c>
      <c r="J79" t="str">
        <f t="shared" si="22"/>
        <v>S</v>
      </c>
      <c r="K79" t="str">
        <f>RIGHT(basicformulas[[#This Row],[Product]],5)</f>
        <v>akers</v>
      </c>
      <c r="L79">
        <f t="shared" si="23"/>
        <v>9.9700000000000006</v>
      </c>
      <c r="M79">
        <f t="shared" si="24"/>
        <v>1</v>
      </c>
      <c r="N79">
        <f t="shared" si="25"/>
        <v>20</v>
      </c>
      <c r="O79">
        <f t="shared" si="26"/>
        <v>4299</v>
      </c>
      <c r="P79">
        <f>RANK(basicformulas[[#This Row],[Quantity Sold]],F:F)</f>
        <v>72</v>
      </c>
      <c r="Q79">
        <f t="shared" si="27"/>
        <v>8</v>
      </c>
    </row>
    <row r="80" spans="1:17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  <c r="G80">
        <f t="shared" si="20"/>
        <v>2.6457513110645907</v>
      </c>
      <c r="H80">
        <f t="shared" si="21"/>
        <v>2.6</v>
      </c>
      <c r="I80">
        <f>SUM(basicformulas[[#This Row],[sqrt]:[roung]])</f>
        <v>5.2457513110645912</v>
      </c>
      <c r="J80" t="str">
        <f t="shared" si="22"/>
        <v>B</v>
      </c>
      <c r="K80" t="str">
        <f>RIGHT(basicformulas[[#This Row],[Product]],5)</f>
        <v>Boots</v>
      </c>
      <c r="L80">
        <f t="shared" si="23"/>
        <v>9.9700000000000006</v>
      </c>
      <c r="M80">
        <f t="shared" si="24"/>
        <v>1</v>
      </c>
      <c r="N80">
        <f t="shared" si="25"/>
        <v>20</v>
      </c>
      <c r="O80">
        <f t="shared" si="26"/>
        <v>4299</v>
      </c>
      <c r="P80">
        <f>RANK(basicformulas[[#This Row],[Quantity Sold]],F:F)</f>
        <v>63</v>
      </c>
      <c r="Q80">
        <f t="shared" si="27"/>
        <v>5</v>
      </c>
    </row>
    <row r="81" spans="1:17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  <c r="G81">
        <f t="shared" si="20"/>
        <v>3.3166247903553998</v>
      </c>
      <c r="H81">
        <f t="shared" si="21"/>
        <v>3.3</v>
      </c>
      <c r="I81">
        <f>SUM(basicformulas[[#This Row],[sqrt]:[roung]])</f>
        <v>6.6166247903553996</v>
      </c>
      <c r="J81" t="str">
        <f t="shared" si="22"/>
        <v>T</v>
      </c>
      <c r="K81" t="str">
        <f>RIGHT(basicformulas[[#This Row],[Product]],5)</f>
        <v>users</v>
      </c>
      <c r="L81">
        <f t="shared" si="23"/>
        <v>9.9700000000000006</v>
      </c>
      <c r="M81">
        <f t="shared" si="24"/>
        <v>1</v>
      </c>
      <c r="N81">
        <f t="shared" si="25"/>
        <v>20</v>
      </c>
      <c r="O81">
        <f t="shared" si="26"/>
        <v>4299</v>
      </c>
      <c r="P81">
        <f>RANK(basicformulas[[#This Row],[Quantity Sold]],F:F)</f>
        <v>39</v>
      </c>
      <c r="Q81">
        <f t="shared" si="27"/>
        <v>8</v>
      </c>
    </row>
    <row r="82" spans="1:17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  <c r="G82">
        <f t="shared" si="20"/>
        <v>3</v>
      </c>
      <c r="H82">
        <f t="shared" si="21"/>
        <v>3</v>
      </c>
      <c r="I82">
        <f>SUM(basicformulas[[#This Row],[sqrt]:[roung]])</f>
        <v>6</v>
      </c>
      <c r="J82" t="str">
        <f t="shared" si="22"/>
        <v>S</v>
      </c>
      <c r="K82" t="str">
        <f>RIGHT(basicformulas[[#This Row],[Product]],5)</f>
        <v>Shirt</v>
      </c>
      <c r="L82">
        <f t="shared" si="23"/>
        <v>9.9700000000000006</v>
      </c>
      <c r="M82">
        <f t="shared" si="24"/>
        <v>1</v>
      </c>
      <c r="N82">
        <f t="shared" si="25"/>
        <v>20</v>
      </c>
      <c r="O82">
        <f t="shared" si="26"/>
        <v>4299</v>
      </c>
      <c r="P82">
        <f>RANK(basicformulas[[#This Row],[Quantity Sold]],F:F)</f>
        <v>49</v>
      </c>
      <c r="Q82">
        <f t="shared" si="27"/>
        <v>5</v>
      </c>
    </row>
    <row r="83" spans="1:17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  <c r="G83">
        <f t="shared" si="20"/>
        <v>3.1622776601683795</v>
      </c>
      <c r="H83">
        <f t="shared" si="21"/>
        <v>3.2</v>
      </c>
      <c r="I83">
        <f>SUM(basicformulas[[#This Row],[sqrt]:[roung]])</f>
        <v>6.3622776601683793</v>
      </c>
      <c r="J83" t="str">
        <f t="shared" si="22"/>
        <v>B</v>
      </c>
      <c r="K83" t="str">
        <f>RIGHT(basicformulas[[#This Row],[Product]],5)</f>
        <v>ender</v>
      </c>
      <c r="L83">
        <f t="shared" si="23"/>
        <v>9.9700000000000006</v>
      </c>
      <c r="M83">
        <f t="shared" si="24"/>
        <v>1</v>
      </c>
      <c r="N83">
        <f t="shared" si="25"/>
        <v>20</v>
      </c>
      <c r="O83">
        <f t="shared" si="26"/>
        <v>4299</v>
      </c>
      <c r="P83">
        <f>RANK(basicformulas[[#This Row],[Quantity Sold]],F:F)</f>
        <v>43</v>
      </c>
      <c r="Q83">
        <f t="shared" si="27"/>
        <v>7</v>
      </c>
    </row>
    <row r="84" spans="1:17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  <c r="G84">
        <f t="shared" si="20"/>
        <v>2.2360679774997898</v>
      </c>
      <c r="H84">
        <f t="shared" si="21"/>
        <v>2.2000000000000002</v>
      </c>
      <c r="I84">
        <f>SUM(basicformulas[[#This Row],[sqrt]:[roung]])</f>
        <v>4.43606797749979</v>
      </c>
      <c r="J84" t="str">
        <f t="shared" si="22"/>
        <v>B</v>
      </c>
      <c r="K84" t="str">
        <f>RIGHT(basicformulas[[#This Row],[Product]],5)</f>
        <v>Boots</v>
      </c>
      <c r="L84">
        <f t="shared" si="23"/>
        <v>9.9700000000000006</v>
      </c>
      <c r="M84">
        <f t="shared" si="24"/>
        <v>1</v>
      </c>
      <c r="N84">
        <f t="shared" si="25"/>
        <v>20</v>
      </c>
      <c r="O84">
        <f t="shared" si="26"/>
        <v>4299</v>
      </c>
      <c r="P84">
        <f>RANK(basicformulas[[#This Row],[Quantity Sold]],F:F)</f>
        <v>72</v>
      </c>
      <c r="Q84">
        <f t="shared" si="27"/>
        <v>5</v>
      </c>
    </row>
    <row r="85" spans="1:17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  <c r="G85">
        <f t="shared" si="20"/>
        <v>3.872983346207417</v>
      </c>
      <c r="H85">
        <f t="shared" si="21"/>
        <v>3.9</v>
      </c>
      <c r="I85">
        <f>SUM(basicformulas[[#This Row],[sqrt]:[roung]])</f>
        <v>7.7729833462074165</v>
      </c>
      <c r="J85" t="str">
        <f t="shared" si="22"/>
        <v>T</v>
      </c>
      <c r="K85" t="str">
        <f>RIGHT(basicformulas[[#This Row],[Product]],5)</f>
        <v>users</v>
      </c>
      <c r="L85">
        <f t="shared" si="23"/>
        <v>9.9700000000000006</v>
      </c>
      <c r="M85">
        <f t="shared" si="24"/>
        <v>1</v>
      </c>
      <c r="N85">
        <f t="shared" si="25"/>
        <v>20</v>
      </c>
      <c r="O85">
        <f t="shared" si="26"/>
        <v>4299</v>
      </c>
      <c r="P85">
        <f>RANK(basicformulas[[#This Row],[Quantity Sold]],F:F)</f>
        <v>21</v>
      </c>
      <c r="Q85">
        <f t="shared" si="27"/>
        <v>8</v>
      </c>
    </row>
    <row r="86" spans="1:17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  <c r="G86">
        <f t="shared" si="20"/>
        <v>3.872983346207417</v>
      </c>
      <c r="H86">
        <f t="shared" si="21"/>
        <v>3.9</v>
      </c>
      <c r="I86">
        <f>SUM(basicformulas[[#This Row],[sqrt]:[roung]])</f>
        <v>7.7729833462074165</v>
      </c>
      <c r="J86" t="str">
        <f t="shared" si="22"/>
        <v>S</v>
      </c>
      <c r="K86" t="str">
        <f>RIGHT(basicformulas[[#This Row],[Product]],5)</f>
        <v>akers</v>
      </c>
      <c r="L86">
        <f t="shared" si="23"/>
        <v>9.9700000000000006</v>
      </c>
      <c r="M86">
        <f t="shared" si="24"/>
        <v>1</v>
      </c>
      <c r="N86">
        <f t="shared" si="25"/>
        <v>20</v>
      </c>
      <c r="O86">
        <f t="shared" si="26"/>
        <v>4299</v>
      </c>
      <c r="P86">
        <f>RANK(basicformulas[[#This Row],[Quantity Sold]],F:F)</f>
        <v>21</v>
      </c>
      <c r="Q86">
        <f t="shared" si="27"/>
        <v>8</v>
      </c>
    </row>
    <row r="87" spans="1:17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  <c r="G87">
        <f t="shared" si="20"/>
        <v>3.6055512754639891</v>
      </c>
      <c r="H87">
        <f t="shared" si="21"/>
        <v>3.6</v>
      </c>
      <c r="I87">
        <f>SUM(basicformulas[[#This Row],[sqrt]:[roung]])</f>
        <v>7.2055512754639892</v>
      </c>
      <c r="J87" t="str">
        <f t="shared" si="22"/>
        <v>B</v>
      </c>
      <c r="K87" t="str">
        <f>RIGHT(basicformulas[[#This Row],[Product]],5)</f>
        <v>Boots</v>
      </c>
      <c r="L87">
        <f t="shared" si="23"/>
        <v>9.9700000000000006</v>
      </c>
      <c r="M87">
        <f t="shared" si="24"/>
        <v>1</v>
      </c>
      <c r="N87">
        <f t="shared" si="25"/>
        <v>20</v>
      </c>
      <c r="O87">
        <f t="shared" si="26"/>
        <v>4299</v>
      </c>
      <c r="P87">
        <f>RANK(basicformulas[[#This Row],[Quantity Sold]],F:F)</f>
        <v>29</v>
      </c>
      <c r="Q87">
        <f t="shared" si="27"/>
        <v>5</v>
      </c>
    </row>
    <row r="88" spans="1:17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  <c r="G88">
        <f t="shared" si="20"/>
        <v>4.358898943540674</v>
      </c>
      <c r="H88">
        <f t="shared" si="21"/>
        <v>4.4000000000000004</v>
      </c>
      <c r="I88">
        <f>SUM(basicformulas[[#This Row],[sqrt]:[roung]])</f>
        <v>8.7588989435406752</v>
      </c>
      <c r="J88" t="str">
        <f t="shared" si="22"/>
        <v>B</v>
      </c>
      <c r="K88" t="str">
        <f>RIGHT(basicformulas[[#This Row],[Product]],5)</f>
        <v>ender</v>
      </c>
      <c r="L88">
        <f t="shared" si="23"/>
        <v>9.9700000000000006</v>
      </c>
      <c r="M88">
        <f t="shared" si="24"/>
        <v>1</v>
      </c>
      <c r="N88">
        <f t="shared" si="25"/>
        <v>20</v>
      </c>
      <c r="O88">
        <f t="shared" si="26"/>
        <v>4299</v>
      </c>
      <c r="P88">
        <f>RANK(basicformulas[[#This Row],[Quantity Sold]],F:F)</f>
        <v>5</v>
      </c>
      <c r="Q88">
        <f t="shared" si="27"/>
        <v>7</v>
      </c>
    </row>
    <row r="89" spans="1:17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  <c r="G89">
        <f t="shared" si="20"/>
        <v>2.2360679774997898</v>
      </c>
      <c r="H89">
        <f t="shared" si="21"/>
        <v>2.2000000000000002</v>
      </c>
      <c r="I89">
        <f>SUM(basicformulas[[#This Row],[sqrt]:[roung]])</f>
        <v>4.43606797749979</v>
      </c>
      <c r="J89" t="str">
        <f t="shared" si="22"/>
        <v>T</v>
      </c>
      <c r="K89" t="str">
        <f>RIGHT(basicformulas[[#This Row],[Product]],5)</f>
        <v>users</v>
      </c>
      <c r="L89">
        <f t="shared" si="23"/>
        <v>9.9700000000000006</v>
      </c>
      <c r="M89">
        <f t="shared" si="24"/>
        <v>1</v>
      </c>
      <c r="N89">
        <f t="shared" si="25"/>
        <v>20</v>
      </c>
      <c r="O89">
        <f t="shared" si="26"/>
        <v>4299</v>
      </c>
      <c r="P89">
        <f>RANK(basicformulas[[#This Row],[Quantity Sold]],F:F)</f>
        <v>72</v>
      </c>
      <c r="Q89">
        <f t="shared" si="27"/>
        <v>8</v>
      </c>
    </row>
    <row r="90" spans="1:17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  <c r="G90">
        <f t="shared" si="20"/>
        <v>2.8284271247461903</v>
      </c>
      <c r="H90">
        <f t="shared" si="21"/>
        <v>2.8</v>
      </c>
      <c r="I90">
        <f>SUM(basicformulas[[#This Row],[sqrt]:[roung]])</f>
        <v>5.6284271247461906</v>
      </c>
      <c r="J90" t="str">
        <f t="shared" si="22"/>
        <v>S</v>
      </c>
      <c r="K90" t="str">
        <f>RIGHT(basicformulas[[#This Row],[Product]],5)</f>
        <v>phone</v>
      </c>
      <c r="L90">
        <f t="shared" si="23"/>
        <v>9.9700000000000006</v>
      </c>
      <c r="M90">
        <f t="shared" si="24"/>
        <v>1</v>
      </c>
      <c r="N90">
        <f t="shared" si="25"/>
        <v>20</v>
      </c>
      <c r="O90">
        <f t="shared" si="26"/>
        <v>4299</v>
      </c>
      <c r="P90">
        <f>RANK(basicformulas[[#This Row],[Quantity Sold]],F:F)</f>
        <v>56</v>
      </c>
      <c r="Q90">
        <f t="shared" si="27"/>
        <v>10</v>
      </c>
    </row>
    <row r="91" spans="1:17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  <c r="G91">
        <f t="shared" si="20"/>
        <v>2</v>
      </c>
      <c r="H91">
        <f t="shared" si="21"/>
        <v>2</v>
      </c>
      <c r="I91">
        <f>SUM(basicformulas[[#This Row],[sqrt]:[roung]])</f>
        <v>4</v>
      </c>
      <c r="J91" t="str">
        <f t="shared" si="22"/>
        <v>M</v>
      </c>
      <c r="K91" t="str">
        <f>RIGHT(basicformulas[[#This Row],[Product]],5)</f>
        <v>owave</v>
      </c>
      <c r="L91">
        <f t="shared" si="23"/>
        <v>9.9700000000000006</v>
      </c>
      <c r="M91">
        <f t="shared" si="24"/>
        <v>1</v>
      </c>
      <c r="N91">
        <f t="shared" si="25"/>
        <v>20</v>
      </c>
      <c r="O91">
        <f t="shared" si="26"/>
        <v>4299</v>
      </c>
      <c r="P91">
        <f>RANK(basicformulas[[#This Row],[Quantity Sold]],F:F)</f>
        <v>82</v>
      </c>
      <c r="Q91">
        <f t="shared" si="27"/>
        <v>9</v>
      </c>
    </row>
    <row r="92" spans="1:17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  <c r="G92">
        <f t="shared" si="20"/>
        <v>4.4721359549995796</v>
      </c>
      <c r="H92">
        <f t="shared" si="21"/>
        <v>4.5</v>
      </c>
      <c r="I92">
        <f>SUM(basicformulas[[#This Row],[sqrt]:[roung]])</f>
        <v>8.9721359549995796</v>
      </c>
      <c r="J92" t="str">
        <f t="shared" si="22"/>
        <v>S</v>
      </c>
      <c r="K92" t="str">
        <f>RIGHT(basicformulas[[#This Row],[Product]],5)</f>
        <v>Shirt</v>
      </c>
      <c r="L92">
        <f t="shared" si="23"/>
        <v>9.9700000000000006</v>
      </c>
      <c r="M92">
        <f t="shared" si="24"/>
        <v>1</v>
      </c>
      <c r="N92">
        <f t="shared" si="25"/>
        <v>20</v>
      </c>
      <c r="O92">
        <f t="shared" si="26"/>
        <v>4299</v>
      </c>
      <c r="P92">
        <f>RANK(basicformulas[[#This Row],[Quantity Sold]],F:F)</f>
        <v>1</v>
      </c>
      <c r="Q92">
        <f t="shared" si="27"/>
        <v>5</v>
      </c>
    </row>
    <row r="93" spans="1:17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  <c r="G93">
        <f t="shared" si="20"/>
        <v>3.1622776601683795</v>
      </c>
      <c r="H93">
        <f t="shared" si="21"/>
        <v>3.2</v>
      </c>
      <c r="I93">
        <f>SUM(basicformulas[[#This Row],[sqrt]:[roung]])</f>
        <v>6.3622776601683793</v>
      </c>
      <c r="J93" t="str">
        <f t="shared" si="22"/>
        <v>B</v>
      </c>
      <c r="K93" t="str">
        <f>RIGHT(basicformulas[[#This Row],[Product]],5)</f>
        <v>ender</v>
      </c>
      <c r="L93">
        <f t="shared" si="23"/>
        <v>9.9700000000000006</v>
      </c>
      <c r="M93">
        <f t="shared" si="24"/>
        <v>1</v>
      </c>
      <c r="N93">
        <f t="shared" si="25"/>
        <v>20</v>
      </c>
      <c r="O93">
        <f t="shared" si="26"/>
        <v>4299</v>
      </c>
      <c r="P93">
        <f>RANK(basicformulas[[#This Row],[Quantity Sold]],F:F)</f>
        <v>43</v>
      </c>
      <c r="Q93">
        <f t="shared" si="27"/>
        <v>7</v>
      </c>
    </row>
    <row r="94" spans="1:17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  <c r="G94">
        <f t="shared" si="20"/>
        <v>4.4721359549995796</v>
      </c>
      <c r="H94">
        <f t="shared" si="21"/>
        <v>4.5</v>
      </c>
      <c r="I94">
        <f>SUM(basicformulas[[#This Row],[sqrt]:[roung]])</f>
        <v>8.9721359549995796</v>
      </c>
      <c r="J94" t="str">
        <f t="shared" si="22"/>
        <v>B</v>
      </c>
      <c r="K94" t="str">
        <f>RIGHT(basicformulas[[#This Row],[Product]],5)</f>
        <v>ender</v>
      </c>
      <c r="L94">
        <f t="shared" si="23"/>
        <v>9.9700000000000006</v>
      </c>
      <c r="M94">
        <f t="shared" si="24"/>
        <v>1</v>
      </c>
      <c r="N94">
        <f t="shared" si="25"/>
        <v>20</v>
      </c>
      <c r="O94">
        <f t="shared" si="26"/>
        <v>4299</v>
      </c>
      <c r="P94">
        <f>RANK(basicformulas[[#This Row],[Quantity Sold]],F:F)</f>
        <v>1</v>
      </c>
      <c r="Q94">
        <f t="shared" si="27"/>
        <v>7</v>
      </c>
    </row>
    <row r="95" spans="1:17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  <c r="G95">
        <f t="shared" si="20"/>
        <v>3.6055512754639891</v>
      </c>
      <c r="H95">
        <f t="shared" si="21"/>
        <v>3.6</v>
      </c>
      <c r="I95">
        <f>SUM(basicformulas[[#This Row],[sqrt]:[roung]])</f>
        <v>7.2055512754639892</v>
      </c>
      <c r="J95" t="str">
        <f t="shared" si="22"/>
        <v>S</v>
      </c>
      <c r="K95" t="str">
        <f>RIGHT(basicformulas[[#This Row],[Product]],5)</f>
        <v>Shirt</v>
      </c>
      <c r="L95">
        <f t="shared" si="23"/>
        <v>9.9700000000000006</v>
      </c>
      <c r="M95">
        <f t="shared" si="24"/>
        <v>1</v>
      </c>
      <c r="N95">
        <f t="shared" si="25"/>
        <v>20</v>
      </c>
      <c r="O95">
        <f t="shared" si="26"/>
        <v>4299</v>
      </c>
      <c r="P95">
        <f>RANK(basicformulas[[#This Row],[Quantity Sold]],F:F)</f>
        <v>29</v>
      </c>
      <c r="Q95">
        <f t="shared" si="27"/>
        <v>5</v>
      </c>
    </row>
    <row r="96" spans="1:17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  <c r="G96">
        <f t="shared" si="20"/>
        <v>1.4142135623730951</v>
      </c>
      <c r="H96">
        <f t="shared" si="21"/>
        <v>1.4</v>
      </c>
      <c r="I96">
        <f>SUM(basicformulas[[#This Row],[sqrt]:[roung]])</f>
        <v>2.8142135623730953</v>
      </c>
      <c r="J96" t="str">
        <f t="shared" si="22"/>
        <v>M</v>
      </c>
      <c r="K96" t="str">
        <f>RIGHT(basicformulas[[#This Row],[Product]],5)</f>
        <v>owave</v>
      </c>
      <c r="L96">
        <f t="shared" si="23"/>
        <v>9.9700000000000006</v>
      </c>
      <c r="M96">
        <f t="shared" si="24"/>
        <v>1</v>
      </c>
      <c r="N96">
        <f t="shared" si="25"/>
        <v>20</v>
      </c>
      <c r="O96">
        <f t="shared" si="26"/>
        <v>4299</v>
      </c>
      <c r="P96">
        <f>RANK(basicformulas[[#This Row],[Quantity Sold]],F:F)</f>
        <v>94</v>
      </c>
      <c r="Q96">
        <f t="shared" si="27"/>
        <v>9</v>
      </c>
    </row>
    <row r="97" spans="1:17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  <c r="G97">
        <f t="shared" si="20"/>
        <v>2.2360679774997898</v>
      </c>
      <c r="H97">
        <f t="shared" si="21"/>
        <v>2.2000000000000002</v>
      </c>
      <c r="I97">
        <f>SUM(basicformulas[[#This Row],[sqrt]:[roung]])</f>
        <v>4.43606797749979</v>
      </c>
      <c r="J97" t="str">
        <f t="shared" si="22"/>
        <v>S</v>
      </c>
      <c r="K97" t="str">
        <f>RIGHT(basicformulas[[#This Row],[Product]],5)</f>
        <v>akers</v>
      </c>
      <c r="L97">
        <f t="shared" si="23"/>
        <v>9.9700000000000006</v>
      </c>
      <c r="M97">
        <f t="shared" si="24"/>
        <v>1</v>
      </c>
      <c r="N97">
        <f t="shared" si="25"/>
        <v>20</v>
      </c>
      <c r="O97">
        <f t="shared" si="26"/>
        <v>4299</v>
      </c>
      <c r="P97">
        <f>RANK(basicformulas[[#This Row],[Quantity Sold]],F:F)</f>
        <v>72</v>
      </c>
      <c r="Q97">
        <f t="shared" si="27"/>
        <v>8</v>
      </c>
    </row>
    <row r="98" spans="1:17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  <c r="G98">
        <f t="shared" ref="G98:G101" si="28">SQRT(F:F)</f>
        <v>3.4641016151377544</v>
      </c>
      <c r="H98">
        <f t="shared" ref="H98:H101" si="29">ROUND(G:G,1)</f>
        <v>3.5</v>
      </c>
      <c r="I98">
        <f>SUM(basicformulas[[#This Row],[sqrt]:[roung]])</f>
        <v>6.9641016151377544</v>
      </c>
      <c r="J98" t="str">
        <f t="shared" si="22"/>
        <v>S</v>
      </c>
      <c r="K98" t="str">
        <f>RIGHT(basicformulas[[#This Row],[Product]],5)</f>
        <v>akers</v>
      </c>
      <c r="L98">
        <f t="shared" si="23"/>
        <v>9.9700000000000006</v>
      </c>
      <c r="M98">
        <f t="shared" si="24"/>
        <v>1</v>
      </c>
      <c r="N98">
        <f t="shared" si="25"/>
        <v>20</v>
      </c>
      <c r="O98">
        <f t="shared" si="26"/>
        <v>4299</v>
      </c>
      <c r="P98">
        <f>RANK(basicformulas[[#This Row],[Quantity Sold]],F:F)</f>
        <v>37</v>
      </c>
      <c r="Q98">
        <f t="shared" si="27"/>
        <v>8</v>
      </c>
    </row>
    <row r="99" spans="1:17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  <c r="G99">
        <f t="shared" si="28"/>
        <v>2.2360679774997898</v>
      </c>
      <c r="H99">
        <f t="shared" si="29"/>
        <v>2.2000000000000002</v>
      </c>
      <c r="I99">
        <f>SUM(basicformulas[[#This Row],[sqrt]:[roung]])</f>
        <v>4.43606797749979</v>
      </c>
      <c r="J99" t="str">
        <f t="shared" si="22"/>
        <v>L</v>
      </c>
      <c r="K99" t="str">
        <f>RIGHT(basicformulas[[#This Row],[Product]],5)</f>
        <v>aptop</v>
      </c>
      <c r="L99">
        <f t="shared" si="23"/>
        <v>9.9700000000000006</v>
      </c>
      <c r="M99">
        <f t="shared" si="24"/>
        <v>1</v>
      </c>
      <c r="N99">
        <f t="shared" si="25"/>
        <v>20</v>
      </c>
      <c r="O99">
        <f t="shared" si="26"/>
        <v>4299</v>
      </c>
      <c r="P99">
        <f>RANK(basicformulas[[#This Row],[Quantity Sold]],F:F)</f>
        <v>72</v>
      </c>
      <c r="Q99">
        <f t="shared" si="27"/>
        <v>6</v>
      </c>
    </row>
    <row r="100" spans="1:17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  <c r="G100">
        <f t="shared" si="28"/>
        <v>3.4641016151377544</v>
      </c>
      <c r="H100">
        <f t="shared" si="29"/>
        <v>3.5</v>
      </c>
      <c r="I100">
        <f>SUM(basicformulas[[#This Row],[sqrt]:[roung]])</f>
        <v>6.9641016151377544</v>
      </c>
      <c r="J100" t="str">
        <f t="shared" si="22"/>
        <v>S</v>
      </c>
      <c r="K100" t="str">
        <f>RIGHT(basicformulas[[#This Row],[Product]],5)</f>
        <v>Shirt</v>
      </c>
      <c r="L100">
        <f t="shared" si="23"/>
        <v>9.9700000000000006</v>
      </c>
      <c r="M100">
        <f t="shared" si="24"/>
        <v>1</v>
      </c>
      <c r="N100">
        <f t="shared" si="25"/>
        <v>20</v>
      </c>
      <c r="O100">
        <f t="shared" si="26"/>
        <v>4299</v>
      </c>
      <c r="P100">
        <f>RANK(basicformulas[[#This Row],[Quantity Sold]],F:F)</f>
        <v>37</v>
      </c>
      <c r="Q100">
        <f t="shared" si="27"/>
        <v>5</v>
      </c>
    </row>
    <row r="101" spans="1:17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  <c r="G101">
        <f t="shared" si="28"/>
        <v>2.6457513110645907</v>
      </c>
      <c r="H101">
        <f t="shared" si="29"/>
        <v>2.6</v>
      </c>
      <c r="I101">
        <f>SUM(basicformulas[[#This Row],[sqrt]:[roung]])</f>
        <v>5.2457513110645912</v>
      </c>
      <c r="J101" t="str">
        <f t="shared" si="22"/>
        <v>B</v>
      </c>
      <c r="K101" t="str">
        <f>RIGHT(basicformulas[[#This Row],[Product]],5)</f>
        <v>ender</v>
      </c>
      <c r="L101">
        <f t="shared" si="23"/>
        <v>9.9700000000000006</v>
      </c>
      <c r="M101">
        <f t="shared" si="24"/>
        <v>1</v>
      </c>
      <c r="N101">
        <f t="shared" si="25"/>
        <v>20</v>
      </c>
      <c r="O101">
        <f t="shared" si="26"/>
        <v>4299</v>
      </c>
      <c r="P101">
        <f>RANK(basicformulas[[#This Row],[Quantity Sold]],F:F)</f>
        <v>63</v>
      </c>
      <c r="Q101">
        <f t="shared" si="27"/>
        <v>7</v>
      </c>
    </row>
    <row r="165" spans="20:21" x14ac:dyDescent="0.25">
      <c r="T165">
        <v>10</v>
      </c>
      <c r="U165">
        <f>RANK(T165,T165:T169)</f>
        <v>4</v>
      </c>
    </row>
    <row r="166" spans="20:21" x14ac:dyDescent="0.25">
      <c r="T166">
        <v>10</v>
      </c>
      <c r="U166">
        <f t="shared" ref="U166:U169" si="30">RANK(T166,T166:T170)</f>
        <v>5</v>
      </c>
    </row>
    <row r="167" spans="20:21" x14ac:dyDescent="0.25">
      <c r="T167">
        <v>40</v>
      </c>
      <c r="U167">
        <f t="shared" si="30"/>
        <v>3</v>
      </c>
    </row>
    <row r="168" spans="20:21" x14ac:dyDescent="0.25">
      <c r="T168">
        <v>40</v>
      </c>
      <c r="U168">
        <f t="shared" si="30"/>
        <v>3</v>
      </c>
    </row>
    <row r="169" spans="20:21" x14ac:dyDescent="0.25">
      <c r="T169">
        <v>50</v>
      </c>
      <c r="U169">
        <f t="shared" si="30"/>
        <v>2</v>
      </c>
    </row>
    <row r="170" spans="20:21" x14ac:dyDescent="0.25">
      <c r="T170">
        <v>60</v>
      </c>
      <c r="U170">
        <f>RANK(T170,T170:T174)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257C-980A-4765-AB2F-81D90AA0B9D2}">
  <dimension ref="F9:N23"/>
  <sheetViews>
    <sheetView workbookViewId="0">
      <selection activeCell="N21" sqref="N21"/>
    </sheetView>
  </sheetViews>
  <sheetFormatPr defaultRowHeight="15" x14ac:dyDescent="0.25"/>
  <sheetData>
    <row r="9" spans="6:14" x14ac:dyDescent="0.25">
      <c r="G9" t="s">
        <v>98</v>
      </c>
      <c r="I9" t="s">
        <v>111</v>
      </c>
      <c r="L9" t="s">
        <v>111</v>
      </c>
    </row>
    <row r="10" spans="6:14" x14ac:dyDescent="0.25">
      <c r="F10">
        <v>10</v>
      </c>
      <c r="G10">
        <f>RANK(F10,F10:F17)</f>
        <v>8</v>
      </c>
      <c r="I10">
        <v>60</v>
      </c>
      <c r="K10" cm="1">
        <f t="array" ref="K10">COUNT(_xlfn.UNIQUE(_xlfn._xlws.FILTER($F$10:$F$17,$F$10:$F$17&gt;F10)))+1</f>
        <v>6</v>
      </c>
      <c r="L10">
        <v>6</v>
      </c>
      <c r="N10" cm="1">
        <f t="array" ref="N10">COUNT(_xlfn.UNIQUE(_xlfn._xlws.FILTER($F$10:$F$17,$F$10:$F$17&gt;F10)))+1</f>
        <v>6</v>
      </c>
    </row>
    <row r="11" spans="6:14" x14ac:dyDescent="0.25">
      <c r="F11">
        <v>20</v>
      </c>
      <c r="G11">
        <f t="shared" ref="G11:G17" si="0">RANK(F11,F11:F18)</f>
        <v>7</v>
      </c>
      <c r="I11">
        <v>50</v>
      </c>
      <c r="K11" cm="1">
        <f t="array" ref="K11">COUNT(_xlfn.UNIQUE(_xlfn._xlws.FILTER($F$10:$F$17,$F$10:$F$17&gt;F11)))+1</f>
        <v>5</v>
      </c>
      <c r="L11">
        <v>5</v>
      </c>
      <c r="N11" cm="1">
        <f t="array" ref="N11">COUNT(_xlfn.UNIQUE(_xlfn._xlws.FILTER($F$10:$F$17,$F$10:$F$17&gt;F11)))+1</f>
        <v>5</v>
      </c>
    </row>
    <row r="12" spans="6:14" x14ac:dyDescent="0.25">
      <c r="F12">
        <v>30</v>
      </c>
      <c r="G12">
        <f t="shared" si="0"/>
        <v>5</v>
      </c>
      <c r="I12">
        <v>50</v>
      </c>
      <c r="K12" cm="1">
        <f t="array" ref="K12">COUNT(_xlfn.UNIQUE(_xlfn._xlws.FILTER($F$10:$F$17,$F$10:$F$17&gt;F12)))+1</f>
        <v>4</v>
      </c>
      <c r="L12">
        <v>4</v>
      </c>
      <c r="N12" cm="1">
        <f t="array" ref="N12">COUNT(_xlfn.UNIQUE(_xlfn._xlws.FILTER($F$10:$F$17,$F$10:$F$17&gt;F12)))+1</f>
        <v>4</v>
      </c>
    </row>
    <row r="13" spans="6:14" x14ac:dyDescent="0.25">
      <c r="F13">
        <v>30</v>
      </c>
      <c r="G13">
        <f t="shared" si="0"/>
        <v>5</v>
      </c>
      <c r="I13">
        <v>40</v>
      </c>
      <c r="K13" cm="1">
        <f t="array" ref="K13">COUNT(_xlfn.UNIQUE(_xlfn._xlws.FILTER($F$10:$F$17,$F$10:$F$17&gt;F13)))+1</f>
        <v>4</v>
      </c>
      <c r="L13">
        <v>4</v>
      </c>
      <c r="N13" cm="1">
        <f t="array" ref="N13">COUNT(_xlfn.UNIQUE(_xlfn._xlws.FILTER($F$10:$F$17,$F$10:$F$17&gt;F13)))+1</f>
        <v>4</v>
      </c>
    </row>
    <row r="14" spans="6:14" x14ac:dyDescent="0.25">
      <c r="F14">
        <v>40</v>
      </c>
      <c r="G14">
        <f t="shared" si="0"/>
        <v>4</v>
      </c>
      <c r="I14">
        <v>30</v>
      </c>
      <c r="K14" cm="1">
        <f t="array" ref="K14">COUNT(_xlfn.UNIQUE(_xlfn._xlws.FILTER($F$10:$F$17,$F$10:$F$17&gt;F14)))+1</f>
        <v>3</v>
      </c>
      <c r="L14">
        <v>3</v>
      </c>
      <c r="N14" cm="1">
        <f t="array" ref="N14">COUNT(_xlfn.UNIQUE(_xlfn._xlws.FILTER($F$10:$F$17,$F$10:$F$17&gt;F14)))+1</f>
        <v>3</v>
      </c>
    </row>
    <row r="15" spans="6:14" x14ac:dyDescent="0.25">
      <c r="F15">
        <v>50</v>
      </c>
      <c r="G15">
        <f t="shared" si="0"/>
        <v>2</v>
      </c>
      <c r="I15">
        <v>30</v>
      </c>
      <c r="K15" cm="1">
        <f t="array" ref="K15">COUNT(_xlfn.UNIQUE(_xlfn._xlws.FILTER($F$10:$F$17,$F$10:$F$17&gt;F15)))+1</f>
        <v>2</v>
      </c>
      <c r="L15">
        <v>2</v>
      </c>
      <c r="N15" cm="1">
        <f t="array" ref="N15">COUNT(_xlfn.UNIQUE(_xlfn._xlws.FILTER($F$10:$F$17,$F$10:$F$17&gt;F15)))+1</f>
        <v>2</v>
      </c>
    </row>
    <row r="16" spans="6:14" x14ac:dyDescent="0.25">
      <c r="F16">
        <v>50</v>
      </c>
      <c r="G16">
        <f t="shared" si="0"/>
        <v>2</v>
      </c>
      <c r="I16">
        <v>20</v>
      </c>
      <c r="K16" cm="1">
        <f t="array" ref="K16">COUNT(_xlfn.UNIQUE(_xlfn._xlws.FILTER($F$10:$F$17,$F$10:$F$17&gt;F16)))+1</f>
        <v>2</v>
      </c>
      <c r="L16">
        <v>2</v>
      </c>
      <c r="N16" cm="1">
        <f t="array" ref="N16">COUNT(_xlfn.UNIQUE(_xlfn._xlws.FILTER($F$10:$F$17,$F$10:$F$17&gt;F16)))+1</f>
        <v>2</v>
      </c>
    </row>
    <row r="17" spans="6:14" x14ac:dyDescent="0.25">
      <c r="F17">
        <v>60</v>
      </c>
      <c r="G17">
        <f t="shared" si="0"/>
        <v>1</v>
      </c>
      <c r="I17">
        <v>10</v>
      </c>
      <c r="K17" cm="1">
        <f t="array" ref="K17">COUNT(_xlfn.UNIQUE(_xlfn._xlws.FILTER($F$10:$F$17,$F$10:$F$17&gt;F17)))+1</f>
        <v>1</v>
      </c>
      <c r="L17">
        <v>1</v>
      </c>
      <c r="N17" cm="1">
        <f t="array" ref="N17">COUNT(_xlfn.UNIQUE(_xlfn._xlws.FILTER($F$10:$F$17,$F$10:$F$17&gt;F17)))+1</f>
        <v>1</v>
      </c>
    </row>
    <row r="21" spans="6:14" x14ac:dyDescent="0.25">
      <c r="F21" t="s">
        <v>113</v>
      </c>
    </row>
    <row r="23" spans="6:14" x14ac:dyDescent="0.25">
      <c r="G23">
        <f>COUNT(F10:F17)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DCE7-16B2-40BB-AD31-2CDDE81D755B}">
  <dimension ref="A1:R101"/>
  <sheetViews>
    <sheetView topLeftCell="A4" workbookViewId="0">
      <selection activeCell="R22" sqref="R22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9" max="9" width="10.42578125" bestFit="1" customWidth="1"/>
    <col min="11" max="11" width="15.42578125" customWidth="1"/>
    <col min="13" max="13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3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3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3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3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3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3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13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I9" t="s">
        <v>114</v>
      </c>
      <c r="K9" t="s">
        <v>115</v>
      </c>
      <c r="M9" t="s">
        <v>116</v>
      </c>
    </row>
    <row r="10" spans="1:13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I10">
        <f ca="1">NETWORKDAYS(A2,TODAY())</f>
        <v>344</v>
      </c>
      <c r="M10" s="7" t="b">
        <f ca="1">M18=EOMONTH(TODAY(),2)</f>
        <v>1</v>
      </c>
    </row>
    <row r="11" spans="1:13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</row>
    <row r="12" spans="1:13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M12" s="7">
        <f ca="1">EOMONTH(TODAY(),8)</f>
        <v>46446</v>
      </c>
    </row>
    <row r="13" spans="1:13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</row>
    <row r="14" spans="1:13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</row>
    <row r="15" spans="1:13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</row>
    <row r="16" spans="1:13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</row>
    <row r="17" spans="1:18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I17" s="3" t="s">
        <v>122</v>
      </c>
      <c r="K17" s="3" t="s">
        <v>117</v>
      </c>
      <c r="M17" s="3" t="s">
        <v>118</v>
      </c>
      <c r="O17" s="3" t="s">
        <v>119</v>
      </c>
      <c r="P17" s="3" t="s">
        <v>120</v>
      </c>
      <c r="Q17" s="3" t="s">
        <v>121</v>
      </c>
      <c r="R17" s="3" t="s">
        <v>123</v>
      </c>
    </row>
    <row r="18" spans="1:18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I18" s="2">
        <f ca="1">TODAY()</f>
        <v>46177</v>
      </c>
      <c r="K18">
        <f ca="1">NETWORKDAYS(A2,TODAY())</f>
        <v>344</v>
      </c>
      <c r="M18" s="7">
        <f ca="1">EOMONTH(TODAY(),2)</f>
        <v>46265</v>
      </c>
      <c r="O18">
        <f ca="1">YEAR(TODAY())</f>
        <v>2026</v>
      </c>
      <c r="P18">
        <f ca="1">MONTH(TODAY())</f>
        <v>6</v>
      </c>
      <c r="Q18">
        <f ca="1">DAY(TODAY())</f>
        <v>4</v>
      </c>
      <c r="R18">
        <f ca="1">WEEKDAY(TODAY(),2)</f>
        <v>4</v>
      </c>
    </row>
    <row r="19" spans="1:18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O19">
        <f ca="1">YEAR(I18+265)</f>
        <v>2027</v>
      </c>
      <c r="P19">
        <f ca="1">MONTH(I18+50)</f>
        <v>7</v>
      </c>
      <c r="R19">
        <f ca="1">WEEKDAY(I18)</f>
        <v>5</v>
      </c>
    </row>
    <row r="20" spans="1:18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K20">
        <f ca="1">NETWORKDAYS(I18,"10-06-2026")</f>
        <v>5</v>
      </c>
    </row>
    <row r="21" spans="1:18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R21" t="str">
        <f ca="1">TEXT(I18,"DDDD")</f>
        <v>Thursday</v>
      </c>
    </row>
    <row r="22" spans="1:18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</row>
    <row r="23" spans="1:18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</row>
    <row r="24" spans="1:18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8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H25" s="3" t="s">
        <v>124</v>
      </c>
      <c r="I25" s="2">
        <f>DATE(2026,6,1)</f>
        <v>46174</v>
      </c>
    </row>
    <row r="26" spans="1:18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8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8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8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</row>
    <row r="30" spans="1:18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</row>
    <row r="31" spans="1:18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</row>
    <row r="32" spans="1:18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</row>
    <row r="33" spans="1:6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</row>
    <row r="34" spans="1:6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</row>
    <row r="35" spans="1:6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6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6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6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6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6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6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6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6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6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6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6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6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6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431A-30B5-4FF8-AD96-9DDA53CDB222}">
  <dimension ref="A1:T101"/>
  <sheetViews>
    <sheetView zoomScaleNormal="100" workbookViewId="0">
      <selection activeCell="G1" sqref="G1:G1048576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10.85546875" bestFit="1" customWidth="1"/>
    <col min="8" max="8" width="13.42578125" customWidth="1"/>
    <col min="9" max="9" width="13.140625" customWidth="1"/>
    <col min="10" max="10" width="13.140625" bestFit="1" customWidth="1"/>
    <col min="12" max="12" width="13.140625" bestFit="1" customWidth="1"/>
    <col min="14" max="14" width="13.140625" bestFit="1" customWidth="1"/>
    <col min="16" max="16" width="11.7109375" bestFit="1" customWidth="1"/>
    <col min="18" max="18" width="18.7109375" bestFit="1" customWidth="1"/>
    <col min="20" max="20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</row>
    <row r="2" spans="1:20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G2" t="str">
        <f t="shared" ref="G2:G33" si="0">SUBSTITUTE(C:C,"ing","s")</f>
        <v>Footwear</v>
      </c>
      <c r="I2">
        <v>1</v>
      </c>
      <c r="J2">
        <v>2</v>
      </c>
      <c r="K2">
        <v>2</v>
      </c>
      <c r="L2">
        <v>4</v>
      </c>
      <c r="M2">
        <v>5</v>
      </c>
    </row>
    <row r="3" spans="1:20" ht="15.75" thickBot="1" x14ac:dyDescent="0.3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G3" t="str">
        <f t="shared" si="0"/>
        <v>Electronics</v>
      </c>
      <c r="I3" s="8" t="s">
        <v>126</v>
      </c>
      <c r="J3" s="8" t="s">
        <v>127</v>
      </c>
      <c r="K3" s="8" t="s">
        <v>127</v>
      </c>
      <c r="L3" s="8" t="s">
        <v>128</v>
      </c>
      <c r="M3" s="8" t="s">
        <v>129</v>
      </c>
    </row>
    <row r="4" spans="1:20" ht="15.75" thickTop="1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  <c r="G4" t="str">
        <f t="shared" si="0"/>
        <v>Cloths</v>
      </c>
      <c r="I4">
        <v>1</v>
      </c>
      <c r="J4">
        <v>2</v>
      </c>
      <c r="K4">
        <v>3</v>
      </c>
      <c r="L4">
        <v>4</v>
      </c>
      <c r="M4">
        <v>5</v>
      </c>
      <c r="R4" t="s">
        <v>137</v>
      </c>
    </row>
    <row r="5" spans="1:20" ht="15.75" thickBot="1" x14ac:dyDescent="0.3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G5" t="str">
        <f t="shared" si="0"/>
        <v>Appliances</v>
      </c>
      <c r="H5" s="8" t="s">
        <v>130</v>
      </c>
      <c r="N5" t="s">
        <v>136</v>
      </c>
      <c r="R5" t="s">
        <v>138</v>
      </c>
    </row>
    <row r="6" spans="1:20" ht="15.75" thickTop="1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G6" t="str">
        <f t="shared" si="0"/>
        <v>Electronics</v>
      </c>
    </row>
    <row r="7" spans="1:20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  <c r="G7" t="str">
        <f t="shared" si="0"/>
        <v>Appliances</v>
      </c>
    </row>
    <row r="8" spans="1:20" ht="15.75" thickBot="1" x14ac:dyDescent="0.3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G8" t="str">
        <f t="shared" si="0"/>
        <v>Cloths</v>
      </c>
      <c r="H8" s="8" t="s">
        <v>125</v>
      </c>
      <c r="J8" s="8" t="s">
        <v>131</v>
      </c>
      <c r="L8" s="8" t="s">
        <v>132</v>
      </c>
      <c r="N8" s="8" t="s">
        <v>133</v>
      </c>
      <c r="P8" s="8" t="s">
        <v>134</v>
      </c>
      <c r="R8" s="8" t="s">
        <v>135</v>
      </c>
    </row>
    <row r="9" spans="1:20" ht="15.75" thickTop="1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 t="str">
        <f t="shared" si="0"/>
        <v>Cloths</v>
      </c>
      <c r="H9">
        <f>FIND(J3,H5,3)</f>
        <v>3</v>
      </c>
      <c r="J9" t="str">
        <f>REPLACE(N5,5,4,2027)</f>
        <v>ABC-2027-001</v>
      </c>
      <c r="L9" t="str">
        <f>SUBSTITUTE(N5,"2026","2028")</f>
        <v>ABC-2028-001</v>
      </c>
      <c r="N9" t="str">
        <f>MID(N5,1,5)</f>
        <v>ABC-2</v>
      </c>
      <c r="P9">
        <f>SEARCH("P",H5)</f>
        <v>2</v>
      </c>
      <c r="R9" t="str">
        <f>CONCATENATE(R4,R5)</f>
        <v>SANTHOSH SANTHU</v>
      </c>
    </row>
    <row r="10" spans="1:20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 t="str">
        <f t="shared" si="0"/>
        <v>Appliances</v>
      </c>
      <c r="H10">
        <f>FIND(J3,H5)</f>
        <v>2</v>
      </c>
      <c r="P10">
        <f>SEARCH("2026",N5)</f>
        <v>5</v>
      </c>
    </row>
    <row r="11" spans="1:20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 t="str">
        <f t="shared" si="0"/>
        <v>Electronics</v>
      </c>
    </row>
    <row r="12" spans="1:20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 t="str">
        <f t="shared" si="0"/>
        <v>Cloths</v>
      </c>
      <c r="H12" s="9" t="str">
        <f>IFERROR(FIND($D$2,D:D),"NOT FOUND")</f>
        <v>NOT FOUND</v>
      </c>
      <c r="L12" s="9" t="str">
        <f>SUBSTITUTE(C4,"ing","s")</f>
        <v>Cloths</v>
      </c>
      <c r="N12" s="9" t="str">
        <f>MID(C:C,1,4)</f>
        <v>Clot</v>
      </c>
      <c r="P12" s="9">
        <f>IFERROR(SEARCH($D$6,D:D),0)</f>
        <v>0</v>
      </c>
      <c r="R12" s="3" t="s">
        <v>139</v>
      </c>
      <c r="S12" s="3" t="s">
        <v>140</v>
      </c>
      <c r="T12" s="3" t="s">
        <v>145</v>
      </c>
    </row>
    <row r="13" spans="1:20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 t="str">
        <f t="shared" si="0"/>
        <v>Cloths</v>
      </c>
      <c r="H13" s="9">
        <f t="shared" ref="H13:H21" si="1">IFERROR(FIND($D$2,D:D),"NOT FOUND")</f>
        <v>1</v>
      </c>
      <c r="L13" s="9" t="str">
        <f t="shared" ref="L13:L32" si="2">SUBSTITUTE(C5,"ing","s")</f>
        <v>Appliances</v>
      </c>
      <c r="N13" s="9" t="str">
        <f t="shared" ref="N13:N32" si="3">MID(C:C,1,4)</f>
        <v>Clot</v>
      </c>
      <c r="P13" s="9">
        <f t="shared" ref="P13:P32" si="4">IFERROR(SEARCH($D$6,D:D),0)</f>
        <v>0</v>
      </c>
      <c r="R13" t="s">
        <v>141</v>
      </c>
      <c r="S13" t="s">
        <v>142</v>
      </c>
      <c r="T13" t="str">
        <f>_xlfn.CONCAT(R13," ",S13)</f>
        <v>SHIV KESHAV</v>
      </c>
    </row>
    <row r="14" spans="1:20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 t="str">
        <f t="shared" si="0"/>
        <v>Cloths</v>
      </c>
      <c r="H14" s="9" t="str">
        <f t="shared" si="1"/>
        <v>NOT FOUND</v>
      </c>
      <c r="L14" s="9" t="str">
        <f t="shared" si="2"/>
        <v>Electronics</v>
      </c>
      <c r="N14" s="9" t="str">
        <f t="shared" si="3"/>
        <v>Clot</v>
      </c>
      <c r="P14" s="9">
        <f t="shared" si="4"/>
        <v>1</v>
      </c>
      <c r="R14" t="s">
        <v>143</v>
      </c>
      <c r="S14" t="s">
        <v>144</v>
      </c>
      <c r="T14" t="str">
        <f>_xlfn.CONCAT(R14," ",S14)</f>
        <v>ASHOK G</v>
      </c>
    </row>
    <row r="15" spans="1:20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 t="str">
        <f t="shared" si="0"/>
        <v>Appliances</v>
      </c>
      <c r="H15" s="9" t="str">
        <f t="shared" si="1"/>
        <v>NOT FOUND</v>
      </c>
      <c r="L15" s="9" t="str">
        <f t="shared" si="2"/>
        <v>Appliances</v>
      </c>
      <c r="N15" s="9" t="str">
        <f t="shared" si="3"/>
        <v>Appl</v>
      </c>
      <c r="P15" s="9">
        <f t="shared" si="4"/>
        <v>0</v>
      </c>
      <c r="R15" t="s">
        <v>146</v>
      </c>
      <c r="S15" t="s">
        <v>147</v>
      </c>
      <c r="T15" t="str">
        <f>_xlfn.CONCAT(R15," ",S15)</f>
        <v>UDAY KIRAN</v>
      </c>
    </row>
    <row r="16" spans="1:20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 t="str">
        <f t="shared" si="0"/>
        <v>Footwear</v>
      </c>
      <c r="H16" s="9" t="str">
        <f t="shared" si="1"/>
        <v>NOT FOUND</v>
      </c>
      <c r="L16" s="9" t="str">
        <f t="shared" si="2"/>
        <v>Cloths</v>
      </c>
      <c r="N16" s="9" t="str">
        <f t="shared" si="3"/>
        <v>Foot</v>
      </c>
      <c r="P16" s="9">
        <f t="shared" si="4"/>
        <v>1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 t="str">
        <f t="shared" si="0"/>
        <v>Electronics</v>
      </c>
      <c r="H17" s="9" t="str">
        <f t="shared" si="1"/>
        <v>NOT FOUND</v>
      </c>
      <c r="L17" s="9" t="str">
        <f t="shared" si="2"/>
        <v>Cloths</v>
      </c>
      <c r="N17" s="9" t="str">
        <f t="shared" si="3"/>
        <v>Elec</v>
      </c>
      <c r="P17" s="9">
        <f t="shared" si="4"/>
        <v>1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 t="str">
        <f t="shared" si="0"/>
        <v>Appliances</v>
      </c>
      <c r="H18" s="9">
        <f t="shared" si="1"/>
        <v>1</v>
      </c>
      <c r="L18" s="9" t="str">
        <f t="shared" si="2"/>
        <v>Appliances</v>
      </c>
      <c r="N18" s="9" t="str">
        <f t="shared" si="3"/>
        <v>Appl</v>
      </c>
      <c r="P18" s="9">
        <f t="shared" si="4"/>
        <v>0</v>
      </c>
      <c r="R18" s="10" t="s">
        <v>148</v>
      </c>
      <c r="S18" s="10"/>
    </row>
    <row r="19" spans="1:19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 t="str">
        <f t="shared" si="0"/>
        <v>Appliances</v>
      </c>
      <c r="H19" s="9">
        <f t="shared" si="1"/>
        <v>1</v>
      </c>
      <c r="L19" s="9" t="str">
        <f t="shared" si="2"/>
        <v>Electronics</v>
      </c>
      <c r="N19" s="9" t="str">
        <f t="shared" si="3"/>
        <v>Appl</v>
      </c>
      <c r="P19" s="9">
        <f t="shared" si="4"/>
        <v>0</v>
      </c>
      <c r="R19" s="10" t="s">
        <v>149</v>
      </c>
      <c r="S19" s="10"/>
    </row>
    <row r="20" spans="1:19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 t="str">
        <f t="shared" si="0"/>
        <v>Electronics</v>
      </c>
      <c r="H20" s="9" t="str">
        <f t="shared" si="1"/>
        <v>NOT FOUND</v>
      </c>
      <c r="L20" s="9" t="str">
        <f t="shared" si="2"/>
        <v>Cloths</v>
      </c>
      <c r="N20" s="9" t="str">
        <f t="shared" si="3"/>
        <v>Elec</v>
      </c>
      <c r="P20" s="9">
        <f t="shared" si="4"/>
        <v>0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 t="str">
        <f t="shared" si="0"/>
        <v>Electronics</v>
      </c>
      <c r="H21" s="9" t="str">
        <f t="shared" si="1"/>
        <v>NOT FOUND</v>
      </c>
      <c r="L21" s="9" t="str">
        <f t="shared" si="2"/>
        <v>Cloths</v>
      </c>
      <c r="N21" s="9" t="str">
        <f t="shared" si="3"/>
        <v>Elec</v>
      </c>
      <c r="P21" s="9">
        <f t="shared" si="4"/>
        <v>0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 t="str">
        <f t="shared" si="0"/>
        <v>Cloths</v>
      </c>
      <c r="L22" s="9" t="str">
        <f t="shared" si="2"/>
        <v>Cloths</v>
      </c>
      <c r="N22" s="9" t="str">
        <f t="shared" si="3"/>
        <v>Clot</v>
      </c>
      <c r="P22" s="9">
        <f t="shared" si="4"/>
        <v>1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 t="str">
        <f t="shared" si="0"/>
        <v>Appliances</v>
      </c>
      <c r="L23" s="9" t="str">
        <f t="shared" si="2"/>
        <v>Appliances</v>
      </c>
      <c r="N23" s="9" t="str">
        <f t="shared" si="3"/>
        <v>Appl</v>
      </c>
      <c r="P23" s="9">
        <f t="shared" si="4"/>
        <v>0</v>
      </c>
    </row>
    <row r="24" spans="1:19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 t="str">
        <f t="shared" si="0"/>
        <v>Appliances</v>
      </c>
      <c r="H24" s="3" t="s">
        <v>139</v>
      </c>
      <c r="I24" s="3" t="s">
        <v>140</v>
      </c>
      <c r="J24" s="3" t="s">
        <v>145</v>
      </c>
      <c r="L24" s="9" t="str">
        <f>SUBSTITUTE(C16,"ing","s")</f>
        <v>Footwear</v>
      </c>
      <c r="N24" s="9" t="str">
        <f>MID(C:C,1,4)</f>
        <v>Appl</v>
      </c>
      <c r="P24" s="9">
        <f>IFERROR(SEARCH($D$6,D:D),0)</f>
        <v>0</v>
      </c>
    </row>
    <row r="25" spans="1:19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G25" t="str">
        <f t="shared" si="0"/>
        <v>Electronics</v>
      </c>
      <c r="H25" t="s">
        <v>141</v>
      </c>
      <c r="I25" t="s">
        <v>142</v>
      </c>
      <c r="J25" t="str">
        <f>_xlfn.CONCAT(H25," ",I25)</f>
        <v>SHIV KESHAV</v>
      </c>
      <c r="L25" s="9" t="str">
        <f>SUBSTITUTE(C17,"ing","s")</f>
        <v>Electronics</v>
      </c>
      <c r="N25" s="9" t="str">
        <f>MID(C:C,1,4)</f>
        <v>Elec</v>
      </c>
      <c r="P25" s="9">
        <f>IFERROR(SEARCH($D$6,D:D),0)</f>
        <v>0</v>
      </c>
    </row>
    <row r="26" spans="1:19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G26" t="str">
        <f t="shared" si="0"/>
        <v>Electronics</v>
      </c>
      <c r="H26" t="s">
        <v>143</v>
      </c>
      <c r="I26" t="s">
        <v>144</v>
      </c>
      <c r="J26" t="str">
        <f>_xlfn.CONCAT(H26," ",I26)</f>
        <v>ASHOK G</v>
      </c>
      <c r="L26" s="9" t="str">
        <f>SUBSTITUTE(C18,"ing","s")</f>
        <v>Appliances</v>
      </c>
      <c r="N26" s="9" t="str">
        <f>MID(C:C,1,4)</f>
        <v>Elec</v>
      </c>
      <c r="P26" s="9">
        <f>IFERROR(SEARCH($D$6,D:D),0)</f>
        <v>0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G27" t="str">
        <f t="shared" si="0"/>
        <v>Appliances</v>
      </c>
      <c r="H27" t="s">
        <v>146</v>
      </c>
      <c r="I27" t="s">
        <v>147</v>
      </c>
      <c r="J27" t="str">
        <f>_xlfn.CONCAT(H27," ",I27)</f>
        <v>UDAY KIRAN</v>
      </c>
      <c r="L27" s="9" t="str">
        <f>SUBSTITUTE(C19,"ing","s")</f>
        <v>Appliances</v>
      </c>
      <c r="N27" s="9" t="str">
        <f>MID(C:C,1,4)</f>
        <v>Appl</v>
      </c>
      <c r="P27" s="9">
        <f>IFERROR(SEARCH($D$6,D:D),0)</f>
        <v>1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G28" t="str">
        <f t="shared" si="0"/>
        <v>Cloths</v>
      </c>
      <c r="L28" s="9" t="str">
        <f t="shared" si="2"/>
        <v>Electronics</v>
      </c>
      <c r="N28" s="9" t="str">
        <f>MID(C:C,1,4)</f>
        <v>Clot</v>
      </c>
      <c r="P28" s="9">
        <f>IFERROR(SEARCH($D$6,D:D),0)</f>
        <v>0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G29" t="str">
        <f t="shared" si="0"/>
        <v>Appliances</v>
      </c>
      <c r="L29" s="9" t="str">
        <f t="shared" si="2"/>
        <v>Electronics</v>
      </c>
      <c r="N29" s="9" t="str">
        <f t="shared" si="3"/>
        <v>Appl</v>
      </c>
      <c r="P29" s="9">
        <f t="shared" si="4"/>
        <v>0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G30" t="str">
        <f t="shared" si="0"/>
        <v>Appliances</v>
      </c>
      <c r="L30" s="9" t="str">
        <f t="shared" si="2"/>
        <v>Cloths</v>
      </c>
      <c r="N30" s="9" t="str">
        <f t="shared" si="3"/>
        <v>Appl</v>
      </c>
      <c r="P30" s="9">
        <f t="shared" si="4"/>
        <v>0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G31" t="str">
        <f t="shared" si="0"/>
        <v>Appliances</v>
      </c>
      <c r="L31" s="9" t="str">
        <f t="shared" si="2"/>
        <v>Appliances</v>
      </c>
      <c r="N31" s="9" t="str">
        <f t="shared" si="3"/>
        <v>Appl</v>
      </c>
      <c r="P31" s="9">
        <f t="shared" si="4"/>
        <v>0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G32" t="str">
        <f t="shared" si="0"/>
        <v>Footwear</v>
      </c>
      <c r="L32" s="9" t="str">
        <f t="shared" si="2"/>
        <v>Appliances</v>
      </c>
      <c r="N32" s="9" t="str">
        <f t="shared" si="3"/>
        <v>Foot</v>
      </c>
      <c r="P32" s="9">
        <f t="shared" si="4"/>
        <v>0</v>
      </c>
    </row>
    <row r="33" spans="1:7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G33" t="str">
        <f t="shared" si="0"/>
        <v>Cloths</v>
      </c>
    </row>
    <row r="34" spans="1: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G34" t="str">
        <f t="shared" ref="G34:G65" si="5">SUBSTITUTE(C:C,"ing","s")</f>
        <v>Footwear</v>
      </c>
    </row>
    <row r="35" spans="1: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G35" t="str">
        <f t="shared" si="5"/>
        <v>Footwear</v>
      </c>
    </row>
    <row r="36" spans="1: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G36" t="str">
        <f t="shared" si="5"/>
        <v>Appliances</v>
      </c>
    </row>
    <row r="37" spans="1: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  <c r="G37" t="str">
        <f t="shared" si="5"/>
        <v>Electronics</v>
      </c>
    </row>
    <row r="38" spans="1: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G38" t="str">
        <f t="shared" si="5"/>
        <v>Footwear</v>
      </c>
    </row>
    <row r="39" spans="1: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G39" t="str">
        <f t="shared" si="5"/>
        <v>Cloths</v>
      </c>
    </row>
    <row r="40" spans="1: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G40" t="str">
        <f t="shared" si="5"/>
        <v>Electronics</v>
      </c>
    </row>
    <row r="41" spans="1: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G41" t="str">
        <f t="shared" si="5"/>
        <v>Electronics</v>
      </c>
    </row>
    <row r="42" spans="1: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G42" t="str">
        <f t="shared" si="5"/>
        <v>Cloths</v>
      </c>
    </row>
    <row r="43" spans="1: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G43" t="str">
        <f t="shared" si="5"/>
        <v>Footwear</v>
      </c>
    </row>
    <row r="44" spans="1: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G44" t="str">
        <f t="shared" si="5"/>
        <v>Cloths</v>
      </c>
    </row>
    <row r="45" spans="1: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G45" t="str">
        <f t="shared" si="5"/>
        <v>Cloths</v>
      </c>
    </row>
    <row r="46" spans="1: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G46" t="str">
        <f t="shared" si="5"/>
        <v>Electronics</v>
      </c>
    </row>
    <row r="47" spans="1: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G47" t="str">
        <f t="shared" si="5"/>
        <v>Electronics</v>
      </c>
    </row>
    <row r="48" spans="1: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  <c r="G48" t="str">
        <f t="shared" si="5"/>
        <v>Footwear</v>
      </c>
    </row>
    <row r="49" spans="1:7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  <c r="G49" t="str">
        <f t="shared" si="5"/>
        <v>Appliances</v>
      </c>
    </row>
    <row r="50" spans="1:7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  <c r="G50" t="str">
        <f t="shared" si="5"/>
        <v>Electronics</v>
      </c>
    </row>
    <row r="51" spans="1:7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  <c r="G51" t="str">
        <f t="shared" si="5"/>
        <v>Appliances</v>
      </c>
    </row>
    <row r="52" spans="1:7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  <c r="G52" t="str">
        <f t="shared" si="5"/>
        <v>Cloths</v>
      </c>
    </row>
    <row r="53" spans="1:7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  <c r="G53" t="str">
        <f t="shared" si="5"/>
        <v>Cloths</v>
      </c>
    </row>
    <row r="54" spans="1:7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  <c r="G54" t="str">
        <f t="shared" si="5"/>
        <v>Appliances</v>
      </c>
    </row>
    <row r="55" spans="1:7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  <c r="G55" t="str">
        <f t="shared" si="5"/>
        <v>Electronics</v>
      </c>
    </row>
    <row r="56" spans="1:7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  <c r="G56" t="str">
        <f t="shared" si="5"/>
        <v>Footwear</v>
      </c>
    </row>
    <row r="57" spans="1:7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  <c r="G57" t="str">
        <f t="shared" si="5"/>
        <v>Cloths</v>
      </c>
    </row>
    <row r="58" spans="1:7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  <c r="G58" t="str">
        <f t="shared" si="5"/>
        <v>Appliances</v>
      </c>
    </row>
    <row r="59" spans="1:7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  <c r="G59" t="str">
        <f t="shared" si="5"/>
        <v>Appliances</v>
      </c>
    </row>
    <row r="60" spans="1:7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  <c r="G60" t="str">
        <f t="shared" si="5"/>
        <v>Electronics</v>
      </c>
    </row>
    <row r="61" spans="1:7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  <c r="G61" t="str">
        <f t="shared" si="5"/>
        <v>Cloths</v>
      </c>
    </row>
    <row r="62" spans="1:7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  <c r="G62" t="str">
        <f t="shared" si="5"/>
        <v>Cloths</v>
      </c>
    </row>
    <row r="63" spans="1:7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  <c r="G63" t="str">
        <f t="shared" si="5"/>
        <v>Footwear</v>
      </c>
    </row>
    <row r="64" spans="1:7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  <c r="G64" t="str">
        <f t="shared" si="5"/>
        <v>Electronics</v>
      </c>
    </row>
    <row r="65" spans="1:7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  <c r="G65" t="str">
        <f t="shared" si="5"/>
        <v>Footwear</v>
      </c>
    </row>
    <row r="66" spans="1:7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  <c r="G66" t="str">
        <f t="shared" ref="G66:G101" si="6">SUBSTITUTE(C:C,"ing","s")</f>
        <v>Cloths</v>
      </c>
    </row>
    <row r="67" spans="1:7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  <c r="G67" t="str">
        <f t="shared" si="6"/>
        <v>Electronics</v>
      </c>
    </row>
    <row r="68" spans="1:7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  <c r="G68" t="str">
        <f t="shared" si="6"/>
        <v>Electronics</v>
      </c>
    </row>
    <row r="69" spans="1:7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  <c r="G69" t="str">
        <f t="shared" si="6"/>
        <v>Electronics</v>
      </c>
    </row>
    <row r="70" spans="1:7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  <c r="G70" t="str">
        <f t="shared" si="6"/>
        <v>Electronics</v>
      </c>
    </row>
    <row r="71" spans="1:7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  <c r="G71" t="str">
        <f t="shared" si="6"/>
        <v>Cloths</v>
      </c>
    </row>
    <row r="72" spans="1:7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  <c r="G72" t="str">
        <f t="shared" si="6"/>
        <v>Appliances</v>
      </c>
    </row>
    <row r="73" spans="1:7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  <c r="G73" t="str">
        <f t="shared" si="6"/>
        <v>Footwear</v>
      </c>
    </row>
    <row r="74" spans="1:7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  <c r="G74" t="str">
        <f t="shared" si="6"/>
        <v>Electronics</v>
      </c>
    </row>
    <row r="75" spans="1:7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  <c r="G75" t="str">
        <f t="shared" si="6"/>
        <v>Cloths</v>
      </c>
    </row>
    <row r="76" spans="1:7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  <c r="G76" t="str">
        <f t="shared" si="6"/>
        <v>Electronics</v>
      </c>
    </row>
    <row r="77" spans="1:7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  <c r="G77" t="str">
        <f t="shared" si="6"/>
        <v>Electronics</v>
      </c>
    </row>
    <row r="78" spans="1:7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  <c r="G78" t="str">
        <f t="shared" si="6"/>
        <v>Footwear</v>
      </c>
    </row>
    <row r="79" spans="1:7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  <c r="G79" t="str">
        <f t="shared" si="6"/>
        <v>Footwear</v>
      </c>
    </row>
    <row r="80" spans="1:7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  <c r="G80" t="str">
        <f t="shared" si="6"/>
        <v>Footwear</v>
      </c>
    </row>
    <row r="81" spans="1:7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  <c r="G81" t="str">
        <f t="shared" si="6"/>
        <v>Cloths</v>
      </c>
    </row>
    <row r="82" spans="1:7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  <c r="G82" t="str">
        <f t="shared" si="6"/>
        <v>Cloths</v>
      </c>
    </row>
    <row r="83" spans="1:7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  <c r="G83" t="str">
        <f t="shared" si="6"/>
        <v>Appliances</v>
      </c>
    </row>
    <row r="84" spans="1:7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  <c r="G84" t="str">
        <f t="shared" si="6"/>
        <v>Footwear</v>
      </c>
    </row>
    <row r="85" spans="1:7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  <c r="G85" t="str">
        <f t="shared" si="6"/>
        <v>Cloths</v>
      </c>
    </row>
    <row r="86" spans="1:7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  <c r="G86" t="str">
        <f t="shared" si="6"/>
        <v>Footwear</v>
      </c>
    </row>
    <row r="87" spans="1:7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  <c r="G87" t="str">
        <f t="shared" si="6"/>
        <v>Footwear</v>
      </c>
    </row>
    <row r="88" spans="1:7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  <c r="G88" t="str">
        <f t="shared" si="6"/>
        <v>Appliances</v>
      </c>
    </row>
    <row r="89" spans="1:7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  <c r="G89" t="str">
        <f t="shared" si="6"/>
        <v>Cloths</v>
      </c>
    </row>
    <row r="90" spans="1:7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  <c r="G90" t="str">
        <f t="shared" si="6"/>
        <v>Electronics</v>
      </c>
    </row>
    <row r="91" spans="1:7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  <c r="G91" t="str">
        <f t="shared" si="6"/>
        <v>Appliances</v>
      </c>
    </row>
    <row r="92" spans="1:7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  <c r="G92" t="str">
        <f t="shared" si="6"/>
        <v>Cloths</v>
      </c>
    </row>
    <row r="93" spans="1:7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  <c r="G93" t="str">
        <f t="shared" si="6"/>
        <v>Appliances</v>
      </c>
    </row>
    <row r="94" spans="1:7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  <c r="G94" t="str">
        <f t="shared" si="6"/>
        <v>Appliances</v>
      </c>
    </row>
    <row r="95" spans="1:7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  <c r="G95" t="str">
        <f t="shared" si="6"/>
        <v>Cloths</v>
      </c>
    </row>
    <row r="96" spans="1:7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  <c r="G96" t="str">
        <f t="shared" si="6"/>
        <v>Appliances</v>
      </c>
    </row>
    <row r="97" spans="1:7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  <c r="G97" t="str">
        <f t="shared" si="6"/>
        <v>Footwear</v>
      </c>
    </row>
    <row r="98" spans="1:7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  <c r="G98" t="str">
        <f t="shared" si="6"/>
        <v>Footwear</v>
      </c>
    </row>
    <row r="99" spans="1:7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  <c r="G99" t="str">
        <f t="shared" si="6"/>
        <v>Electronics</v>
      </c>
    </row>
    <row r="100" spans="1:7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  <c r="G100" t="str">
        <f t="shared" si="6"/>
        <v>Cloths</v>
      </c>
    </row>
    <row r="101" spans="1:7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  <c r="G101" t="str">
        <f t="shared" si="6"/>
        <v>Appliances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F5E6-B6F4-49DA-B450-2C142D715729}">
  <dimension ref="A1:R101"/>
  <sheetViews>
    <sheetView topLeftCell="A7" workbookViewId="0">
      <selection activeCell="O28" sqref="O28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13" max="13" width="10.5703125" bestFit="1" customWidth="1"/>
    <col min="14" max="14" width="12" bestFit="1" customWidth="1"/>
    <col min="21" max="21" width="12.7109375" customWidth="1"/>
    <col min="22" max="22" width="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8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8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8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8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8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8" ht="15.75" thickBot="1" x14ac:dyDescent="0.3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H8" s="11" t="s">
        <v>151</v>
      </c>
      <c r="J8" s="11" t="s">
        <v>156</v>
      </c>
      <c r="L8" s="11" t="s">
        <v>90</v>
      </c>
      <c r="N8" s="11" t="s">
        <v>152</v>
      </c>
      <c r="P8" s="11" t="s">
        <v>153</v>
      </c>
      <c r="R8" s="11" t="s">
        <v>154</v>
      </c>
    </row>
    <row r="9" spans="1:18" ht="15.75" thickTop="1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>
        <v>1</v>
      </c>
      <c r="H9" s="10">
        <f>PRODUCT(E2,F2)</f>
        <v>72900</v>
      </c>
      <c r="J9" s="10">
        <f>MOD(E2,F2)</f>
        <v>0</v>
      </c>
      <c r="L9" s="10">
        <f>SQRT(F2)</f>
        <v>4.2426406871192848</v>
      </c>
      <c r="N9" s="12">
        <f>FACT(G9)</f>
        <v>1</v>
      </c>
      <c r="P9" s="9">
        <f>ROUNDUP(L9,1)</f>
        <v>4.3</v>
      </c>
      <c r="R9" s="9">
        <f>ROUNDDOWN(L9,1)</f>
        <v>4.2</v>
      </c>
    </row>
    <row r="10" spans="1:18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>
        <v>2</v>
      </c>
      <c r="H10" s="10">
        <f t="shared" ref="H10:H24" si="0">PRODUCT(E3,F3)</f>
        <v>118125</v>
      </c>
      <c r="J10" s="10">
        <f t="shared" ref="J10:J24" si="1">MOD(E3,F3)</f>
        <v>0</v>
      </c>
      <c r="L10" s="10">
        <f t="shared" ref="L10:L24" si="2">SQRT(F3)</f>
        <v>3.872983346207417</v>
      </c>
      <c r="N10" s="12">
        <f t="shared" ref="N10:N24" si="3">FACT(G10)</f>
        <v>2</v>
      </c>
      <c r="P10" s="9">
        <f t="shared" ref="P10:P24" si="4">ROUNDUP(L10,1)</f>
        <v>3.9</v>
      </c>
      <c r="R10" s="9">
        <f t="shared" ref="R10:R24" si="5">ROUNDDOWN(L10,1)</f>
        <v>3.8</v>
      </c>
    </row>
    <row r="11" spans="1:18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>
        <v>3</v>
      </c>
      <c r="H11" s="10">
        <f t="shared" si="0"/>
        <v>34992</v>
      </c>
      <c r="J11" s="10">
        <f t="shared" si="1"/>
        <v>0</v>
      </c>
      <c r="L11" s="10">
        <f t="shared" si="2"/>
        <v>2.4494897427831779</v>
      </c>
      <c r="N11" s="12">
        <f t="shared" si="3"/>
        <v>6</v>
      </c>
      <c r="P11" s="9">
        <f t="shared" si="4"/>
        <v>2.5</v>
      </c>
      <c r="R11" s="9">
        <f t="shared" si="5"/>
        <v>2.4</v>
      </c>
    </row>
    <row r="12" spans="1:18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>
        <v>4</v>
      </c>
      <c r="H12" s="10">
        <f t="shared" si="0"/>
        <v>2704</v>
      </c>
      <c r="J12" s="10">
        <f t="shared" si="1"/>
        <v>0</v>
      </c>
      <c r="L12" s="10">
        <f t="shared" si="2"/>
        <v>2</v>
      </c>
      <c r="N12" s="12">
        <f t="shared" si="3"/>
        <v>24</v>
      </c>
      <c r="P12" s="9">
        <f t="shared" si="4"/>
        <v>2</v>
      </c>
      <c r="R12" s="9">
        <f t="shared" si="5"/>
        <v>2</v>
      </c>
    </row>
    <row r="13" spans="1:18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>
        <v>5</v>
      </c>
      <c r="H13" s="10">
        <f t="shared" si="0"/>
        <v>65600</v>
      </c>
      <c r="J13" s="10">
        <f t="shared" si="1"/>
        <v>0</v>
      </c>
      <c r="L13" s="10">
        <f t="shared" si="2"/>
        <v>3.1622776601683795</v>
      </c>
      <c r="N13" s="12">
        <f t="shared" si="3"/>
        <v>120</v>
      </c>
      <c r="P13" s="9">
        <f t="shared" si="4"/>
        <v>3.2</v>
      </c>
      <c r="R13" s="9">
        <f t="shared" si="5"/>
        <v>3.1</v>
      </c>
    </row>
    <row r="14" spans="1:18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>
        <v>6</v>
      </c>
      <c r="H14" s="10">
        <f t="shared" si="0"/>
        <v>9525</v>
      </c>
      <c r="J14" s="10">
        <f t="shared" si="1"/>
        <v>0</v>
      </c>
      <c r="L14" s="10">
        <f t="shared" si="2"/>
        <v>2.2360679774997898</v>
      </c>
      <c r="N14" s="12">
        <f t="shared" si="3"/>
        <v>720</v>
      </c>
      <c r="P14" s="9">
        <f t="shared" si="4"/>
        <v>2.3000000000000003</v>
      </c>
      <c r="R14" s="9">
        <f t="shared" si="5"/>
        <v>2.2000000000000002</v>
      </c>
    </row>
    <row r="15" spans="1:18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>
        <v>7</v>
      </c>
      <c r="H15" s="10">
        <f t="shared" si="0"/>
        <v>125064</v>
      </c>
      <c r="J15" s="10">
        <f t="shared" si="1"/>
        <v>0</v>
      </c>
      <c r="L15" s="10">
        <f t="shared" si="2"/>
        <v>4.2426406871192848</v>
      </c>
      <c r="N15" s="12">
        <f t="shared" si="3"/>
        <v>5040</v>
      </c>
      <c r="P15" s="9">
        <f t="shared" si="4"/>
        <v>4.3</v>
      </c>
      <c r="R15" s="9">
        <f t="shared" si="5"/>
        <v>4.2</v>
      </c>
    </row>
    <row r="16" spans="1:18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>
        <v>8</v>
      </c>
      <c r="H16" s="10">
        <f t="shared" si="0"/>
        <v>34992</v>
      </c>
      <c r="J16" s="10">
        <f t="shared" si="1"/>
        <v>0</v>
      </c>
      <c r="L16" s="10">
        <f t="shared" si="2"/>
        <v>4.2426406871192848</v>
      </c>
      <c r="N16" s="12">
        <f t="shared" si="3"/>
        <v>40320</v>
      </c>
      <c r="P16" s="9">
        <f t="shared" si="4"/>
        <v>4.3</v>
      </c>
      <c r="R16" s="9">
        <f t="shared" si="5"/>
        <v>4.2</v>
      </c>
    </row>
    <row r="17" spans="1:18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>
        <v>9</v>
      </c>
      <c r="H17" s="10">
        <f t="shared" si="0"/>
        <v>62208</v>
      </c>
      <c r="J17" s="10">
        <f t="shared" si="1"/>
        <v>0</v>
      </c>
      <c r="L17" s="10">
        <f t="shared" si="2"/>
        <v>2.8284271247461903</v>
      </c>
      <c r="N17" s="12">
        <f t="shared" si="3"/>
        <v>362880</v>
      </c>
      <c r="P17" s="9">
        <f t="shared" si="4"/>
        <v>2.9</v>
      </c>
      <c r="R17" s="9">
        <f t="shared" si="5"/>
        <v>2.8</v>
      </c>
    </row>
    <row r="18" spans="1:18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>
        <v>10</v>
      </c>
      <c r="H18" s="10">
        <f t="shared" si="0"/>
        <v>50220</v>
      </c>
      <c r="J18" s="10">
        <f t="shared" si="1"/>
        <v>0</v>
      </c>
      <c r="L18" s="10">
        <f t="shared" si="2"/>
        <v>4.2426406871192848</v>
      </c>
      <c r="N18" s="12">
        <f t="shared" si="3"/>
        <v>3628800</v>
      </c>
      <c r="P18" s="9">
        <f t="shared" si="4"/>
        <v>4.3</v>
      </c>
      <c r="R18" s="9">
        <f t="shared" si="5"/>
        <v>4.2</v>
      </c>
    </row>
    <row r="19" spans="1:18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>
        <v>11</v>
      </c>
      <c r="H19" s="10">
        <f t="shared" si="0"/>
        <v>103935</v>
      </c>
      <c r="J19" s="10">
        <f t="shared" si="1"/>
        <v>0</v>
      </c>
      <c r="L19" s="10">
        <f t="shared" si="2"/>
        <v>3.6055512754639891</v>
      </c>
      <c r="N19" s="12">
        <f t="shared" si="3"/>
        <v>39916800</v>
      </c>
      <c r="P19" s="9">
        <f t="shared" si="4"/>
        <v>3.7</v>
      </c>
      <c r="R19" s="9">
        <f t="shared" si="5"/>
        <v>3.6</v>
      </c>
    </row>
    <row r="20" spans="1:18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>
        <v>12</v>
      </c>
      <c r="H20" s="10">
        <f t="shared" si="0"/>
        <v>129792</v>
      </c>
      <c r="J20" s="10">
        <f t="shared" si="1"/>
        <v>0</v>
      </c>
      <c r="L20" s="10">
        <f t="shared" si="2"/>
        <v>3.6055512754639891</v>
      </c>
      <c r="N20" s="12">
        <f t="shared" si="3"/>
        <v>479001600</v>
      </c>
      <c r="P20" s="9">
        <f t="shared" si="4"/>
        <v>3.7</v>
      </c>
      <c r="R20" s="9">
        <f t="shared" si="5"/>
        <v>3.6</v>
      </c>
    </row>
    <row r="21" spans="1:18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>
        <v>13</v>
      </c>
      <c r="H21" s="10">
        <f t="shared" si="0"/>
        <v>99879</v>
      </c>
      <c r="J21" s="10">
        <f t="shared" si="1"/>
        <v>0</v>
      </c>
      <c r="L21" s="10">
        <f t="shared" si="2"/>
        <v>3.6055512754639891</v>
      </c>
      <c r="N21" s="12">
        <f t="shared" si="3"/>
        <v>6227020800</v>
      </c>
      <c r="P21" s="9">
        <f t="shared" si="4"/>
        <v>3.7</v>
      </c>
      <c r="R21" s="9">
        <f t="shared" si="5"/>
        <v>3.6</v>
      </c>
    </row>
    <row r="22" spans="1:18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>
        <v>14</v>
      </c>
      <c r="H22" s="10">
        <f t="shared" si="0"/>
        <v>61965</v>
      </c>
      <c r="J22" s="10">
        <f t="shared" si="1"/>
        <v>0</v>
      </c>
      <c r="L22" s="10">
        <f t="shared" si="2"/>
        <v>3</v>
      </c>
      <c r="N22" s="12">
        <f t="shared" si="3"/>
        <v>87178291200</v>
      </c>
      <c r="P22" s="9">
        <f t="shared" si="4"/>
        <v>3</v>
      </c>
      <c r="R22" s="9">
        <f t="shared" si="5"/>
        <v>3</v>
      </c>
    </row>
    <row r="23" spans="1:18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>
        <v>15</v>
      </c>
      <c r="H23" s="10">
        <f t="shared" si="0"/>
        <v>229</v>
      </c>
      <c r="J23" s="10">
        <f t="shared" si="1"/>
        <v>0</v>
      </c>
      <c r="L23" s="10">
        <f t="shared" si="2"/>
        <v>1</v>
      </c>
      <c r="N23" s="12">
        <f t="shared" si="3"/>
        <v>1307674368000</v>
      </c>
      <c r="P23" s="9">
        <f t="shared" si="4"/>
        <v>1</v>
      </c>
      <c r="R23" s="9">
        <f t="shared" si="5"/>
        <v>1</v>
      </c>
    </row>
    <row r="24" spans="1:18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>
        <v>16</v>
      </c>
      <c r="H24" s="10">
        <f t="shared" si="0"/>
        <v>42728</v>
      </c>
      <c r="J24" s="10">
        <f t="shared" si="1"/>
        <v>0</v>
      </c>
      <c r="L24" s="10">
        <f t="shared" si="2"/>
        <v>2.6457513110645907</v>
      </c>
      <c r="N24" s="12">
        <f t="shared" si="3"/>
        <v>20922789888000</v>
      </c>
      <c r="P24" s="9">
        <f t="shared" si="4"/>
        <v>2.7</v>
      </c>
      <c r="R24" s="9">
        <f t="shared" si="5"/>
        <v>2.6</v>
      </c>
    </row>
    <row r="25" spans="1:18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18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8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8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8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</row>
    <row r="30" spans="1:18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I30" s="14" t="s">
        <v>158</v>
      </c>
      <c r="J30" s="15">
        <f>SUM(E:E)</f>
        <v>528120</v>
      </c>
      <c r="L30" s="13" t="s">
        <v>2</v>
      </c>
      <c r="M30" s="3" t="s">
        <v>82</v>
      </c>
      <c r="O30" s="15" t="s">
        <v>160</v>
      </c>
      <c r="P30" s="14">
        <f>AVERAGE(E:E)</f>
        <v>5281.2</v>
      </c>
    </row>
    <row r="31" spans="1:18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</row>
    <row r="32" spans="1:18" ht="15.75" thickBot="1" x14ac:dyDescent="0.3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I32" s="11" t="s">
        <v>157</v>
      </c>
      <c r="K32" s="11" t="s">
        <v>155</v>
      </c>
      <c r="O32" s="11" t="s">
        <v>161</v>
      </c>
      <c r="Q32" s="11" t="s">
        <v>162</v>
      </c>
    </row>
    <row r="33" spans="1:17" ht="15.75" thickTop="1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H33" s="13" t="s">
        <v>85</v>
      </c>
      <c r="I33" s="3">
        <f>SUMIF(D:D,H33,E:E)</f>
        <v>171871</v>
      </c>
      <c r="K33" s="3">
        <f>SUMIFS(E:E,D:D,H33,C:C,$M$30)</f>
        <v>12291</v>
      </c>
      <c r="O33" s="3">
        <f>AVERAGEIF(D:D,H33,E:E)</f>
        <v>4774.1944444444443</v>
      </c>
      <c r="Q33" s="3">
        <f>AVERAGEIFS(E:E,D:D,H33,C:C,$M$30)</f>
        <v>2458.1999999999998</v>
      </c>
    </row>
    <row r="34" spans="1:1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H34" s="13" t="s">
        <v>87</v>
      </c>
      <c r="I34" s="3">
        <f t="shared" ref="I34:I36" si="6">SUMIF(D:D,H34,E:E)</f>
        <v>107839</v>
      </c>
      <c r="K34" s="3">
        <f>SUMIFS(E:E,D:D,H34,C:C,$M$30)</f>
        <v>39253</v>
      </c>
      <c r="O34" s="3">
        <f t="shared" ref="O34:O36" si="7">AVERAGEIF(D:D,H34,E:E)</f>
        <v>5135.1904761904761</v>
      </c>
      <c r="Q34" s="3">
        <f>AVERAGEIFS(E:E,D:D,H34,C:C,$M$30)</f>
        <v>5607.5714285714284</v>
      </c>
    </row>
    <row r="35" spans="1:1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H35" s="13" t="s">
        <v>88</v>
      </c>
      <c r="I35" s="3">
        <f t="shared" si="6"/>
        <v>137638</v>
      </c>
      <c r="K35" s="3">
        <f>SUMIFS(E:E,D:D,H35,C:C,$M$30)</f>
        <v>49021</v>
      </c>
      <c r="O35" s="3">
        <f t="shared" si="7"/>
        <v>5293.7692307692305</v>
      </c>
      <c r="Q35" s="3">
        <f>AVERAGEIFS(E:E,D:D,H35,C:C,$M$30)</f>
        <v>4902.1000000000004</v>
      </c>
    </row>
    <row r="36" spans="1:1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H36" s="13" t="s">
        <v>86</v>
      </c>
      <c r="I36" s="3">
        <f t="shared" si="6"/>
        <v>110772</v>
      </c>
      <c r="K36" s="3">
        <f>SUMIFS(E:E,D:D,H36,C:C,$M$30)</f>
        <v>27775</v>
      </c>
      <c r="O36" s="3">
        <f t="shared" si="7"/>
        <v>6516</v>
      </c>
      <c r="Q36" s="3">
        <f>AVERAGEIFS(E:E,D:D,H36,C:C,$M$30)</f>
        <v>6943.75</v>
      </c>
    </row>
    <row r="37" spans="1:1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H38" s="14" t="s">
        <v>159</v>
      </c>
      <c r="I38" s="15">
        <f>SUM(I33:I36)</f>
        <v>528120</v>
      </c>
    </row>
    <row r="39" spans="1:1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1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1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1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1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1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1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1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1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1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313F-31B4-40A5-99DD-B4195FACCF81}">
  <dimension ref="A1:T101"/>
  <sheetViews>
    <sheetView topLeftCell="B1" zoomScaleNormal="100" workbookViewId="0">
      <selection activeCell="O29" sqref="O29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5.28515625" customWidth="1"/>
    <col min="8" max="8" width="11.85546875" customWidth="1"/>
    <col min="9" max="9" width="30.42578125" customWidth="1"/>
    <col min="10" max="10" width="10.85546875" customWidth="1"/>
    <col min="11" max="11" width="12.140625" customWidth="1"/>
    <col min="12" max="12" width="22.7109375" customWidth="1"/>
    <col min="14" max="14" width="10.7109375" bestFit="1" customWidth="1"/>
    <col min="17" max="17" width="11.5703125" customWidth="1"/>
    <col min="18" max="18" width="17.85546875" customWidth="1"/>
    <col min="20" max="20" width="12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</row>
    <row r="2" spans="1:20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I2" t="s">
        <v>201</v>
      </c>
      <c r="J2" t="s">
        <v>202</v>
      </c>
      <c r="K2" t="s">
        <v>207</v>
      </c>
      <c r="L2" t="s">
        <v>203</v>
      </c>
      <c r="M2" t="s">
        <v>204</v>
      </c>
    </row>
    <row r="3" spans="1:20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I3" t="s">
        <v>205</v>
      </c>
      <c r="J3">
        <v>6000</v>
      </c>
      <c r="K3">
        <v>4000</v>
      </c>
      <c r="L3">
        <v>8000</v>
      </c>
      <c r="M3">
        <v>3000</v>
      </c>
    </row>
    <row r="4" spans="1:20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20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20" ht="15.75" thickBot="1" x14ac:dyDescent="0.3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I6" s="16" t="s">
        <v>190</v>
      </c>
      <c r="K6" s="16" t="s">
        <v>191</v>
      </c>
      <c r="M6" s="16" t="s">
        <v>192</v>
      </c>
      <c r="O6" s="16" t="s">
        <v>193</v>
      </c>
      <c r="Q6" s="16" t="s">
        <v>194</v>
      </c>
      <c r="T6" s="16" t="s">
        <v>195</v>
      </c>
    </row>
    <row r="7" spans="1:20" ht="15.75" thickTop="1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20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20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</row>
    <row r="10" spans="1:20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</row>
    <row r="11" spans="1:20" ht="19.5" thickBot="1" x14ac:dyDescent="0.3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I11" s="21" t="s">
        <v>191</v>
      </c>
      <c r="L11" s="21" t="s">
        <v>206</v>
      </c>
      <c r="N11" s="21" t="s">
        <v>193</v>
      </c>
      <c r="P11" s="21" t="s">
        <v>208</v>
      </c>
      <c r="R11" s="21" t="s">
        <v>195</v>
      </c>
    </row>
    <row r="12" spans="1:20" ht="15.75" thickTop="1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H12" s="17" t="s">
        <v>83</v>
      </c>
      <c r="I12" s="3">
        <f>VLOOKUP(H12,C:F,3,0)</f>
        <v>5832</v>
      </c>
      <c r="L12" s="3">
        <f>HLOOKUP(H12,$I$2:$M$3,2,0)</f>
        <v>8000</v>
      </c>
      <c r="N12" s="18" t="str" cm="1">
        <f t="array" ref="N12">INDEX(C:C,P12)</f>
        <v>Clothing</v>
      </c>
      <c r="P12" s="18">
        <f>MATCH(H12,C:C,0)</f>
        <v>4</v>
      </c>
      <c r="R12" s="12">
        <f>INDEX(E:E,MATCH(T12,B:B,0))</f>
        <v>4050</v>
      </c>
      <c r="T12" s="19" t="s">
        <v>73</v>
      </c>
    </row>
    <row r="13" spans="1:20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H13" s="17" t="s">
        <v>81</v>
      </c>
      <c r="I13" s="3">
        <f t="shared" ref="I13:I15" si="0">VLOOKUP(H13,C:F,3,0)</f>
        <v>4050</v>
      </c>
      <c r="L13" s="3">
        <f>HLOOKUP(H13,$I$2:$M$3,2,0)</f>
        <v>6000</v>
      </c>
      <c r="N13" s="18" t="str" cm="1">
        <f t="array" ref="N13">INDEX(C:C,P13)</f>
        <v>Footwear</v>
      </c>
      <c r="P13" s="18">
        <f t="shared" ref="P13:P15" si="1">MATCH(H13,C:C,0)</f>
        <v>2</v>
      </c>
      <c r="R13" s="12">
        <f>INDEX(E:E,MATCH(T13,B:B,0))</f>
        <v>7875</v>
      </c>
      <c r="T13" s="19" t="s">
        <v>74</v>
      </c>
    </row>
    <row r="14" spans="1:20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H14" s="17" t="s">
        <v>82</v>
      </c>
      <c r="I14" s="3">
        <f t="shared" si="0"/>
        <v>7875</v>
      </c>
      <c r="L14" s="3">
        <f>HLOOKUP(H14,$I$2:$M$3,2,0)</f>
        <v>4000</v>
      </c>
      <c r="N14" s="18" t="str" cm="1">
        <f t="array" ref="N14">INDEX(C:C,P14)</f>
        <v>Electronics</v>
      </c>
      <c r="P14" s="18">
        <f t="shared" si="1"/>
        <v>3</v>
      </c>
      <c r="R14" s="12">
        <f t="shared" ref="R14:R15" si="2">INDEX(E:E,MATCH(T14,B:B,0))</f>
        <v>5832</v>
      </c>
      <c r="T14" s="19" t="s">
        <v>209</v>
      </c>
    </row>
    <row r="15" spans="1:20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H15" s="17" t="s">
        <v>84</v>
      </c>
      <c r="I15" s="3">
        <f t="shared" si="0"/>
        <v>676</v>
      </c>
      <c r="L15" s="3">
        <f>HLOOKUP(H15,$I$2:$M$3,2,0)</f>
        <v>3000</v>
      </c>
      <c r="N15" s="18" t="str" cm="1">
        <f t="array" ref="N15">INDEX(C:C,P15)</f>
        <v>Appliances</v>
      </c>
      <c r="P15" s="18">
        <f t="shared" si="1"/>
        <v>5</v>
      </c>
      <c r="R15" s="12">
        <f t="shared" si="2"/>
        <v>676</v>
      </c>
      <c r="T15" s="19" t="s">
        <v>210</v>
      </c>
    </row>
    <row r="16" spans="1:20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</row>
    <row r="19" spans="1:19" ht="19.5" thickBot="1" x14ac:dyDescent="0.3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I19" s="21" t="s">
        <v>192</v>
      </c>
    </row>
    <row r="20" spans="1:19" ht="15.75" thickTop="1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H20" s="14" t="s">
        <v>211</v>
      </c>
      <c r="I20" s="20">
        <f>_xlfn.XLOOKUP(H20,D:D,F:F,"0",0)</f>
        <v>18</v>
      </c>
      <c r="L20" s="9" t="str" cm="1">
        <f t="array" ref="L20:P20">_xlfn.XLOOKUP(T12,B:B,B:F,0,0)</f>
        <v>Sneakers</v>
      </c>
      <c r="M20" s="9" t="str">
        <v>Footwear</v>
      </c>
      <c r="N20" s="9" t="str">
        <v>East</v>
      </c>
      <c r="O20" s="9">
        <v>4050</v>
      </c>
      <c r="P20" s="9">
        <v>18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H21" s="14" t="s">
        <v>212</v>
      </c>
      <c r="I21" s="20">
        <f t="shared" ref="I21:I23" si="3">_xlfn.XLOOKUP(H21,D:D,F:F,"0",0)</f>
        <v>10</v>
      </c>
      <c r="L21" s="9" t="str" cm="1">
        <f t="array" ref="L21:P21">_xlfn.XLOOKUP(T13,B:B,B:F,0,0)</f>
        <v>Smartphone</v>
      </c>
      <c r="M21" s="9" t="str">
        <v>Electronics</v>
      </c>
      <c r="N21" s="9" t="str">
        <v>South</v>
      </c>
      <c r="O21" s="9">
        <v>7875</v>
      </c>
      <c r="P21" s="9">
        <v>15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H22" s="14" t="s">
        <v>213</v>
      </c>
      <c r="I22" s="20">
        <f t="shared" si="3"/>
        <v>9</v>
      </c>
      <c r="L22" s="9" t="str" cm="1">
        <f t="array" ref="L22:P22">_xlfn.XLOOKUP(T14,B:B,B:F,0,0)</f>
        <v>Shirt</v>
      </c>
      <c r="M22" s="9" t="str">
        <v>Clothing</v>
      </c>
      <c r="N22" s="9" t="str">
        <v>East</v>
      </c>
      <c r="O22" s="9">
        <v>5832</v>
      </c>
      <c r="P22" s="9">
        <v>6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H23" s="14" t="s">
        <v>214</v>
      </c>
      <c r="I23" s="20">
        <f t="shared" si="3"/>
        <v>15</v>
      </c>
      <c r="L23" s="9" t="str" cm="1">
        <f t="array" ref="L23:P23">_xlfn.XLOOKUP(T15,B:B,B:F,0,0)</f>
        <v>Microwave</v>
      </c>
      <c r="M23" s="9" t="str">
        <v>Appliances</v>
      </c>
      <c r="N23" s="9" t="str">
        <v>East</v>
      </c>
      <c r="O23" s="9">
        <v>676</v>
      </c>
      <c r="P23" s="9">
        <v>4</v>
      </c>
    </row>
    <row r="24" spans="1:19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9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19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J29" t="s">
        <v>215</v>
      </c>
      <c r="K29" t="s">
        <v>216</v>
      </c>
      <c r="L29" t="s">
        <v>217</v>
      </c>
      <c r="M29" t="s">
        <v>98</v>
      </c>
      <c r="P29" t="s">
        <v>225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J30" t="s">
        <v>126</v>
      </c>
      <c r="K30">
        <v>90</v>
      </c>
      <c r="L30" t="s">
        <v>221</v>
      </c>
      <c r="M30">
        <f>_xlfn.RANK.EQ(Table12[[#This Row],[marks]],Table12[marks],0)</f>
        <v>1</v>
      </c>
      <c r="P30" s="9" t="str" cm="1">
        <f t="array" ref="P30:S30">IF(Table12[[#This Row],[rank]]=1,Table12[#This Row],0)</f>
        <v>A</v>
      </c>
      <c r="Q30" s="9">
        <v>90</v>
      </c>
      <c r="R30" s="9" t="str">
        <v>CSD</v>
      </c>
      <c r="S30" s="9">
        <v>1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J31" t="s">
        <v>218</v>
      </c>
      <c r="K31">
        <v>90</v>
      </c>
      <c r="L31" t="s">
        <v>222</v>
      </c>
      <c r="M31">
        <f>_xlfn.RANK.EQ(Table12[[#This Row],[marks]],Table12[marks],0)</f>
        <v>1</v>
      </c>
      <c r="P31" s="9" t="str" cm="1">
        <f t="array" ref="P31:S31">IF(Table12[[#This Row],[rank]]=1,Table12[#This Row],0)</f>
        <v>B</v>
      </c>
      <c r="Q31" s="9">
        <v>90</v>
      </c>
      <c r="R31" s="9" t="str">
        <v>CSE</v>
      </c>
      <c r="S31" s="9">
        <v>1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J32" t="s">
        <v>219</v>
      </c>
      <c r="K32">
        <v>80</v>
      </c>
      <c r="L32" t="s">
        <v>223</v>
      </c>
      <c r="M32">
        <f>_xlfn.RANK.EQ(Table12[[#This Row],[marks]],Table12[marks],0)</f>
        <v>3</v>
      </c>
      <c r="P32" s="9" cm="1">
        <f t="array" ref="P32">IF(Table12[[#This Row],[rank]]=1,Table12[#This Row],0)</f>
        <v>0</v>
      </c>
      <c r="Q32" s="9"/>
      <c r="R32" s="9"/>
      <c r="S32" s="9"/>
    </row>
    <row r="33" spans="1:19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J33" t="s">
        <v>220</v>
      </c>
      <c r="K33">
        <v>70</v>
      </c>
      <c r="L33" t="s">
        <v>224</v>
      </c>
      <c r="M33">
        <f>_xlfn.RANK.EQ(Table12[[#This Row],[marks]],Table12[marks],0)</f>
        <v>4</v>
      </c>
      <c r="N33" s="17" t="s">
        <v>226</v>
      </c>
      <c r="O33" s="3" t="str">
        <f>_xlfn.XLOOKUP(K30,Table12[marks],Table12[dept],0,1,-1)</f>
        <v>CSE</v>
      </c>
      <c r="P33" s="9" cm="1">
        <f t="array" ref="P33">IF(Table12[[#This Row],[rank]]=1,Table12[#This Row],0)</f>
        <v>0</v>
      </c>
      <c r="Q33" s="9"/>
      <c r="R33" s="9"/>
      <c r="S33" s="9"/>
    </row>
    <row r="34" spans="1:19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P34" s="9"/>
      <c r="Q34" s="9"/>
      <c r="R34" s="9"/>
      <c r="S34" s="9"/>
    </row>
    <row r="35" spans="1:19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19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19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9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K38" t="s">
        <v>236</v>
      </c>
      <c r="L38" t="str" cm="1">
        <f t="array" ref="L38">INDEX(_xlfn._xlws.FILTER(Table12[name],M30=1),2)</f>
        <v>B</v>
      </c>
    </row>
    <row r="39" spans="1:19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19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19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19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19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19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19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19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19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19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9B41-81E2-4DE2-A035-A53FAA748E71}">
  <dimension ref="A1:U101"/>
  <sheetViews>
    <sheetView topLeftCell="D7" workbookViewId="0">
      <selection activeCell="P30" sqref="P30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9" max="9" width="8.85546875" bestFit="1" customWidth="1"/>
    <col min="11" max="11" width="15.140625" bestFit="1" customWidth="1"/>
    <col min="13" max="13" width="11" customWidth="1"/>
    <col min="16" max="16" width="17.5703125" bestFit="1" customWidth="1"/>
    <col min="18" max="18" width="21.7109375" bestFit="1" customWidth="1"/>
    <col min="19" max="19" width="1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21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21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21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I5" s="22" t="s">
        <v>237</v>
      </c>
      <c r="K5" s="22" t="s">
        <v>238</v>
      </c>
      <c r="M5" s="22" t="s">
        <v>239</v>
      </c>
      <c r="O5" s="22" t="s">
        <v>240</v>
      </c>
      <c r="Q5" s="22" t="s">
        <v>241</v>
      </c>
      <c r="S5" s="22" t="s">
        <v>242</v>
      </c>
      <c r="U5" s="22" t="s">
        <v>243</v>
      </c>
    </row>
    <row r="6" spans="1:21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21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21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21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</row>
    <row r="10" spans="1:21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I10" s="22" t="s">
        <v>244</v>
      </c>
      <c r="K10" s="22" t="s">
        <v>245</v>
      </c>
      <c r="M10" s="22" t="s">
        <v>246</v>
      </c>
      <c r="O10" s="17" t="s">
        <v>237</v>
      </c>
      <c r="P10" s="17" t="s">
        <v>238</v>
      </c>
      <c r="R10" s="3" t="s">
        <v>247</v>
      </c>
      <c r="S10" s="3" t="s">
        <v>248</v>
      </c>
    </row>
    <row r="11" spans="1:21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I11" s="23" t="str">
        <f>IF(F2&gt;15,"Fast Sold")</f>
        <v>Fast Sold</v>
      </c>
      <c r="K11" s="23" t="str">
        <f>IF(F2&gt;15,"Fast Sold","Slow Sold Items")</f>
        <v>Fast Sold</v>
      </c>
      <c r="M11" s="23" t="str">
        <f>IF(E2&gt;10000,"Above 10k",IF(E2&gt;5000,"Above 5k",IF(E2&gt;2000,"Above 2k","Under2k")))</f>
        <v>Above 2k</v>
      </c>
      <c r="O11" s="24" t="b">
        <f>AND(E2&gt;5000,F2&gt;10)</f>
        <v>0</v>
      </c>
      <c r="P11" s="24" t="b">
        <f>OR(E2&gt;5000,F2&gt;10)</f>
        <v>1</v>
      </c>
      <c r="R11" s="15" t="str">
        <f>IF(O11,"Fast Growing Products","Slow Growing Products")</f>
        <v>Slow Growing Products</v>
      </c>
      <c r="S11" s="15" t="str">
        <f>IF(P11,"Fast Sold","Slow Sold")</f>
        <v>Fast Sold</v>
      </c>
    </row>
    <row r="12" spans="1:21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I12" s="23" t="b">
        <f t="shared" ref="I12:I22" si="0">IF(F3&gt;15,"Fast Sold")</f>
        <v>0</v>
      </c>
      <c r="K12" s="23" t="str">
        <f t="shared" ref="K12:K22" si="1">IF(F3&gt;15,"Fast Sold","Slow Sold Items")</f>
        <v>Slow Sold Items</v>
      </c>
      <c r="M12" s="23" t="str">
        <f>IF(E3&gt;10000,"Above 10k",IF(E3&gt;5000,"Above 5k",IF(E3&gt;2000,"Above 2k","Under2k")))</f>
        <v>Above 5k</v>
      </c>
      <c r="O12" s="24" t="b">
        <f t="shared" ref="O12:O22" si="2">AND(E3&gt;5000,F3&gt;10)</f>
        <v>1</v>
      </c>
      <c r="P12" s="24" t="b">
        <f t="shared" ref="P12:P22" si="3">OR(E3&gt;5000,F3&gt;10)</f>
        <v>1</v>
      </c>
      <c r="R12" s="15" t="str">
        <f t="shared" ref="R12:R22" si="4">IF(O12,"Fast Growing Products","Slow Growing Products")</f>
        <v>Fast Growing Products</v>
      </c>
      <c r="S12" s="15" t="str">
        <f t="shared" ref="S12:S22" si="5">IF(P12,"Fast Sold","Slow Sold")</f>
        <v>Fast Sold</v>
      </c>
    </row>
    <row r="13" spans="1:21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I13" s="23" t="b">
        <f t="shared" si="0"/>
        <v>0</v>
      </c>
      <c r="K13" s="23" t="str">
        <f t="shared" si="1"/>
        <v>Slow Sold Items</v>
      </c>
      <c r="M13" s="23" t="str">
        <f t="shared" ref="M13:M22" si="6">IF(E4&gt;10000,"Above 10k",IF(E4&gt;5000,"Above 5k",IF(E4&gt;2000,"Above 2k","Under2k")))</f>
        <v>Above 5k</v>
      </c>
      <c r="O13" s="24" t="b">
        <f t="shared" si="2"/>
        <v>0</v>
      </c>
      <c r="P13" s="24" t="b">
        <f t="shared" si="3"/>
        <v>1</v>
      </c>
      <c r="R13" s="15" t="str">
        <f t="shared" si="4"/>
        <v>Slow Growing Products</v>
      </c>
      <c r="S13" s="15" t="str">
        <f t="shared" si="5"/>
        <v>Fast Sold</v>
      </c>
    </row>
    <row r="14" spans="1:21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I14" s="23" t="b">
        <f t="shared" si="0"/>
        <v>0</v>
      </c>
      <c r="K14" s="23" t="str">
        <f t="shared" si="1"/>
        <v>Slow Sold Items</v>
      </c>
      <c r="M14" s="23" t="str">
        <f t="shared" si="6"/>
        <v>Under2k</v>
      </c>
      <c r="O14" s="24" t="b">
        <f t="shared" si="2"/>
        <v>0</v>
      </c>
      <c r="P14" s="24" t="b">
        <f t="shared" si="3"/>
        <v>0</v>
      </c>
      <c r="R14" s="15" t="str">
        <f t="shared" si="4"/>
        <v>Slow Growing Products</v>
      </c>
      <c r="S14" s="15" t="str">
        <f t="shared" si="5"/>
        <v>Slow Sold</v>
      </c>
    </row>
    <row r="15" spans="1:21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I15" s="23" t="b">
        <f t="shared" si="0"/>
        <v>0</v>
      </c>
      <c r="K15" s="23" t="str">
        <f t="shared" si="1"/>
        <v>Slow Sold Items</v>
      </c>
      <c r="M15" s="23" t="str">
        <f t="shared" si="6"/>
        <v>Above 5k</v>
      </c>
      <c r="O15" s="24" t="b">
        <f t="shared" si="2"/>
        <v>0</v>
      </c>
      <c r="P15" s="24" t="b">
        <f t="shared" si="3"/>
        <v>1</v>
      </c>
      <c r="R15" s="15" t="str">
        <f t="shared" si="4"/>
        <v>Slow Growing Products</v>
      </c>
      <c r="S15" s="15" t="str">
        <f t="shared" si="5"/>
        <v>Fast Sold</v>
      </c>
    </row>
    <row r="16" spans="1:21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I16" s="23" t="b">
        <f t="shared" si="0"/>
        <v>0</v>
      </c>
      <c r="K16" s="23" t="str">
        <f t="shared" si="1"/>
        <v>Slow Sold Items</v>
      </c>
      <c r="M16" s="23" t="str">
        <f t="shared" si="6"/>
        <v>Under2k</v>
      </c>
      <c r="O16" s="24" t="b">
        <f t="shared" si="2"/>
        <v>0</v>
      </c>
      <c r="P16" s="24" t="b">
        <f t="shared" si="3"/>
        <v>0</v>
      </c>
      <c r="R16" s="15" t="str">
        <f t="shared" si="4"/>
        <v>Slow Growing Products</v>
      </c>
      <c r="S16" s="15" t="str">
        <f t="shared" si="5"/>
        <v>Slow Sold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I17" s="23" t="str">
        <f t="shared" si="0"/>
        <v>Fast Sold</v>
      </c>
      <c r="K17" s="23" t="str">
        <f t="shared" si="1"/>
        <v>Fast Sold</v>
      </c>
      <c r="M17" s="23" t="str">
        <f t="shared" si="6"/>
        <v>Above 5k</v>
      </c>
      <c r="O17" s="24" t="b">
        <f t="shared" si="2"/>
        <v>1</v>
      </c>
      <c r="P17" s="24" t="b">
        <f t="shared" si="3"/>
        <v>1</v>
      </c>
      <c r="R17" s="15" t="str">
        <f t="shared" si="4"/>
        <v>Fast Growing Products</v>
      </c>
      <c r="S17" s="15" t="str">
        <f t="shared" si="5"/>
        <v>Fast Sold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I18" s="23" t="str">
        <f t="shared" si="0"/>
        <v>Fast Sold</v>
      </c>
      <c r="K18" s="23" t="str">
        <f t="shared" si="1"/>
        <v>Fast Sold</v>
      </c>
      <c r="M18" s="23" t="str">
        <f t="shared" si="6"/>
        <v>Under2k</v>
      </c>
      <c r="O18" s="24" t="b">
        <f t="shared" si="2"/>
        <v>0</v>
      </c>
      <c r="P18" s="24" t="b">
        <f t="shared" si="3"/>
        <v>1</v>
      </c>
      <c r="R18" s="15" t="str">
        <f t="shared" si="4"/>
        <v>Slow Growing Products</v>
      </c>
      <c r="S18" s="15" t="str">
        <f t="shared" si="5"/>
        <v>Fast Sold</v>
      </c>
    </row>
    <row r="19" spans="1:19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I19" s="23" t="b">
        <f t="shared" si="0"/>
        <v>0</v>
      </c>
      <c r="K19" s="23" t="str">
        <f t="shared" si="1"/>
        <v>Slow Sold Items</v>
      </c>
      <c r="M19" s="23" t="str">
        <f t="shared" si="6"/>
        <v>Above 5k</v>
      </c>
      <c r="O19" s="24" t="b">
        <f t="shared" si="2"/>
        <v>0</v>
      </c>
      <c r="P19" s="24" t="b">
        <f t="shared" si="3"/>
        <v>1</v>
      </c>
      <c r="R19" s="15" t="str">
        <f t="shared" si="4"/>
        <v>Slow Growing Products</v>
      </c>
      <c r="S19" s="15" t="str">
        <f t="shared" si="5"/>
        <v>Fast Sold</v>
      </c>
    </row>
    <row r="20" spans="1:19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I20" s="23" t="str">
        <f t="shared" si="0"/>
        <v>Fast Sold</v>
      </c>
      <c r="K20" s="23" t="str">
        <f t="shared" si="1"/>
        <v>Fast Sold</v>
      </c>
      <c r="M20" s="23" t="str">
        <f t="shared" si="6"/>
        <v>Above 2k</v>
      </c>
      <c r="O20" s="24" t="b">
        <f t="shared" si="2"/>
        <v>0</v>
      </c>
      <c r="P20" s="24" t="b">
        <f t="shared" si="3"/>
        <v>1</v>
      </c>
      <c r="R20" s="15" t="str">
        <f t="shared" si="4"/>
        <v>Slow Growing Products</v>
      </c>
      <c r="S20" s="15" t="str">
        <f t="shared" si="5"/>
        <v>Fast Sold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I21" s="23" t="b">
        <f t="shared" si="0"/>
        <v>0</v>
      </c>
      <c r="K21" s="23" t="str">
        <f t="shared" si="1"/>
        <v>Slow Sold Items</v>
      </c>
      <c r="M21" s="23" t="str">
        <f t="shared" si="6"/>
        <v>Above 5k</v>
      </c>
      <c r="O21" s="24" t="b">
        <f t="shared" si="2"/>
        <v>1</v>
      </c>
      <c r="P21" s="24" t="b">
        <f t="shared" si="3"/>
        <v>1</v>
      </c>
      <c r="R21" s="15" t="str">
        <f t="shared" si="4"/>
        <v>Fast Growing Products</v>
      </c>
      <c r="S21" s="15" t="str">
        <f t="shared" si="5"/>
        <v>Fast Sold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I22" s="23" t="b">
        <f t="shared" si="0"/>
        <v>0</v>
      </c>
      <c r="K22" s="23" t="str">
        <f t="shared" si="1"/>
        <v>Slow Sold Items</v>
      </c>
      <c r="M22" s="23" t="str">
        <f t="shared" si="6"/>
        <v>Above 5k</v>
      </c>
      <c r="O22" s="24" t="b">
        <f t="shared" si="2"/>
        <v>1</v>
      </c>
      <c r="P22" s="24" t="b">
        <f t="shared" si="3"/>
        <v>1</v>
      </c>
      <c r="R22" s="15" t="str">
        <f t="shared" si="4"/>
        <v>Fast Growing Products</v>
      </c>
      <c r="S22" s="15" t="str">
        <f t="shared" si="5"/>
        <v>Fast Sold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</row>
    <row r="24" spans="1:19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9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19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I27" s="10" t="s">
        <v>239</v>
      </c>
      <c r="J27" s="10" t="s">
        <v>249</v>
      </c>
      <c r="L27" s="10" t="s">
        <v>250</v>
      </c>
      <c r="P27" s="3" t="e">
        <f>MOD(10,0)</f>
        <v>#DIV/0!</v>
      </c>
      <c r="S27" s="3">
        <v>2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I28" s="15" t="b">
        <f>NOT(FALSE)</f>
        <v>1</v>
      </c>
      <c r="J28" s="15" t="b">
        <f>_xlfn.XOR(FALSE,FALSE)</f>
        <v>0</v>
      </c>
      <c r="L28" s="15" t="str">
        <f>IF(AND(F2&gt;10,F2&lt;20),"10-20","0-9")</f>
        <v>10-20</v>
      </c>
      <c r="O28" s="17" t="s">
        <v>243</v>
      </c>
      <c r="P28" s="10" t="str">
        <f>IFERROR(P27,"Zero Division Error")</f>
        <v>Zero Division Error</v>
      </c>
      <c r="R28" s="17" t="s">
        <v>251</v>
      </c>
      <c r="S28" s="9">
        <v>1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I29" s="15" t="b">
        <f>NOT(TRUE)</f>
        <v>0</v>
      </c>
      <c r="J29" s="15" t="b">
        <f>_xlfn.XOR(TRUE,TRUE)</f>
        <v>0</v>
      </c>
      <c r="L29" s="15" t="str">
        <f t="shared" ref="L29:L35" si="7">IF(AND(F3&gt;10,F3&lt;20),"10-20","0-9")</f>
        <v>10-20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I30" s="15"/>
      <c r="J30" s="15" t="b">
        <f>_xlfn.XOR(FALSE,TRUE)</f>
        <v>1</v>
      </c>
      <c r="L30" s="15" t="str">
        <f t="shared" si="7"/>
        <v>0-9</v>
      </c>
      <c r="P30" s="15">
        <v>1</v>
      </c>
      <c r="Q30" s="15">
        <v>1</v>
      </c>
      <c r="R30" s="3" t="b">
        <f>_xlfn.XOR(P30,Q30)</f>
        <v>0</v>
      </c>
      <c r="S30" t="s">
        <v>252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I31" s="15"/>
      <c r="J31" s="15" t="b">
        <f>_xlfn.XOR(TRUE,FALSE)</f>
        <v>1</v>
      </c>
      <c r="L31" s="15" t="str">
        <f t="shared" si="7"/>
        <v>0-9</v>
      </c>
      <c r="P31" s="15">
        <v>1</v>
      </c>
      <c r="Q31" s="15">
        <v>0</v>
      </c>
      <c r="R31" s="3" t="b">
        <f t="shared" ref="R31:R33" si="8">_xlfn.XOR(P31,Q31)</f>
        <v>1</v>
      </c>
      <c r="S31" t="s">
        <v>253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L32" s="15" t="str">
        <f t="shared" si="7"/>
        <v>0-9</v>
      </c>
      <c r="P32" s="15">
        <v>0</v>
      </c>
      <c r="Q32" s="15">
        <v>1</v>
      </c>
      <c r="R32" s="3" t="b">
        <f t="shared" si="8"/>
        <v>1</v>
      </c>
      <c r="S32" t="s">
        <v>253</v>
      </c>
    </row>
    <row r="33" spans="1:19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L33" s="15" t="str">
        <f t="shared" si="7"/>
        <v>0-9</v>
      </c>
      <c r="P33" s="15">
        <v>0</v>
      </c>
      <c r="Q33" s="15">
        <v>0</v>
      </c>
      <c r="R33" s="3" t="b">
        <f t="shared" si="8"/>
        <v>0</v>
      </c>
      <c r="S33" t="s">
        <v>252</v>
      </c>
    </row>
    <row r="34" spans="1:19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L34" s="15" t="str">
        <f t="shared" si="7"/>
        <v>10-20</v>
      </c>
    </row>
    <row r="35" spans="1:19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L35" s="15" t="str">
        <f t="shared" si="7"/>
        <v>10-20</v>
      </c>
    </row>
    <row r="36" spans="1:19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19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9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19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I39" s="3" t="s">
        <v>254</v>
      </c>
    </row>
    <row r="40" spans="1:19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I40" s="25">
        <v>1</v>
      </c>
      <c r="J40" s="25" t="str" cm="1">
        <f t="array" ref="J40">_xlfn.SWITCH(I40,1,"Sun",2,"Mon",3,"Tue",4,"Wed",5,"Thur",6,"Fri",7,"Sat","Non")</f>
        <v>Sun</v>
      </c>
    </row>
    <row r="41" spans="1:19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I41" s="25">
        <v>2</v>
      </c>
      <c r="J41" s="25" t="str" cm="1">
        <f t="array" ref="J41">_xlfn.SWITCH(I41,1,"Sun",2,"Mon",3,"Tue",4,"Wed",5,"Thur",6,"Fri",7,"Sat","Non")</f>
        <v>Mon</v>
      </c>
    </row>
    <row r="42" spans="1:19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I42" s="25">
        <v>3</v>
      </c>
      <c r="J42" s="25" t="str" cm="1">
        <f t="array" ref="J42">_xlfn.SWITCH(I42,1,"Sun",2,"Mon",3,"Tue",4,"Wed",5,"Thur",6,"Fri",7,"Sat","Non")</f>
        <v>Tue</v>
      </c>
    </row>
    <row r="43" spans="1:19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I43" s="25">
        <v>4</v>
      </c>
      <c r="J43" s="25" t="str" cm="1">
        <f t="array" ref="J43">_xlfn.SWITCH(I43,1,"Sun",2,"Mon",3,"Tue",4,"Wed",5,"Thur",6,"Fri",7,"Sat","Non")</f>
        <v>Wed</v>
      </c>
    </row>
    <row r="44" spans="1:19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I44" s="25">
        <v>5</v>
      </c>
      <c r="J44" s="25" t="str" cm="1">
        <f t="array" ref="J44">_xlfn.SWITCH(I44,1,"Sun",2,"Mon",3,"Tue",4,"Wed",5,"Thur",6,"Fri",7,"Sat","Non")</f>
        <v>Thur</v>
      </c>
    </row>
    <row r="45" spans="1:19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I45" s="25">
        <v>6</v>
      </c>
      <c r="J45" s="25" t="str" cm="1">
        <f t="array" ref="J45">_xlfn.SWITCH(I45,1,"Sun",2,"Mon",3,"Tue",4,"Wed",5,"Thur",6,"Fri",7,"Sat","Non")</f>
        <v>Fri</v>
      </c>
    </row>
    <row r="46" spans="1:19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I46" s="25">
        <v>7</v>
      </c>
      <c r="J46" s="25" t="str" cm="1">
        <f t="array" ref="J46">_xlfn.SWITCH(I46,1,"Sun",2,"Mon",3,"Tue",4,"Wed",5,"Thur",6,"Fri",7,"Sat","Non")</f>
        <v>Sat</v>
      </c>
    </row>
    <row r="47" spans="1:19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I47" s="25">
        <v>8</v>
      </c>
      <c r="J47" s="25" t="str" cm="1">
        <f t="array" ref="J47">_xlfn.SWITCH(I47,1,"Sun",2,"Mon",3,"Tue",4,"Wed",5,"Thur",6,"Fri",7,"Sat","Non")</f>
        <v>Non</v>
      </c>
    </row>
    <row r="48" spans="1:19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ignoredErrors>
    <ignoredError sqref="L28:L35" twoDigitTextYear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A744-53FC-40E0-9FAE-17ED07E8F141}">
  <dimension ref="A1:S101"/>
  <sheetViews>
    <sheetView topLeftCell="A16" workbookViewId="0">
      <selection activeCell="R38" sqref="R38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17.140625" bestFit="1" customWidth="1"/>
    <col min="9" max="9" width="14" bestFit="1" customWidth="1"/>
    <col min="10" max="10" width="12" bestFit="1" customWidth="1"/>
    <col min="11" max="11" width="14.42578125" customWidth="1"/>
    <col min="12" max="12" width="9.140625" hidden="1" customWidth="1"/>
    <col min="13" max="13" width="14.7109375" customWidth="1"/>
    <col min="14" max="14" width="16" customWidth="1"/>
    <col min="15" max="15" width="16.42578125" bestFit="1" customWidth="1"/>
    <col min="16" max="16" width="16.42578125" customWidth="1"/>
    <col min="17" max="17" width="0.42578125" customWidth="1"/>
    <col min="19" max="19" width="16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268</v>
      </c>
    </row>
    <row r="2" spans="1:19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G2" cm="1">
        <f t="array" ref="G2">_xlfn.SWITCH(Table1__7[[#This Row],[Region]],"North",1,"South",2,"East",3,4)</f>
        <v>3</v>
      </c>
    </row>
    <row r="3" spans="1:19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G3" cm="1">
        <f t="array" ref="G3">_xlfn.SWITCH(Table1__7[[#This Row],[Region]],"North",1,"South",2,"East",3,4)</f>
        <v>2</v>
      </c>
    </row>
    <row r="4" spans="1:19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  <c r="G4" cm="1">
        <f t="array" ref="G4">_xlfn.SWITCH(Table1__7[[#This Row],[Region]],"North",1,"South",2,"East",3,4)</f>
        <v>3</v>
      </c>
    </row>
    <row r="5" spans="1:19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G5" cm="1">
        <f t="array" ref="G5">_xlfn.SWITCH(Table1__7[[#This Row],[Region]],"North",1,"South",2,"East",3,4)</f>
        <v>3</v>
      </c>
      <c r="Q5" s="30"/>
    </row>
    <row r="6" spans="1:19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G6" cm="1">
        <f t="array" ref="G6">_xlfn.SWITCH(Table1__7[[#This Row],[Region]],"North",1,"South",2,"East",3,4)</f>
        <v>4</v>
      </c>
      <c r="S6">
        <v>5000</v>
      </c>
    </row>
    <row r="7" spans="1:19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  <c r="G7" cm="1">
        <f t="array" ref="G7">_xlfn.SWITCH(Table1__7[[#This Row],[Region]],"North",1,"South",2,"East",3,4)</f>
        <v>4</v>
      </c>
    </row>
    <row r="8" spans="1:19" ht="19.5" thickBot="1" x14ac:dyDescent="0.3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G8" cm="1">
        <f t="array" ref="G8">_xlfn.SWITCH(Table1__7[[#This Row],[Region]],"North",1,"South",2,"East",3,4)</f>
        <v>2</v>
      </c>
      <c r="I8" s="26" t="s">
        <v>255</v>
      </c>
      <c r="K8" s="26" t="s">
        <v>256</v>
      </c>
      <c r="M8" s="26" t="s">
        <v>257</v>
      </c>
      <c r="O8" s="26" t="s">
        <v>258</v>
      </c>
      <c r="Q8" s="26" t="s">
        <v>263</v>
      </c>
    </row>
    <row r="9" spans="1:19" ht="19.5" thickTop="1" x14ac:dyDescent="0.3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 cm="1">
        <f t="array" ref="G9">_xlfn.SWITCH(Table1__7[[#This Row],[Region]],"North",1,"South",2,"East",3,4)</f>
        <v>3</v>
      </c>
      <c r="I9" s="28">
        <f>COUNT(E:E)</f>
        <v>100</v>
      </c>
      <c r="K9" s="28">
        <f>COUNTA(D:D)</f>
        <v>101</v>
      </c>
      <c r="M9" s="28">
        <f>COUNTBLANK(Table1__7[Quantity Sold])</f>
        <v>0</v>
      </c>
      <c r="N9" s="29" t="s">
        <v>85</v>
      </c>
      <c r="O9" s="28">
        <f>COUNTIFS(E:E,"&gt;5000",D:D,N9)</f>
        <v>12</v>
      </c>
      <c r="Q9" s="28">
        <f>COUNTIF(E:E,"&gt;5000")</f>
        <v>43</v>
      </c>
    </row>
    <row r="10" spans="1:19" ht="18.75" x14ac:dyDescent="0.3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 cm="1">
        <f t="array" ref="G10">_xlfn.SWITCH(Table1__7[[#This Row],[Region]],"North",1,"South",2,"East",3,4)</f>
        <v>3</v>
      </c>
      <c r="N10" s="29" t="s">
        <v>87</v>
      </c>
      <c r="O10" s="28">
        <f>COUNTIFS(E:E,"&gt;5000",D:D,N10)</f>
        <v>9</v>
      </c>
    </row>
    <row r="11" spans="1:19" ht="18.75" x14ac:dyDescent="0.3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 cm="1">
        <f t="array" ref="G11">_xlfn.SWITCH(Table1__7[[#This Row],[Region]],"North",1,"South",2,"East",3,4)</f>
        <v>2</v>
      </c>
      <c r="N11" s="29" t="s">
        <v>88</v>
      </c>
      <c r="O11" s="28">
        <f>COUNTIFS(E:E,"&gt;5000",D:D,N11)</f>
        <v>10</v>
      </c>
    </row>
    <row r="12" spans="1:19" ht="19.5" thickBot="1" x14ac:dyDescent="0.3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 cm="1">
        <f t="array" ref="G12">_xlfn.SWITCH(Table1__7[[#This Row],[Region]],"North",1,"South",2,"East",3,4)</f>
        <v>2</v>
      </c>
      <c r="I12" s="26" t="s">
        <v>261</v>
      </c>
      <c r="N12" s="29" t="s">
        <v>86</v>
      </c>
      <c r="O12" s="28">
        <f>COUNTIFS(E:E,"&gt;5000",D:D,N12)</f>
        <v>12</v>
      </c>
    </row>
    <row r="13" spans="1:19" ht="19.5" thickTop="1" x14ac:dyDescent="0.3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 cm="1">
        <f t="array" ref="G13">_xlfn.SWITCH(Table1__7[[#This Row],[Region]],"North",1,"South",2,"East",3,4)</f>
        <v>3</v>
      </c>
      <c r="I13" s="27">
        <f>CORREL(F:F,E:E)</f>
        <v>0.66042824393439248</v>
      </c>
    </row>
    <row r="14" spans="1:19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 cm="1">
        <f t="array" ref="G14">_xlfn.SWITCH(Table1__7[[#This Row],[Region]],"North",1,"South",2,"East",3,4)</f>
        <v>4</v>
      </c>
    </row>
    <row r="15" spans="1:19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 cm="1">
        <f t="array" ref="G15">_xlfn.SWITCH(Table1__7[[#This Row],[Region]],"North",1,"South",2,"East",3,4)</f>
        <v>1</v>
      </c>
    </row>
    <row r="16" spans="1:19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 cm="1">
        <f t="array" ref="G16">_xlfn.SWITCH(Table1__7[[#This Row],[Region]],"North",1,"South",2,"East",3,4)</f>
        <v>4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 cm="1">
        <f t="array" ref="G17">_xlfn.SWITCH(Table1__7[[#This Row],[Region]],"North",1,"South",2,"East",3,4)</f>
        <v>4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 cm="1">
        <f t="array" ref="G18">_xlfn.SWITCH(Table1__7[[#This Row],[Region]],"North",1,"South",2,"East",3,4)</f>
        <v>3</v>
      </c>
    </row>
    <row r="19" spans="1:19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 cm="1">
        <f t="array" ref="G19">_xlfn.SWITCH(Table1__7[[#This Row],[Region]],"North",1,"South",2,"East",3,4)</f>
        <v>3</v>
      </c>
    </row>
    <row r="20" spans="1:19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 cm="1">
        <f t="array" ref="G20">_xlfn.SWITCH(Table1__7[[#This Row],[Region]],"North",1,"South",2,"East",3,4)</f>
        <v>1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 cm="1">
        <f t="array" ref="G21">_xlfn.SWITCH(Table1__7[[#This Row],[Region]],"North",1,"South",2,"East",3,4)</f>
        <v>2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 cm="1">
        <f t="array" ref="G22">_xlfn.SWITCH(Table1__7[[#This Row],[Region]],"North",1,"South",2,"East",3,4)</f>
        <v>4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 cm="1">
        <f t="array" ref="G23">_xlfn.SWITCH(Table1__7[[#This Row],[Region]],"North",1,"South",2,"East",3,4)</f>
        <v>2</v>
      </c>
    </row>
    <row r="24" spans="1:19" ht="19.5" thickBot="1" x14ac:dyDescent="0.3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 cm="1">
        <f t="array" ref="G24">_xlfn.SWITCH(Table1__7[[#This Row],[Region]],"North",1,"South",2,"East",3,4)</f>
        <v>2</v>
      </c>
      <c r="I24" s="26" t="s">
        <v>259</v>
      </c>
      <c r="K24" s="26" t="s">
        <v>97</v>
      </c>
      <c r="M24" s="26" t="s">
        <v>260</v>
      </c>
      <c r="Q24" s="26" t="s">
        <v>262</v>
      </c>
      <c r="S24" s="26" t="s">
        <v>264</v>
      </c>
    </row>
    <row r="25" spans="1:19" ht="19.5" thickTop="1" x14ac:dyDescent="0.3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G25" cm="1">
        <f t="array" ref="G25">_xlfn.SWITCH(Table1__7[[#This Row],[Region]],"North",1,"South",2,"East",3,4)</f>
        <v>3</v>
      </c>
      <c r="H25" s="29" t="s">
        <v>205</v>
      </c>
      <c r="I25" s="28">
        <f>AVERAGE(E:E)</f>
        <v>5281.2</v>
      </c>
      <c r="J25" s="3"/>
      <c r="K25" s="28">
        <f>MEDIAN(E:E)</f>
        <v>4299</v>
      </c>
      <c r="L25" s="3"/>
      <c r="M25" s="28">
        <f>MODE(E:E)</f>
        <v>12920</v>
      </c>
      <c r="P25" s="29" t="s">
        <v>267</v>
      </c>
      <c r="Q25" s="28">
        <f>_xlfn.STDEV.P(E:E)</f>
        <v>3742.0129850122112</v>
      </c>
      <c r="R25" s="3"/>
      <c r="S25" s="28">
        <f>_xlfn.VAR.P(E:E)</f>
        <v>14002661.18</v>
      </c>
    </row>
    <row r="26" spans="1:19" ht="18.75" x14ac:dyDescent="0.3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G26" cm="1">
        <f t="array" ref="G26">_xlfn.SWITCH(Table1__7[[#This Row],[Region]],"North",1,"South",2,"East",3,4)</f>
        <v>1</v>
      </c>
      <c r="H26" s="29" t="s">
        <v>265</v>
      </c>
      <c r="I26" s="28">
        <f>AVERAGE(F:F)</f>
        <v>9.9700000000000006</v>
      </c>
      <c r="J26" s="3"/>
      <c r="K26" s="28">
        <f>MEDIAN(F:F)</f>
        <v>9</v>
      </c>
      <c r="L26" s="3"/>
      <c r="M26" s="28">
        <f>MODE(F:F)</f>
        <v>5</v>
      </c>
      <c r="P26" s="29" t="s">
        <v>266</v>
      </c>
      <c r="Q26" s="28">
        <f>_xlfn.STDEV.S(E:E)</f>
        <v>3760.8645551282757</v>
      </c>
      <c r="R26" s="3"/>
      <c r="S26" s="28">
        <f>_xlfn.VAR.S(E:E)</f>
        <v>14144102.202020202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G27" cm="1">
        <f t="array" ref="G27">_xlfn.SWITCH(Table1__7[[#This Row],[Region]],"North",1,"South",2,"East",3,4)</f>
        <v>4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G28" cm="1">
        <f t="array" ref="G28">_xlfn.SWITCH(Table1__7[[#This Row],[Region]],"North",1,"South",2,"East",3,4)</f>
        <v>1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G29" cm="1">
        <f t="array" ref="G29">_xlfn.SWITCH(Table1__7[[#This Row],[Region]],"North",1,"South",2,"East",3,4)</f>
        <v>3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G30" cm="1">
        <f t="array" ref="G30">_xlfn.SWITCH(Table1__7[[#This Row],[Region]],"North",1,"South",2,"East",3,4)</f>
        <v>2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G31" cm="1">
        <f t="array" ref="G31">_xlfn.SWITCH(Table1__7[[#This Row],[Region]],"North",1,"South",2,"East",3,4)</f>
        <v>1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G32" cm="1">
        <f t="array" ref="G32">_xlfn.SWITCH(Table1__7[[#This Row],[Region]],"North",1,"South",2,"East",3,4)</f>
        <v>1</v>
      </c>
    </row>
    <row r="33" spans="1:17" ht="18.75" x14ac:dyDescent="0.3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G33" cm="1">
        <f t="array" ref="G33">_xlfn.SWITCH(Table1__7[[#This Row],[Region]],"North",1,"South",2,"East",3,4)</f>
        <v>3</v>
      </c>
      <c r="I33" s="31"/>
      <c r="J33" s="29" t="s">
        <v>205</v>
      </c>
      <c r="K33" s="29" t="s">
        <v>265</v>
      </c>
      <c r="L33" s="31"/>
      <c r="M33" s="31"/>
      <c r="N33" s="31"/>
      <c r="O33" s="29" t="s">
        <v>267</v>
      </c>
      <c r="P33" s="29" t="s">
        <v>266</v>
      </c>
      <c r="Q33" s="31"/>
    </row>
    <row r="34" spans="1:17" ht="19.5" thickBot="1" x14ac:dyDescent="0.3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G34" cm="1">
        <f t="array" ref="G34">_xlfn.SWITCH(Table1__7[[#This Row],[Region]],"North",1,"South",2,"East",3,4)</f>
        <v>2</v>
      </c>
      <c r="I34" s="26" t="s">
        <v>259</v>
      </c>
      <c r="J34" s="32">
        <f>AVERAGE(E:E)</f>
        <v>5281.2</v>
      </c>
      <c r="K34" s="32">
        <f>AVERAGE(F:F)</f>
        <v>9.9700000000000006</v>
      </c>
      <c r="L34" s="31"/>
      <c r="M34" s="31"/>
      <c r="N34" s="26" t="s">
        <v>262</v>
      </c>
      <c r="O34" s="32">
        <f>_xlfn.STDEV.P(E:E)</f>
        <v>3742.0129850122112</v>
      </c>
      <c r="P34" s="32">
        <f>_xlfn.STDEV.S(E:E)</f>
        <v>3760.8645551282757</v>
      </c>
      <c r="Q34" s="31"/>
    </row>
    <row r="35" spans="1:17" ht="15.75" thickTop="1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G35" cm="1">
        <f t="array" ref="G35">_xlfn.SWITCH(Table1__7[[#This Row],[Region]],"North",1,"South",2,"East",3,4)</f>
        <v>3</v>
      </c>
      <c r="I35" s="31"/>
      <c r="J35" s="31"/>
      <c r="K35" s="31"/>
      <c r="L35" s="31"/>
      <c r="M35" s="31"/>
      <c r="N35" s="31"/>
      <c r="O35" s="31"/>
      <c r="P35" s="31"/>
      <c r="Q35" s="31"/>
    </row>
    <row r="36" spans="1:17" ht="19.5" thickBot="1" x14ac:dyDescent="0.3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G36" cm="1">
        <f t="array" ref="G36">_xlfn.SWITCH(Table1__7[[#This Row],[Region]],"North",1,"South",2,"East",3,4)</f>
        <v>3</v>
      </c>
      <c r="I36" s="26" t="s">
        <v>97</v>
      </c>
      <c r="J36" s="32">
        <f>MEDIAN(E:E)</f>
        <v>4299</v>
      </c>
      <c r="K36" s="32">
        <f>MEDIAN(F:F)</f>
        <v>9</v>
      </c>
      <c r="L36" s="31"/>
      <c r="M36" s="31"/>
      <c r="N36" s="26" t="s">
        <v>264</v>
      </c>
      <c r="O36" s="32">
        <f>_xlfn.VAR.P(E:E)</f>
        <v>14002661.18</v>
      </c>
      <c r="P36" s="32">
        <f>_xlfn.VAR.S(E:E)</f>
        <v>14144102.202020202</v>
      </c>
      <c r="Q36" s="31"/>
    </row>
    <row r="37" spans="1:17" ht="15.75" thickTop="1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  <c r="G37" cm="1">
        <f t="array" ref="G37">_xlfn.SWITCH(Table1__7[[#This Row],[Region]],"North",1,"South",2,"East",3,4)</f>
        <v>1</v>
      </c>
      <c r="I37" s="31"/>
      <c r="J37" s="31"/>
      <c r="K37" s="31"/>
      <c r="L37" s="31"/>
      <c r="M37" s="31"/>
      <c r="N37" s="31"/>
      <c r="O37" s="31"/>
      <c r="P37" s="31"/>
      <c r="Q37" s="31"/>
    </row>
    <row r="38" spans="1:17" ht="19.5" thickBot="1" x14ac:dyDescent="0.3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G38" cm="1">
        <f t="array" ref="G38">_xlfn.SWITCH(Table1__7[[#This Row],[Region]],"North",1,"South",2,"East",3,4)</f>
        <v>3</v>
      </c>
      <c r="I38" s="26" t="s">
        <v>260</v>
      </c>
      <c r="J38" s="32">
        <f>MODE(E:E)</f>
        <v>12920</v>
      </c>
      <c r="K38" s="32">
        <f>MODE(F:F)</f>
        <v>5</v>
      </c>
      <c r="L38" s="31"/>
      <c r="M38" s="31"/>
      <c r="N38" s="31"/>
      <c r="O38" s="31"/>
      <c r="P38" s="31"/>
      <c r="Q38" s="31"/>
    </row>
    <row r="39" spans="1:17" ht="15.75" thickTop="1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G39" cm="1">
        <f t="array" ref="G39">_xlfn.SWITCH(Table1__7[[#This Row],[Region]],"North",1,"South",2,"East",3,4)</f>
        <v>4</v>
      </c>
      <c r="I39" s="31"/>
      <c r="J39" s="31"/>
      <c r="K39" s="31"/>
      <c r="L39" s="31"/>
      <c r="M39" s="31"/>
      <c r="N39" s="31"/>
      <c r="O39" s="31"/>
      <c r="P39" s="31"/>
      <c r="Q39" s="31"/>
    </row>
    <row r="40" spans="1:1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G40" cm="1">
        <f t="array" ref="G40">_xlfn.SWITCH(Table1__7[[#This Row],[Region]],"North",1,"South",2,"East",3,4)</f>
        <v>3</v>
      </c>
      <c r="I40" s="31"/>
      <c r="J40" s="31"/>
      <c r="K40" s="31"/>
      <c r="L40" s="31"/>
      <c r="M40" s="31"/>
      <c r="N40" s="31"/>
      <c r="O40" s="31"/>
      <c r="P40" s="31"/>
      <c r="Q40" s="31"/>
    </row>
    <row r="41" spans="1:1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G41" cm="1">
        <f t="array" ref="G41">_xlfn.SWITCH(Table1__7[[#This Row],[Region]],"North",1,"South",2,"East",3,4)</f>
        <v>3</v>
      </c>
      <c r="I41" s="31"/>
      <c r="J41" s="31"/>
      <c r="K41" s="31"/>
      <c r="L41" s="31"/>
      <c r="M41" s="31"/>
      <c r="N41" s="31"/>
      <c r="O41" s="31"/>
      <c r="P41" s="31"/>
      <c r="Q41" s="31"/>
    </row>
    <row r="42" spans="1:17" ht="19.5" thickBot="1" x14ac:dyDescent="0.3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G42" cm="1">
        <f t="array" ref="G42">_xlfn.SWITCH(Table1__7[[#This Row],[Region]],"North",1,"South",2,"East",3,4)</f>
        <v>4</v>
      </c>
      <c r="I42" s="26" t="s">
        <v>255</v>
      </c>
      <c r="J42" s="28">
        <f>COUNT(E:E)</f>
        <v>100</v>
      </c>
      <c r="K42" s="31"/>
      <c r="L42" s="31"/>
      <c r="M42" s="26" t="s">
        <v>263</v>
      </c>
      <c r="N42" s="31"/>
      <c r="O42" s="31"/>
      <c r="P42" s="26" t="s">
        <v>258</v>
      </c>
      <c r="Q42" s="31"/>
    </row>
    <row r="43" spans="1:17" ht="19.5" thickTop="1" x14ac:dyDescent="0.3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G43" cm="1">
        <f t="array" ref="G43">_xlfn.SWITCH(Table1__7[[#This Row],[Region]],"North",1,"South",2,"East",3,4)</f>
        <v>4</v>
      </c>
      <c r="I43" s="31"/>
      <c r="J43" s="31"/>
      <c r="K43" s="31"/>
      <c r="L43" s="31"/>
      <c r="M43" s="28">
        <f>COUNTIF(E:E,"&gt;5000")</f>
        <v>43</v>
      </c>
      <c r="N43" s="31"/>
      <c r="O43" s="29" t="s">
        <v>85</v>
      </c>
      <c r="P43" s="28">
        <f>COUNTIFS(E:E,"&gt;5000",D:D,N9)</f>
        <v>12</v>
      </c>
      <c r="Q43" s="31"/>
    </row>
    <row r="44" spans="1:17" ht="19.5" thickBot="1" x14ac:dyDescent="0.3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G44" cm="1">
        <f t="array" ref="G44">_xlfn.SWITCH(Table1__7[[#This Row],[Region]],"North",1,"South",2,"East",3,4)</f>
        <v>3</v>
      </c>
      <c r="I44" s="26" t="s">
        <v>256</v>
      </c>
      <c r="J44" s="28">
        <f>COUNTA(D:D)</f>
        <v>101</v>
      </c>
      <c r="K44" s="31"/>
      <c r="L44" s="31"/>
      <c r="M44" s="31"/>
      <c r="N44" s="31"/>
      <c r="O44" s="29" t="s">
        <v>87</v>
      </c>
      <c r="P44" s="28">
        <f>COUNTIFS(E:E,"&gt;5000",D:D,N10)</f>
        <v>9</v>
      </c>
      <c r="Q44" s="31"/>
    </row>
    <row r="45" spans="1:17" ht="19.5" thickTop="1" x14ac:dyDescent="0.3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G45" cm="1">
        <f t="array" ref="G45">_xlfn.SWITCH(Table1__7[[#This Row],[Region]],"North",1,"South",2,"East",3,4)</f>
        <v>3</v>
      </c>
      <c r="I45" s="31"/>
      <c r="J45" s="31"/>
      <c r="K45" s="31"/>
      <c r="L45" s="31"/>
      <c r="M45" s="31"/>
      <c r="N45" s="31"/>
      <c r="O45" s="29" t="s">
        <v>88</v>
      </c>
      <c r="P45" s="28">
        <f>COUNTIFS(E:E,"&gt;5000",D:D,N11)</f>
        <v>10</v>
      </c>
      <c r="Q45" s="31"/>
    </row>
    <row r="46" spans="1:17" ht="19.5" thickBot="1" x14ac:dyDescent="0.3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G46" cm="1">
        <f t="array" ref="G46">_xlfn.SWITCH(Table1__7[[#This Row],[Region]],"North",1,"South",2,"East",3,4)</f>
        <v>1</v>
      </c>
      <c r="I46" s="26" t="s">
        <v>257</v>
      </c>
      <c r="J46" s="28">
        <f>COUNTBLANK(Table1__7[Quantity Sold])</f>
        <v>0</v>
      </c>
      <c r="K46" s="31"/>
      <c r="L46" s="31"/>
      <c r="M46" s="31"/>
      <c r="N46" s="31"/>
      <c r="O46" s="29" t="s">
        <v>86</v>
      </c>
      <c r="P46" s="28">
        <f>COUNTIFS(E:E,"&gt;5000",D:D,N12)</f>
        <v>12</v>
      </c>
      <c r="Q46" s="31"/>
    </row>
    <row r="47" spans="1:17" ht="15.75" thickTop="1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G47" cm="1">
        <f t="array" ref="G47">_xlfn.SWITCH(Table1__7[[#This Row],[Region]],"North",1,"South",2,"East",3,4)</f>
        <v>1</v>
      </c>
      <c r="I47" s="31"/>
      <c r="J47" s="31"/>
      <c r="K47" s="31"/>
      <c r="L47" s="31"/>
      <c r="M47" s="31"/>
      <c r="N47" s="31"/>
      <c r="O47" s="31"/>
      <c r="P47" s="31"/>
      <c r="Q47" s="31"/>
    </row>
    <row r="48" spans="1:1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  <c r="G48" cm="1">
        <f t="array" ref="G48">_xlfn.SWITCH(Table1__7[[#This Row],[Region]],"North",1,"South",2,"East",3,4)</f>
        <v>3</v>
      </c>
      <c r="I48" s="31"/>
      <c r="J48" s="31"/>
      <c r="K48" s="31"/>
      <c r="L48" s="31"/>
      <c r="M48" s="31"/>
      <c r="N48" s="31"/>
      <c r="O48" s="31"/>
      <c r="P48" s="31"/>
      <c r="Q48" s="31"/>
    </row>
    <row r="49" spans="1:17" ht="19.5" thickBot="1" x14ac:dyDescent="0.3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  <c r="G49" cm="1">
        <f t="array" ref="G49">_xlfn.SWITCH(Table1__7[[#This Row],[Region]],"North",1,"South",2,"East",3,4)</f>
        <v>3</v>
      </c>
      <c r="I49" s="26" t="s">
        <v>261</v>
      </c>
      <c r="J49" s="33">
        <f>CORREL(F:F,E:E)</f>
        <v>0.66042824393439248</v>
      </c>
      <c r="K49" s="31"/>
      <c r="L49" s="31"/>
      <c r="M49" s="31"/>
      <c r="N49" s="31"/>
      <c r="O49" s="31"/>
      <c r="P49" s="31"/>
      <c r="Q49" s="31"/>
    </row>
    <row r="50" spans="1:17" ht="15.75" thickTop="1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  <c r="G50" cm="1">
        <f t="array" ref="G50">_xlfn.SWITCH(Table1__7[[#This Row],[Region]],"North",1,"South",2,"East",3,4)</f>
        <v>1</v>
      </c>
      <c r="I50" s="31"/>
      <c r="J50" s="31"/>
      <c r="K50" s="31"/>
      <c r="L50" s="31"/>
      <c r="M50" s="31"/>
      <c r="N50" s="31"/>
      <c r="O50" s="31"/>
      <c r="P50" s="31"/>
      <c r="Q50" s="31"/>
    </row>
    <row r="51" spans="1:17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  <c r="G51" cm="1">
        <f t="array" ref="G51">_xlfn.SWITCH(Table1__7[[#This Row],[Region]],"North",1,"South",2,"East",3,4)</f>
        <v>1</v>
      </c>
      <c r="I51" s="31"/>
      <c r="J51" s="31"/>
      <c r="K51" s="31"/>
      <c r="L51" s="31"/>
      <c r="M51" s="31">
        <f>MODE(G:G)</f>
        <v>3</v>
      </c>
      <c r="N51" s="31"/>
      <c r="O51" s="31"/>
      <c r="P51" s="31"/>
      <c r="Q51" s="31"/>
    </row>
    <row r="52" spans="1:17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  <c r="G52" cm="1">
        <f t="array" ref="G52">_xlfn.SWITCH(Table1__7[[#This Row],[Region]],"North",1,"South",2,"East",3,4)</f>
        <v>4</v>
      </c>
      <c r="I52" s="31"/>
      <c r="J52" s="31"/>
      <c r="K52" s="31"/>
      <c r="L52" s="31"/>
      <c r="M52" s="31"/>
      <c r="N52" s="31"/>
      <c r="O52" s="31"/>
      <c r="P52" s="31"/>
      <c r="Q52" s="31"/>
    </row>
    <row r="53" spans="1:17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  <c r="G53" cm="1">
        <f t="array" ref="G53">_xlfn.SWITCH(Table1__7[[#This Row],[Region]],"North",1,"South",2,"East",3,4)</f>
        <v>4</v>
      </c>
      <c r="I53" s="31"/>
      <c r="J53" s="31"/>
      <c r="K53" s="31"/>
      <c r="L53" s="31"/>
      <c r="M53" s="31"/>
      <c r="N53" s="31"/>
      <c r="O53" s="31"/>
      <c r="P53" s="31"/>
      <c r="Q53" s="31"/>
    </row>
    <row r="54" spans="1:17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  <c r="G54" cm="1">
        <f t="array" ref="G54">_xlfn.SWITCH(Table1__7[[#This Row],[Region]],"North",1,"South",2,"East",3,4)</f>
        <v>1</v>
      </c>
      <c r="I54" s="31"/>
      <c r="J54" s="31"/>
      <c r="K54" s="31"/>
      <c r="L54" s="31"/>
      <c r="M54" s="31"/>
      <c r="N54" s="31"/>
      <c r="O54" s="31"/>
      <c r="P54" s="31"/>
      <c r="Q54" s="31"/>
    </row>
    <row r="55" spans="1:17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  <c r="G55" cm="1">
        <f t="array" ref="G55">_xlfn.SWITCH(Table1__7[[#This Row],[Region]],"North",1,"South",2,"East",3,4)</f>
        <v>4</v>
      </c>
    </row>
    <row r="56" spans="1:17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  <c r="G56" cm="1">
        <f t="array" ref="G56">_xlfn.SWITCH(Table1__7[[#This Row],[Region]],"North",1,"South",2,"East",3,4)</f>
        <v>3</v>
      </c>
    </row>
    <row r="57" spans="1:17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  <c r="G57" cm="1">
        <f t="array" ref="G57">_xlfn.SWITCH(Table1__7[[#This Row],[Region]],"North",1,"South",2,"East",3,4)</f>
        <v>3</v>
      </c>
    </row>
    <row r="58" spans="1:17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  <c r="G58" cm="1">
        <f t="array" ref="G58">_xlfn.SWITCH(Table1__7[[#This Row],[Region]],"North",1,"South",2,"East",3,4)</f>
        <v>1</v>
      </c>
    </row>
    <row r="59" spans="1:17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  <c r="G59" cm="1">
        <f t="array" ref="G59">_xlfn.SWITCH(Table1__7[[#This Row],[Region]],"North",1,"South",2,"East",3,4)</f>
        <v>2</v>
      </c>
    </row>
    <row r="60" spans="1:17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  <c r="G60" cm="1">
        <f t="array" ref="G60">_xlfn.SWITCH(Table1__7[[#This Row],[Region]],"North",1,"South",2,"East",3,4)</f>
        <v>3</v>
      </c>
    </row>
    <row r="61" spans="1:17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  <c r="G61" cm="1">
        <f t="array" ref="G61">_xlfn.SWITCH(Table1__7[[#This Row],[Region]],"North",1,"South",2,"East",3,4)</f>
        <v>1</v>
      </c>
    </row>
    <row r="62" spans="1:17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  <c r="G62" cm="1">
        <f t="array" ref="G62">_xlfn.SWITCH(Table1__7[[#This Row],[Region]],"North",1,"South",2,"East",3,4)</f>
        <v>3</v>
      </c>
    </row>
    <row r="63" spans="1:17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  <c r="G63" cm="1">
        <f t="array" ref="G63">_xlfn.SWITCH(Table1__7[[#This Row],[Region]],"North",1,"South",2,"East",3,4)</f>
        <v>3</v>
      </c>
    </row>
    <row r="64" spans="1:17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  <c r="G64" cm="1">
        <f t="array" ref="G64">_xlfn.SWITCH(Table1__7[[#This Row],[Region]],"North",1,"South",2,"East",3,4)</f>
        <v>2</v>
      </c>
    </row>
    <row r="65" spans="1:7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  <c r="G65" cm="1">
        <f t="array" ref="G65">_xlfn.SWITCH(Table1__7[[#This Row],[Region]],"North",1,"South",2,"East",3,4)</f>
        <v>1</v>
      </c>
    </row>
    <row r="66" spans="1:7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  <c r="G66" cm="1">
        <f t="array" ref="G66">_xlfn.SWITCH(Table1__7[[#This Row],[Region]],"North",1,"South",2,"East",3,4)</f>
        <v>3</v>
      </c>
    </row>
    <row r="67" spans="1:7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  <c r="G67" cm="1">
        <f t="array" ref="G67">_xlfn.SWITCH(Table1__7[[#This Row],[Region]],"North",1,"South",2,"East",3,4)</f>
        <v>1</v>
      </c>
    </row>
    <row r="68" spans="1:7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  <c r="G68" cm="1">
        <f t="array" ref="G68">_xlfn.SWITCH(Table1__7[[#This Row],[Region]],"North",1,"South",2,"East",3,4)</f>
        <v>1</v>
      </c>
    </row>
    <row r="69" spans="1:7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  <c r="G69" cm="1">
        <f t="array" ref="G69">_xlfn.SWITCH(Table1__7[[#This Row],[Region]],"North",1,"South",2,"East",3,4)</f>
        <v>4</v>
      </c>
    </row>
    <row r="70" spans="1:7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  <c r="G70" cm="1">
        <f t="array" ref="G70">_xlfn.SWITCH(Table1__7[[#This Row],[Region]],"North",1,"South",2,"East",3,4)</f>
        <v>4</v>
      </c>
    </row>
    <row r="71" spans="1:7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  <c r="G71" cm="1">
        <f t="array" ref="G71">_xlfn.SWITCH(Table1__7[[#This Row],[Region]],"North",1,"South",2,"East",3,4)</f>
        <v>3</v>
      </c>
    </row>
    <row r="72" spans="1:7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  <c r="G72" cm="1">
        <f t="array" ref="G72">_xlfn.SWITCH(Table1__7[[#This Row],[Region]],"North",1,"South",2,"East",3,4)</f>
        <v>4</v>
      </c>
    </row>
    <row r="73" spans="1:7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  <c r="G73" cm="1">
        <f t="array" ref="G73">_xlfn.SWITCH(Table1__7[[#This Row],[Region]],"North",1,"South",2,"East",3,4)</f>
        <v>1</v>
      </c>
    </row>
    <row r="74" spans="1:7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  <c r="G74" cm="1">
        <f t="array" ref="G74">_xlfn.SWITCH(Table1__7[[#This Row],[Region]],"North",1,"South",2,"East",3,4)</f>
        <v>1</v>
      </c>
    </row>
    <row r="75" spans="1:7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  <c r="G75" cm="1">
        <f t="array" ref="G75">_xlfn.SWITCH(Table1__7[[#This Row],[Region]],"North",1,"South",2,"East",3,4)</f>
        <v>1</v>
      </c>
    </row>
    <row r="76" spans="1:7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  <c r="G76" cm="1">
        <f t="array" ref="G76">_xlfn.SWITCH(Table1__7[[#This Row],[Region]],"North",1,"South",2,"East",3,4)</f>
        <v>4</v>
      </c>
    </row>
    <row r="77" spans="1:7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  <c r="G77" cm="1">
        <f t="array" ref="G77">_xlfn.SWITCH(Table1__7[[#This Row],[Region]],"North",1,"South",2,"East",3,4)</f>
        <v>3</v>
      </c>
    </row>
    <row r="78" spans="1:7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  <c r="G78" cm="1">
        <f t="array" ref="G78">_xlfn.SWITCH(Table1__7[[#This Row],[Region]],"North",1,"South",2,"East",3,4)</f>
        <v>2</v>
      </c>
    </row>
    <row r="79" spans="1:7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  <c r="G79" cm="1">
        <f t="array" ref="G79">_xlfn.SWITCH(Table1__7[[#This Row],[Region]],"North",1,"South",2,"East",3,4)</f>
        <v>2</v>
      </c>
    </row>
    <row r="80" spans="1:7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  <c r="G80" cm="1">
        <f t="array" ref="G80">_xlfn.SWITCH(Table1__7[[#This Row],[Region]],"North",1,"South",2,"East",3,4)</f>
        <v>4</v>
      </c>
    </row>
    <row r="81" spans="1:7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  <c r="G81" cm="1">
        <f t="array" ref="G81">_xlfn.SWITCH(Table1__7[[#This Row],[Region]],"North",1,"South",2,"East",3,4)</f>
        <v>1</v>
      </c>
    </row>
    <row r="82" spans="1:7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  <c r="G82" cm="1">
        <f t="array" ref="G82">_xlfn.SWITCH(Table1__7[[#This Row],[Region]],"North",1,"South",2,"East",3,4)</f>
        <v>2</v>
      </c>
    </row>
    <row r="83" spans="1:7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  <c r="G83" cm="1">
        <f t="array" ref="G83">_xlfn.SWITCH(Table1__7[[#This Row],[Region]],"North",1,"South",2,"East",3,4)</f>
        <v>3</v>
      </c>
    </row>
    <row r="84" spans="1:7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  <c r="G84" cm="1">
        <f t="array" ref="G84">_xlfn.SWITCH(Table1__7[[#This Row],[Region]],"North",1,"South",2,"East",3,4)</f>
        <v>2</v>
      </c>
    </row>
    <row r="85" spans="1:7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  <c r="G85" cm="1">
        <f t="array" ref="G85">_xlfn.SWITCH(Table1__7[[#This Row],[Region]],"North",1,"South",2,"East",3,4)</f>
        <v>1</v>
      </c>
    </row>
    <row r="86" spans="1:7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  <c r="G86" cm="1">
        <f t="array" ref="G86">_xlfn.SWITCH(Table1__7[[#This Row],[Region]],"North",1,"South",2,"East",3,4)</f>
        <v>1</v>
      </c>
    </row>
    <row r="87" spans="1:7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  <c r="G87" cm="1">
        <f t="array" ref="G87">_xlfn.SWITCH(Table1__7[[#This Row],[Region]],"North",1,"South",2,"East",3,4)</f>
        <v>1</v>
      </c>
    </row>
    <row r="88" spans="1:7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  <c r="G88" cm="1">
        <f t="array" ref="G88">_xlfn.SWITCH(Table1__7[[#This Row],[Region]],"North",1,"South",2,"East",3,4)</f>
        <v>3</v>
      </c>
    </row>
    <row r="89" spans="1:7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  <c r="G89" cm="1">
        <f t="array" ref="G89">_xlfn.SWITCH(Table1__7[[#This Row],[Region]],"North",1,"South",2,"East",3,4)</f>
        <v>3</v>
      </c>
    </row>
    <row r="90" spans="1:7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  <c r="G90" cm="1">
        <f t="array" ref="G90">_xlfn.SWITCH(Table1__7[[#This Row],[Region]],"North",1,"South",2,"East",3,4)</f>
        <v>1</v>
      </c>
    </row>
    <row r="91" spans="1:7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  <c r="G91" cm="1">
        <f t="array" ref="G91">_xlfn.SWITCH(Table1__7[[#This Row],[Region]],"North",1,"South",2,"East",3,4)</f>
        <v>3</v>
      </c>
    </row>
    <row r="92" spans="1:7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  <c r="G92" cm="1">
        <f t="array" ref="G92">_xlfn.SWITCH(Table1__7[[#This Row],[Region]],"North",1,"South",2,"East",3,4)</f>
        <v>2</v>
      </c>
    </row>
    <row r="93" spans="1:7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  <c r="G93" cm="1">
        <f t="array" ref="G93">_xlfn.SWITCH(Table1__7[[#This Row],[Region]],"North",1,"South",2,"East",3,4)</f>
        <v>2</v>
      </c>
    </row>
    <row r="94" spans="1:7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  <c r="G94" cm="1">
        <f t="array" ref="G94">_xlfn.SWITCH(Table1__7[[#This Row],[Region]],"North",1,"South",2,"East",3,4)</f>
        <v>4</v>
      </c>
    </row>
    <row r="95" spans="1:7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  <c r="G95" cm="1">
        <f t="array" ref="G95">_xlfn.SWITCH(Table1__7[[#This Row],[Region]],"North",1,"South",2,"East",3,4)</f>
        <v>4</v>
      </c>
    </row>
    <row r="96" spans="1:7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  <c r="G96" cm="1">
        <f t="array" ref="G96">_xlfn.SWITCH(Table1__7[[#This Row],[Region]],"North",1,"South",2,"East",3,4)</f>
        <v>3</v>
      </c>
    </row>
    <row r="97" spans="1:7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  <c r="G97" cm="1">
        <f t="array" ref="G97">_xlfn.SWITCH(Table1__7[[#This Row],[Region]],"North",1,"South",2,"East",3,4)</f>
        <v>3</v>
      </c>
    </row>
    <row r="98" spans="1:7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  <c r="G98" cm="1">
        <f t="array" ref="G98">_xlfn.SWITCH(Table1__7[[#This Row],[Region]],"North",1,"South",2,"East",3,4)</f>
        <v>3</v>
      </c>
    </row>
    <row r="99" spans="1:7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  <c r="G99" cm="1">
        <f t="array" ref="G99">_xlfn.SWITCH(Table1__7[[#This Row],[Region]],"North",1,"South",2,"East",3,4)</f>
        <v>4</v>
      </c>
    </row>
    <row r="100" spans="1:7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  <c r="G100" cm="1">
        <f t="array" ref="G100">_xlfn.SWITCH(Table1__7[[#This Row],[Region]],"North",1,"South",2,"East",3,4)</f>
        <v>3</v>
      </c>
    </row>
    <row r="101" spans="1:7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  <c r="G101" cm="1">
        <f t="array" ref="G101">_xlfn.SWITCH(Table1__7[[#This Row],[Region]],"North",1,"South",2,"East",3,4)</f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919E-B352-45E8-99E8-6FFCBBD98D1D}">
  <dimension ref="A1:AN101"/>
  <sheetViews>
    <sheetView topLeftCell="Y24" zoomScale="115" zoomScaleNormal="115" workbookViewId="0">
      <selection activeCell="AM39" sqref="AM39"/>
    </sheetView>
  </sheetViews>
  <sheetFormatPr defaultRowHeight="15" x14ac:dyDescent="0.25"/>
  <cols>
    <col min="1" max="1" width="10.42578125" bestFit="1" customWidth="1"/>
    <col min="2" max="2" width="12.42578125" style="48" bestFit="1" customWidth="1"/>
    <col min="3" max="3" width="11.140625" bestFit="1" customWidth="1"/>
    <col min="4" max="4" width="9.42578125" bestFit="1" customWidth="1"/>
    <col min="5" max="5" width="16.42578125" style="59" bestFit="1" customWidth="1"/>
    <col min="6" max="6" width="15.42578125" style="39" bestFit="1" customWidth="1"/>
    <col min="8" max="8" width="11" customWidth="1"/>
    <col min="9" max="9" width="20.140625" style="57" customWidth="1"/>
    <col min="10" max="12" width="16" style="51" customWidth="1"/>
    <col min="13" max="13" width="16" style="54" customWidth="1"/>
    <col min="14" max="14" width="19.140625" style="43" customWidth="1"/>
    <col min="17" max="17" width="13.85546875" customWidth="1"/>
    <col min="19" max="19" width="13.5703125" customWidth="1"/>
    <col min="20" max="20" width="10.42578125" bestFit="1" customWidth="1"/>
    <col min="24" max="24" width="22.140625" customWidth="1"/>
    <col min="26" max="27" width="10.5703125" customWidth="1"/>
    <col min="28" max="28" width="14.140625" bestFit="1" customWidth="1"/>
    <col min="29" max="29" width="13.140625" bestFit="1" customWidth="1"/>
    <col min="30" max="30" width="13.5703125" bestFit="1" customWidth="1"/>
    <col min="32" max="32" width="18.85546875" bestFit="1" customWidth="1"/>
    <col min="34" max="34" width="18.42578125" bestFit="1" customWidth="1"/>
    <col min="35" max="35" width="13.5703125" customWidth="1"/>
    <col min="37" max="37" width="14.5703125" customWidth="1"/>
  </cols>
  <sheetData>
    <row r="1" spans="1:34" ht="19.5" thickBot="1" x14ac:dyDescent="0.35">
      <c r="A1" t="s">
        <v>0</v>
      </c>
      <c r="B1" s="48" t="s">
        <v>1</v>
      </c>
      <c r="C1" t="s">
        <v>2</v>
      </c>
      <c r="D1" t="s">
        <v>3</v>
      </c>
      <c r="E1" s="59" t="s">
        <v>4</v>
      </c>
      <c r="F1" s="39" t="s">
        <v>5</v>
      </c>
      <c r="I1" s="55" t="s">
        <v>0</v>
      </c>
      <c r="J1" s="49" t="s">
        <v>1</v>
      </c>
      <c r="K1" s="49" t="s">
        <v>2</v>
      </c>
      <c r="L1" s="49" t="s">
        <v>3</v>
      </c>
      <c r="M1" s="52" t="s">
        <v>4</v>
      </c>
      <c r="N1" s="44" t="s">
        <v>5</v>
      </c>
    </row>
    <row r="2" spans="1:34" ht="15.75" thickBot="1" x14ac:dyDescent="0.3">
      <c r="A2" s="2">
        <v>45735</v>
      </c>
      <c r="B2" s="48" t="s">
        <v>78</v>
      </c>
      <c r="C2" t="s">
        <v>84</v>
      </c>
      <c r="D2" t="s">
        <v>85</v>
      </c>
      <c r="E2" s="59">
        <v>7776</v>
      </c>
      <c r="F2" s="39">
        <v>8</v>
      </c>
      <c r="H2" t="str">
        <f>TEXT(I2,"dd-mm-yyyy")</f>
        <v>09-02-2025</v>
      </c>
      <c r="I2" s="56">
        <v>45697</v>
      </c>
      <c r="J2" s="50" t="s">
        <v>73</v>
      </c>
      <c r="K2" s="50" t="s">
        <v>81</v>
      </c>
      <c r="L2" s="50" t="s">
        <v>85</v>
      </c>
      <c r="M2" s="53">
        <v>4050</v>
      </c>
      <c r="N2" s="42">
        <v>18</v>
      </c>
    </row>
    <row r="3" spans="1:34" ht="15.75" thickBot="1" x14ac:dyDescent="0.3">
      <c r="A3" s="2">
        <v>45722</v>
      </c>
      <c r="B3" s="48" t="s">
        <v>78</v>
      </c>
      <c r="C3" t="s">
        <v>84</v>
      </c>
      <c r="D3" t="s">
        <v>85</v>
      </c>
      <c r="E3" s="59">
        <v>558</v>
      </c>
      <c r="F3" s="39">
        <v>1</v>
      </c>
      <c r="I3" s="57">
        <v>45734</v>
      </c>
      <c r="J3" s="51" t="s">
        <v>74</v>
      </c>
      <c r="K3" s="51" t="s">
        <v>82</v>
      </c>
      <c r="L3" s="51" t="s">
        <v>86</v>
      </c>
      <c r="M3" s="54">
        <v>7875</v>
      </c>
      <c r="N3" s="43">
        <v>15</v>
      </c>
      <c r="Z3" s="40" t="s">
        <v>284</v>
      </c>
      <c r="AB3" s="40" t="s">
        <v>285</v>
      </c>
      <c r="AD3" s="40" t="s">
        <v>286</v>
      </c>
      <c r="AF3" s="40" t="s">
        <v>287</v>
      </c>
      <c r="AH3" s="40" t="s">
        <v>288</v>
      </c>
    </row>
    <row r="4" spans="1:34" x14ac:dyDescent="0.25">
      <c r="A4" s="2">
        <v>45663</v>
      </c>
      <c r="B4" s="48" t="s">
        <v>78</v>
      </c>
      <c r="C4" t="s">
        <v>84</v>
      </c>
      <c r="D4" t="s">
        <v>86</v>
      </c>
      <c r="E4" s="59">
        <v>7398</v>
      </c>
      <c r="F4" s="39">
        <v>9</v>
      </c>
      <c r="I4" s="56">
        <v>45676</v>
      </c>
      <c r="J4" s="50" t="s">
        <v>75</v>
      </c>
      <c r="K4" s="50" t="s">
        <v>83</v>
      </c>
      <c r="L4" s="50" t="s">
        <v>85</v>
      </c>
      <c r="M4" s="53">
        <v>5832</v>
      </c>
      <c r="N4" s="42">
        <v>6</v>
      </c>
      <c r="X4" s="64">
        <v>50000</v>
      </c>
      <c r="Z4" s="64" t="str">
        <f>TEXT(X4,"#,##0;-#,##0;;")</f>
        <v>50,000</v>
      </c>
      <c r="AB4" s="64" t="str">
        <f>TEXT(X4,"#,##0;;#,##0;")</f>
        <v>50,000</v>
      </c>
      <c r="AD4" s="64" t="str">
        <f>TEXT(X4,";-#,##0;#,##0;")</f>
        <v/>
      </c>
      <c r="AF4" s="71">
        <v>50000</v>
      </c>
      <c r="AH4" s="68">
        <v>50000</v>
      </c>
    </row>
    <row r="5" spans="1:34" x14ac:dyDescent="0.25">
      <c r="A5" s="2">
        <v>45679</v>
      </c>
      <c r="B5" s="48" t="s">
        <v>78</v>
      </c>
      <c r="C5" t="s">
        <v>84</v>
      </c>
      <c r="D5" t="s">
        <v>87</v>
      </c>
      <c r="E5" s="59">
        <v>4884</v>
      </c>
      <c r="F5" s="39">
        <v>6</v>
      </c>
      <c r="I5" s="57">
        <v>45694</v>
      </c>
      <c r="J5" s="51" t="s">
        <v>76</v>
      </c>
      <c r="K5" s="51" t="s">
        <v>84</v>
      </c>
      <c r="L5" s="51" t="s">
        <v>85</v>
      </c>
      <c r="M5" s="54">
        <v>676</v>
      </c>
      <c r="N5" s="43">
        <v>4</v>
      </c>
      <c r="T5" t="s">
        <v>282</v>
      </c>
      <c r="X5" s="64">
        <v>-6000</v>
      </c>
      <c r="Z5" s="64" t="str">
        <f t="shared" ref="Z5:Z9" si="0">TEXT(X5,"#,##0;-#,##0;;")</f>
        <v>-6,000</v>
      </c>
      <c r="AB5" s="64" t="str">
        <f t="shared" ref="AB5:AB9" si="1">TEXT(X5,"#,##0;;#,##0;")</f>
        <v/>
      </c>
      <c r="AD5" s="64" t="str">
        <f t="shared" ref="AD5:AD9" si="2">TEXT(X5,";-#,##0;#,##0;")</f>
        <v>-6,000</v>
      </c>
      <c r="AF5" s="71">
        <v>-6000</v>
      </c>
      <c r="AH5" s="68">
        <v>-6000</v>
      </c>
    </row>
    <row r="6" spans="1:34" x14ac:dyDescent="0.25">
      <c r="A6" s="2">
        <v>45744</v>
      </c>
      <c r="B6" s="48" t="s">
        <v>78</v>
      </c>
      <c r="C6" t="s">
        <v>84</v>
      </c>
      <c r="D6" t="s">
        <v>85</v>
      </c>
      <c r="E6" s="59">
        <v>7840</v>
      </c>
      <c r="F6" s="39">
        <v>14</v>
      </c>
      <c r="I6" s="56">
        <v>45693</v>
      </c>
      <c r="J6" s="50" t="s">
        <v>74</v>
      </c>
      <c r="K6" s="50" t="s">
        <v>82</v>
      </c>
      <c r="L6" s="50" t="s">
        <v>87</v>
      </c>
      <c r="M6" s="53">
        <v>6560</v>
      </c>
      <c r="N6" s="42">
        <v>10</v>
      </c>
      <c r="S6" t="s">
        <v>282</v>
      </c>
      <c r="X6" s="64">
        <v>0</v>
      </c>
      <c r="Z6" s="64" t="str">
        <f t="shared" si="0"/>
        <v/>
      </c>
      <c r="AB6" s="64" t="str">
        <f t="shared" si="1"/>
        <v>0</v>
      </c>
      <c r="AD6" s="64" t="str">
        <f t="shared" si="2"/>
        <v>0</v>
      </c>
      <c r="AF6" s="71">
        <v>0</v>
      </c>
      <c r="AH6" s="68">
        <v>0</v>
      </c>
    </row>
    <row r="7" spans="1:34" x14ac:dyDescent="0.25">
      <c r="A7" s="2">
        <v>45670</v>
      </c>
      <c r="B7" s="48" t="s">
        <v>78</v>
      </c>
      <c r="C7" t="s">
        <v>84</v>
      </c>
      <c r="D7" t="s">
        <v>86</v>
      </c>
      <c r="E7" s="59">
        <v>4806</v>
      </c>
      <c r="F7" s="39">
        <v>6</v>
      </c>
      <c r="I7" s="57">
        <v>45775</v>
      </c>
      <c r="J7" s="51" t="s">
        <v>76</v>
      </c>
      <c r="K7" s="51" t="s">
        <v>84</v>
      </c>
      <c r="L7" s="51" t="s">
        <v>87</v>
      </c>
      <c r="M7" s="54">
        <v>1905</v>
      </c>
      <c r="N7" s="43">
        <v>5</v>
      </c>
      <c r="X7" s="64">
        <v>4000</v>
      </c>
      <c r="Z7" s="64" t="str">
        <f t="shared" si="0"/>
        <v>4,000</v>
      </c>
      <c r="AB7" s="64" t="str">
        <f t="shared" si="1"/>
        <v>4,000</v>
      </c>
      <c r="AD7" s="64" t="str">
        <f t="shared" si="2"/>
        <v/>
      </c>
      <c r="AF7" s="71">
        <v>4000</v>
      </c>
      <c r="AH7" s="68">
        <v>4000</v>
      </c>
    </row>
    <row r="8" spans="1:34" x14ac:dyDescent="0.25">
      <c r="A8" s="2">
        <v>45716</v>
      </c>
      <c r="B8" s="48" t="s">
        <v>78</v>
      </c>
      <c r="C8" t="s">
        <v>84</v>
      </c>
      <c r="D8" t="s">
        <v>88</v>
      </c>
      <c r="E8" s="59">
        <v>2598</v>
      </c>
      <c r="F8" s="39">
        <v>3</v>
      </c>
      <c r="I8" s="56">
        <v>45720</v>
      </c>
      <c r="J8" s="50" t="s">
        <v>77</v>
      </c>
      <c r="K8" s="50" t="s">
        <v>83</v>
      </c>
      <c r="L8" s="50" t="s">
        <v>86</v>
      </c>
      <c r="M8" s="53">
        <v>6948</v>
      </c>
      <c r="N8" s="42">
        <v>18</v>
      </c>
      <c r="T8" s="2"/>
      <c r="X8" s="64">
        <v>-100000</v>
      </c>
      <c r="Z8" s="64" t="str">
        <f t="shared" si="0"/>
        <v>-1,00,000</v>
      </c>
      <c r="AB8" s="64" t="str">
        <f t="shared" si="1"/>
        <v/>
      </c>
      <c r="AD8" s="64" t="str">
        <f t="shared" si="2"/>
        <v>-1,00,000</v>
      </c>
      <c r="AF8" s="71">
        <v>-100000</v>
      </c>
      <c r="AH8" s="68">
        <v>-100000</v>
      </c>
    </row>
    <row r="9" spans="1:34" ht="18.75" x14ac:dyDescent="0.3">
      <c r="A9" s="2">
        <v>45660</v>
      </c>
      <c r="B9" s="48" t="s">
        <v>78</v>
      </c>
      <c r="C9" t="s">
        <v>84</v>
      </c>
      <c r="D9" t="s">
        <v>85</v>
      </c>
      <c r="E9" s="59">
        <v>14256</v>
      </c>
      <c r="F9" s="39">
        <v>16</v>
      </c>
      <c r="I9" s="57">
        <v>45764</v>
      </c>
      <c r="J9" s="51" t="s">
        <v>77</v>
      </c>
      <c r="K9" s="51" t="s">
        <v>83</v>
      </c>
      <c r="L9" s="51" t="s">
        <v>85</v>
      </c>
      <c r="M9" s="54">
        <v>1944</v>
      </c>
      <c r="N9" s="43">
        <v>18</v>
      </c>
      <c r="P9" s="74" t="s">
        <v>276</v>
      </c>
      <c r="Q9" s="75"/>
      <c r="R9" s="75"/>
      <c r="S9" s="75"/>
      <c r="T9" s="2"/>
      <c r="X9" s="64">
        <v>0</v>
      </c>
      <c r="Z9" s="64" t="str">
        <f t="shared" si="0"/>
        <v/>
      </c>
      <c r="AB9" s="64" t="str">
        <f t="shared" si="1"/>
        <v>0</v>
      </c>
      <c r="AD9" s="64" t="str">
        <f t="shared" si="2"/>
        <v>0</v>
      </c>
      <c r="AF9" s="71">
        <v>0</v>
      </c>
      <c r="AH9" s="68">
        <v>0</v>
      </c>
    </row>
    <row r="10" spans="1:34" x14ac:dyDescent="0.25">
      <c r="A10" s="2">
        <v>45732</v>
      </c>
      <c r="B10" s="48" t="s">
        <v>78</v>
      </c>
      <c r="C10" t="s">
        <v>84</v>
      </c>
      <c r="D10" t="s">
        <v>88</v>
      </c>
      <c r="E10" s="59">
        <v>9622</v>
      </c>
      <c r="F10" s="39">
        <v>17</v>
      </c>
      <c r="I10" s="56">
        <v>45735</v>
      </c>
      <c r="J10" s="50" t="s">
        <v>78</v>
      </c>
      <c r="K10" s="50" t="s">
        <v>84</v>
      </c>
      <c r="L10" s="50" t="s">
        <v>85</v>
      </c>
      <c r="M10" s="53">
        <v>7776</v>
      </c>
      <c r="N10" s="42">
        <v>8</v>
      </c>
      <c r="T10" s="2"/>
    </row>
    <row r="11" spans="1:34" x14ac:dyDescent="0.25">
      <c r="A11" s="2">
        <v>45658</v>
      </c>
      <c r="B11" s="48" t="s">
        <v>78</v>
      </c>
      <c r="C11" t="s">
        <v>84</v>
      </c>
      <c r="D11" t="s">
        <v>86</v>
      </c>
      <c r="E11" s="59">
        <v>7395</v>
      </c>
      <c r="F11" s="39">
        <v>17</v>
      </c>
      <c r="I11" s="57">
        <v>45778</v>
      </c>
      <c r="J11" s="51" t="s">
        <v>74</v>
      </c>
      <c r="K11" s="51" t="s">
        <v>82</v>
      </c>
      <c r="L11" s="51" t="s">
        <v>86</v>
      </c>
      <c r="M11" s="54">
        <v>2790</v>
      </c>
      <c r="N11" s="43">
        <v>18</v>
      </c>
      <c r="P11" t="s">
        <v>277</v>
      </c>
      <c r="R11" t="s">
        <v>280</v>
      </c>
      <c r="T11" s="2"/>
    </row>
    <row r="12" spans="1:34" x14ac:dyDescent="0.25">
      <c r="A12" s="2">
        <v>45727</v>
      </c>
      <c r="B12" s="48" t="s">
        <v>78</v>
      </c>
      <c r="C12" t="s">
        <v>84</v>
      </c>
      <c r="D12" t="s">
        <v>87</v>
      </c>
      <c r="E12" s="59">
        <v>6464</v>
      </c>
      <c r="F12" s="39">
        <v>8</v>
      </c>
      <c r="I12" s="56">
        <v>45693</v>
      </c>
      <c r="J12" s="50" t="s">
        <v>75</v>
      </c>
      <c r="K12" s="50" t="s">
        <v>83</v>
      </c>
      <c r="L12" s="50" t="s">
        <v>86</v>
      </c>
      <c r="M12" s="53">
        <v>7995</v>
      </c>
      <c r="N12" s="42">
        <v>13</v>
      </c>
      <c r="P12" t="s">
        <v>278</v>
      </c>
      <c r="R12" t="s">
        <v>281</v>
      </c>
      <c r="T12" s="2"/>
    </row>
    <row r="13" spans="1:34" ht="15.75" thickBot="1" x14ac:dyDescent="0.3">
      <c r="A13" s="2">
        <v>45712</v>
      </c>
      <c r="B13" s="48" t="s">
        <v>78</v>
      </c>
      <c r="C13" t="s">
        <v>84</v>
      </c>
      <c r="D13" t="s">
        <v>85</v>
      </c>
      <c r="E13" s="59">
        <v>8550</v>
      </c>
      <c r="F13" s="39">
        <v>10</v>
      </c>
      <c r="I13" s="57">
        <v>45677</v>
      </c>
      <c r="J13" s="51" t="s">
        <v>75</v>
      </c>
      <c r="K13" s="51" t="s">
        <v>83</v>
      </c>
      <c r="L13" s="51" t="s">
        <v>85</v>
      </c>
      <c r="M13" s="54">
        <v>9984</v>
      </c>
      <c r="N13" s="43">
        <v>13</v>
      </c>
      <c r="P13" t="s">
        <v>279</v>
      </c>
      <c r="T13" s="2"/>
      <c r="Z13" s="10">
        <v>0</v>
      </c>
      <c r="AA13" s="72" t="s">
        <v>293</v>
      </c>
      <c r="AB13" s="72" t="s">
        <v>289</v>
      </c>
      <c r="AC13" s="72" t="s">
        <v>294</v>
      </c>
      <c r="AD13" s="72" t="s">
        <v>290</v>
      </c>
      <c r="AE13" s="72" t="s">
        <v>291</v>
      </c>
    </row>
    <row r="14" spans="1:34" ht="15.75" thickBot="1" x14ac:dyDescent="0.3">
      <c r="A14" s="2">
        <v>45756</v>
      </c>
      <c r="B14" s="48" t="s">
        <v>78</v>
      </c>
      <c r="C14" t="s">
        <v>84</v>
      </c>
      <c r="D14" t="s">
        <v>85</v>
      </c>
      <c r="E14" s="59">
        <v>12920</v>
      </c>
      <c r="F14" s="39">
        <v>19</v>
      </c>
      <c r="I14" s="56">
        <v>45739</v>
      </c>
      <c r="J14" s="50" t="s">
        <v>75</v>
      </c>
      <c r="K14" s="50" t="s">
        <v>83</v>
      </c>
      <c r="L14" s="50" t="s">
        <v>87</v>
      </c>
      <c r="M14" s="53">
        <v>7683</v>
      </c>
      <c r="N14" s="42">
        <v>13</v>
      </c>
      <c r="X14" s="64">
        <v>0.5</v>
      </c>
      <c r="Z14" s="65">
        <v>0.5</v>
      </c>
      <c r="AA14" s="66">
        <v>0.5</v>
      </c>
      <c r="AB14" s="67">
        <v>0.5</v>
      </c>
      <c r="AC14" s="64">
        <v>0.5</v>
      </c>
      <c r="AD14" s="69">
        <v>0.5</v>
      </c>
      <c r="AE14" s="70">
        <v>0.5</v>
      </c>
      <c r="AF14" s="40" t="s">
        <v>292</v>
      </c>
    </row>
    <row r="15" spans="1:34" x14ac:dyDescent="0.25">
      <c r="A15" s="2">
        <v>45658</v>
      </c>
      <c r="B15" s="48" t="s">
        <v>78</v>
      </c>
      <c r="C15" t="s">
        <v>84</v>
      </c>
      <c r="D15" t="s">
        <v>86</v>
      </c>
      <c r="E15" s="59">
        <v>8040</v>
      </c>
      <c r="F15" s="39">
        <v>10</v>
      </c>
      <c r="I15" s="57">
        <v>45699</v>
      </c>
      <c r="J15" s="51" t="s">
        <v>76</v>
      </c>
      <c r="K15" s="51" t="s">
        <v>84</v>
      </c>
      <c r="L15" s="51" t="s">
        <v>88</v>
      </c>
      <c r="M15" s="54">
        <v>6885</v>
      </c>
      <c r="N15" s="43">
        <v>9</v>
      </c>
      <c r="X15" s="64">
        <v>0.55000000000000004</v>
      </c>
      <c r="Z15" s="65">
        <v>0.55000000000000004</v>
      </c>
      <c r="AA15" s="66">
        <v>0.55000000000000004</v>
      </c>
      <c r="AB15" s="67">
        <v>0.55000000000000004</v>
      </c>
      <c r="AC15" s="64">
        <v>0.55000000000000004</v>
      </c>
      <c r="AD15" s="69">
        <v>0.55000000000000004</v>
      </c>
      <c r="AE15" s="70">
        <v>0.55000000000000004</v>
      </c>
    </row>
    <row r="16" spans="1:34" ht="15.75" thickBot="1" x14ac:dyDescent="0.3">
      <c r="A16" s="2">
        <v>45762</v>
      </c>
      <c r="B16" s="48" t="s">
        <v>78</v>
      </c>
      <c r="C16" t="s">
        <v>84</v>
      </c>
      <c r="D16" t="s">
        <v>87</v>
      </c>
      <c r="E16" s="59">
        <v>3880</v>
      </c>
      <c r="F16" s="39">
        <v>20</v>
      </c>
      <c r="I16" s="56">
        <v>45767</v>
      </c>
      <c r="J16" s="50" t="s">
        <v>79</v>
      </c>
      <c r="K16" s="50" t="s">
        <v>81</v>
      </c>
      <c r="L16" s="50" t="s">
        <v>87</v>
      </c>
      <c r="M16" s="53">
        <v>229</v>
      </c>
      <c r="N16" s="42">
        <v>1</v>
      </c>
      <c r="X16" s="64">
        <v>6</v>
      </c>
      <c r="Z16" s="65">
        <v>6</v>
      </c>
      <c r="AA16" s="66">
        <v>6</v>
      </c>
      <c r="AB16" s="67">
        <v>6</v>
      </c>
      <c r="AC16" s="64">
        <v>6</v>
      </c>
      <c r="AD16" s="69">
        <v>6</v>
      </c>
      <c r="AE16" s="70">
        <v>6</v>
      </c>
    </row>
    <row r="17" spans="1:40" ht="15.75" thickBot="1" x14ac:dyDescent="0.3">
      <c r="A17" s="2">
        <v>45693</v>
      </c>
      <c r="B17" s="48" t="s">
        <v>78</v>
      </c>
      <c r="C17" t="s">
        <v>84</v>
      </c>
      <c r="D17" t="s">
        <v>88</v>
      </c>
      <c r="E17" s="59">
        <v>3941</v>
      </c>
      <c r="F17" s="39">
        <v>7</v>
      </c>
      <c r="I17" s="57">
        <v>45735</v>
      </c>
      <c r="J17" s="51" t="s">
        <v>80</v>
      </c>
      <c r="K17" s="51" t="s">
        <v>82</v>
      </c>
      <c r="L17" s="51" t="s">
        <v>87</v>
      </c>
      <c r="M17" s="54">
        <v>6104</v>
      </c>
      <c r="N17" s="43">
        <v>7</v>
      </c>
      <c r="S17" s="45" t="s">
        <v>4</v>
      </c>
      <c r="X17" s="64">
        <v>7</v>
      </c>
      <c r="Z17" s="65">
        <v>7</v>
      </c>
      <c r="AA17" s="66">
        <v>7</v>
      </c>
      <c r="AB17" s="67">
        <v>7</v>
      </c>
      <c r="AC17" s="64">
        <v>7</v>
      </c>
      <c r="AD17" s="69">
        <v>7</v>
      </c>
      <c r="AE17" s="70">
        <v>7</v>
      </c>
    </row>
    <row r="18" spans="1:40" x14ac:dyDescent="0.25">
      <c r="A18" s="2">
        <v>45767</v>
      </c>
      <c r="B18" s="48" t="s">
        <v>79</v>
      </c>
      <c r="C18" t="s">
        <v>81</v>
      </c>
      <c r="D18" t="s">
        <v>87</v>
      </c>
      <c r="E18" s="59">
        <v>229</v>
      </c>
      <c r="F18" s="39">
        <v>1</v>
      </c>
      <c r="I18" s="56">
        <v>45722</v>
      </c>
      <c r="J18" s="50" t="s">
        <v>78</v>
      </c>
      <c r="K18" s="50" t="s">
        <v>84</v>
      </c>
      <c r="L18" s="50" t="s">
        <v>85</v>
      </c>
      <c r="M18" s="53">
        <v>558</v>
      </c>
      <c r="N18" s="42">
        <v>1</v>
      </c>
      <c r="S18" s="46">
        <v>4050</v>
      </c>
      <c r="X18" s="64">
        <v>118.9</v>
      </c>
      <c r="Z18" s="65">
        <v>8.9</v>
      </c>
      <c r="AA18" s="66">
        <v>118.9</v>
      </c>
      <c r="AB18" s="67">
        <v>8.9</v>
      </c>
      <c r="AC18" s="64">
        <v>8.9</v>
      </c>
      <c r="AD18" s="69">
        <v>8.9</v>
      </c>
      <c r="AE18" s="70">
        <v>8.9</v>
      </c>
    </row>
    <row r="19" spans="1:40" x14ac:dyDescent="0.25">
      <c r="A19" s="2">
        <v>45747</v>
      </c>
      <c r="B19" s="48" t="s">
        <v>79</v>
      </c>
      <c r="C19" t="s">
        <v>81</v>
      </c>
      <c r="D19" t="s">
        <v>86</v>
      </c>
      <c r="E19" s="59">
        <v>311</v>
      </c>
      <c r="F19" s="39">
        <v>1</v>
      </c>
      <c r="I19" s="57">
        <v>45741</v>
      </c>
      <c r="J19" s="51" t="s">
        <v>76</v>
      </c>
      <c r="K19" s="51" t="s">
        <v>84</v>
      </c>
      <c r="L19" s="51" t="s">
        <v>85</v>
      </c>
      <c r="M19" s="54">
        <v>6413</v>
      </c>
      <c r="N19" s="43">
        <v>11</v>
      </c>
      <c r="S19" s="47">
        <v>7875</v>
      </c>
      <c r="X19" s="64">
        <v>2.1</v>
      </c>
      <c r="Z19" s="65">
        <v>2.1</v>
      </c>
      <c r="AA19" s="66">
        <v>2.1</v>
      </c>
      <c r="AB19" s="67">
        <v>2.1</v>
      </c>
      <c r="AC19" s="64">
        <v>2.1</v>
      </c>
      <c r="AD19" s="69">
        <v>2.1</v>
      </c>
      <c r="AE19" s="70">
        <v>2.1</v>
      </c>
    </row>
    <row r="20" spans="1:40" x14ac:dyDescent="0.25">
      <c r="A20" s="2">
        <v>45746</v>
      </c>
      <c r="B20" s="48" t="s">
        <v>79</v>
      </c>
      <c r="C20" t="s">
        <v>81</v>
      </c>
      <c r="D20" t="s">
        <v>85</v>
      </c>
      <c r="E20" s="59">
        <v>10849</v>
      </c>
      <c r="F20" s="39">
        <v>19</v>
      </c>
      <c r="I20" s="56">
        <v>45732</v>
      </c>
      <c r="J20" s="50" t="s">
        <v>74</v>
      </c>
      <c r="K20" s="50" t="s">
        <v>82</v>
      </c>
      <c r="L20" s="50" t="s">
        <v>88</v>
      </c>
      <c r="M20" s="53">
        <v>1017</v>
      </c>
      <c r="N20" s="42">
        <v>9</v>
      </c>
      <c r="S20" s="46">
        <v>5832</v>
      </c>
    </row>
    <row r="21" spans="1:40" x14ac:dyDescent="0.25">
      <c r="A21" s="2">
        <v>45693</v>
      </c>
      <c r="B21" s="48" t="s">
        <v>79</v>
      </c>
      <c r="C21" t="s">
        <v>81</v>
      </c>
      <c r="D21" t="s">
        <v>86</v>
      </c>
      <c r="E21" s="59">
        <v>8604</v>
      </c>
      <c r="F21" s="39">
        <v>18</v>
      </c>
      <c r="I21" s="57">
        <v>45721</v>
      </c>
      <c r="J21" s="51" t="s">
        <v>80</v>
      </c>
      <c r="K21" s="51" t="s">
        <v>82</v>
      </c>
      <c r="L21" s="51" t="s">
        <v>86</v>
      </c>
      <c r="M21" s="54">
        <v>9310</v>
      </c>
      <c r="N21" s="43">
        <v>10</v>
      </c>
      <c r="S21" s="47">
        <v>676</v>
      </c>
    </row>
    <row r="22" spans="1:40" x14ac:dyDescent="0.25">
      <c r="A22" s="2">
        <v>45690</v>
      </c>
      <c r="B22" s="48" t="s">
        <v>79</v>
      </c>
      <c r="C22" t="s">
        <v>81</v>
      </c>
      <c r="D22" t="s">
        <v>87</v>
      </c>
      <c r="E22" s="59">
        <v>5544</v>
      </c>
      <c r="F22" s="39">
        <v>7</v>
      </c>
      <c r="I22" s="56">
        <v>45703</v>
      </c>
      <c r="J22" s="50" t="s">
        <v>75</v>
      </c>
      <c r="K22" s="50" t="s">
        <v>83</v>
      </c>
      <c r="L22" s="50" t="s">
        <v>87</v>
      </c>
      <c r="M22" s="53">
        <v>2560</v>
      </c>
      <c r="N22" s="42">
        <v>4</v>
      </c>
      <c r="S22" s="46">
        <v>6560</v>
      </c>
    </row>
    <row r="23" spans="1:40" x14ac:dyDescent="0.25">
      <c r="A23" s="2">
        <v>45668</v>
      </c>
      <c r="B23" s="48" t="s">
        <v>79</v>
      </c>
      <c r="C23" t="s">
        <v>81</v>
      </c>
      <c r="D23" t="s">
        <v>86</v>
      </c>
      <c r="E23" s="59">
        <v>1220</v>
      </c>
      <c r="F23" s="39">
        <v>5</v>
      </c>
      <c r="I23" s="57">
        <v>45681</v>
      </c>
      <c r="J23" s="51" t="s">
        <v>76</v>
      </c>
      <c r="K23" s="51" t="s">
        <v>84</v>
      </c>
      <c r="L23" s="51" t="s">
        <v>86</v>
      </c>
      <c r="M23" s="54">
        <v>6855</v>
      </c>
      <c r="N23" s="43">
        <v>15</v>
      </c>
      <c r="S23" s="47">
        <v>1905</v>
      </c>
    </row>
    <row r="24" spans="1:40" x14ac:dyDescent="0.25">
      <c r="A24" s="2">
        <v>45725</v>
      </c>
      <c r="B24" s="48" t="s">
        <v>79</v>
      </c>
      <c r="C24" t="s">
        <v>81</v>
      </c>
      <c r="D24" t="s">
        <v>88</v>
      </c>
      <c r="E24" s="59">
        <v>7930</v>
      </c>
      <c r="F24" s="39">
        <v>13</v>
      </c>
      <c r="I24" s="56">
        <v>45663</v>
      </c>
      <c r="J24" s="50" t="s">
        <v>78</v>
      </c>
      <c r="K24" s="50" t="s">
        <v>84</v>
      </c>
      <c r="L24" s="50" t="s">
        <v>86</v>
      </c>
      <c r="M24" s="53">
        <v>7398</v>
      </c>
      <c r="N24" s="42">
        <v>9</v>
      </c>
      <c r="S24" s="46">
        <v>6948</v>
      </c>
      <c r="X24" s="80" t="s">
        <v>300</v>
      </c>
      <c r="Y24" s="79"/>
    </row>
    <row r="25" spans="1:40" x14ac:dyDescent="0.25">
      <c r="A25" s="2">
        <v>45735</v>
      </c>
      <c r="B25" s="48" t="s">
        <v>80</v>
      </c>
      <c r="C25" t="s">
        <v>82</v>
      </c>
      <c r="D25" t="s">
        <v>87</v>
      </c>
      <c r="E25" s="59">
        <v>6104</v>
      </c>
      <c r="F25" s="39">
        <v>7</v>
      </c>
      <c r="I25" s="57">
        <v>45660</v>
      </c>
      <c r="J25" s="51" t="s">
        <v>74</v>
      </c>
      <c r="K25" s="51" t="s">
        <v>82</v>
      </c>
      <c r="L25" s="51" t="s">
        <v>85</v>
      </c>
      <c r="M25" s="54">
        <v>2094</v>
      </c>
      <c r="N25" s="43">
        <v>6</v>
      </c>
      <c r="S25" s="47">
        <v>1944</v>
      </c>
      <c r="X25" s="79"/>
      <c r="Y25" s="79"/>
    </row>
    <row r="26" spans="1:40" ht="15.75" thickBot="1" x14ac:dyDescent="0.3">
      <c r="A26" s="2">
        <v>45721</v>
      </c>
      <c r="B26" s="48" t="s">
        <v>80</v>
      </c>
      <c r="C26" t="s">
        <v>82</v>
      </c>
      <c r="D26" t="s">
        <v>86</v>
      </c>
      <c r="E26" s="59">
        <v>9310</v>
      </c>
      <c r="F26" s="39">
        <v>10</v>
      </c>
      <c r="I26" s="56">
        <v>45701</v>
      </c>
      <c r="J26" s="50" t="s">
        <v>74</v>
      </c>
      <c r="K26" s="50" t="s">
        <v>82</v>
      </c>
      <c r="L26" s="50" t="s">
        <v>88</v>
      </c>
      <c r="M26" s="53">
        <v>3996</v>
      </c>
      <c r="N26" s="42">
        <v>4</v>
      </c>
      <c r="S26" s="46">
        <v>7776</v>
      </c>
    </row>
    <row r="27" spans="1:40" ht="15.75" thickBot="1" x14ac:dyDescent="0.3">
      <c r="A27" s="2">
        <v>45677</v>
      </c>
      <c r="B27" s="48" t="s">
        <v>80</v>
      </c>
      <c r="C27" t="s">
        <v>82</v>
      </c>
      <c r="D27" t="s">
        <v>88</v>
      </c>
      <c r="E27" s="59">
        <v>4382</v>
      </c>
      <c r="F27" s="39">
        <v>7</v>
      </c>
      <c r="I27" s="57">
        <v>45679</v>
      </c>
      <c r="J27" s="51" t="s">
        <v>78</v>
      </c>
      <c r="K27" s="51" t="s">
        <v>84</v>
      </c>
      <c r="L27" s="51" t="s">
        <v>87</v>
      </c>
      <c r="M27" s="54">
        <v>4884</v>
      </c>
      <c r="N27" s="43">
        <v>6</v>
      </c>
      <c r="S27" s="47">
        <v>2790</v>
      </c>
      <c r="X27" s="78" t="s">
        <v>0</v>
      </c>
      <c r="Y27" s="81" t="s">
        <v>1</v>
      </c>
      <c r="Z27" s="78" t="s">
        <v>2</v>
      </c>
      <c r="AA27" s="78" t="s">
        <v>3</v>
      </c>
      <c r="AB27" s="82" t="s">
        <v>4</v>
      </c>
      <c r="AC27" s="40" t="s">
        <v>5</v>
      </c>
      <c r="AD27" s="40" t="s">
        <v>4</v>
      </c>
      <c r="AF27" s="40" t="s">
        <v>4</v>
      </c>
      <c r="AH27" s="82" t="s">
        <v>4</v>
      </c>
      <c r="AI27" s="40" t="s">
        <v>5</v>
      </c>
      <c r="AK27" s="82" t="s">
        <v>4</v>
      </c>
    </row>
    <row r="28" spans="1:40" ht="15.75" x14ac:dyDescent="0.25">
      <c r="A28" s="2">
        <v>45719</v>
      </c>
      <c r="B28" s="48" t="s">
        <v>80</v>
      </c>
      <c r="C28" t="s">
        <v>82</v>
      </c>
      <c r="D28" t="s">
        <v>87</v>
      </c>
      <c r="E28" s="59">
        <v>7395</v>
      </c>
      <c r="F28" s="39">
        <v>17</v>
      </c>
      <c r="I28" s="56">
        <v>45693</v>
      </c>
      <c r="J28" s="50" t="s">
        <v>77</v>
      </c>
      <c r="K28" s="50" t="s">
        <v>83</v>
      </c>
      <c r="L28" s="50" t="s">
        <v>88</v>
      </c>
      <c r="M28" s="53">
        <v>1767</v>
      </c>
      <c r="N28" s="42">
        <v>3</v>
      </c>
      <c r="S28" s="46">
        <v>7995</v>
      </c>
      <c r="X28" s="83">
        <v>45735</v>
      </c>
      <c r="Y28" s="84" t="s">
        <v>78</v>
      </c>
      <c r="Z28" s="77" t="s">
        <v>84</v>
      </c>
      <c r="AA28" s="77" t="s">
        <v>85</v>
      </c>
      <c r="AB28" s="85">
        <v>7776</v>
      </c>
      <c r="AC28" s="86">
        <v>8</v>
      </c>
      <c r="AD28" s="77">
        <v>7776</v>
      </c>
      <c r="AF28" s="41">
        <v>4050</v>
      </c>
      <c r="AH28" s="85">
        <v>7776</v>
      </c>
      <c r="AI28" s="91">
        <v>8</v>
      </c>
      <c r="AK28" s="85">
        <v>7776</v>
      </c>
    </row>
    <row r="29" spans="1:40" ht="15.75" x14ac:dyDescent="0.25">
      <c r="A29" s="2">
        <v>45744</v>
      </c>
      <c r="B29" s="48" t="s">
        <v>80</v>
      </c>
      <c r="C29" t="s">
        <v>82</v>
      </c>
      <c r="D29" t="s">
        <v>85</v>
      </c>
      <c r="E29" s="59">
        <v>632</v>
      </c>
      <c r="F29" s="39">
        <v>1</v>
      </c>
      <c r="I29" s="57">
        <v>45744</v>
      </c>
      <c r="J29" s="51" t="s">
        <v>78</v>
      </c>
      <c r="K29" s="51" t="s">
        <v>84</v>
      </c>
      <c r="L29" s="51" t="s">
        <v>85</v>
      </c>
      <c r="M29" s="54">
        <v>7840</v>
      </c>
      <c r="N29" s="43">
        <v>14</v>
      </c>
      <c r="S29" s="47">
        <v>9984</v>
      </c>
      <c r="X29" s="87">
        <v>45722</v>
      </c>
      <c r="Y29" s="88" t="s">
        <v>78</v>
      </c>
      <c r="Z29" s="76" t="s">
        <v>84</v>
      </c>
      <c r="AA29" s="76" t="s">
        <v>85</v>
      </c>
      <c r="AB29" s="89">
        <v>558</v>
      </c>
      <c r="AC29" s="90">
        <v>1</v>
      </c>
      <c r="AD29" s="76">
        <v>558</v>
      </c>
      <c r="AF29" s="39">
        <v>7875</v>
      </c>
      <c r="AH29" s="89">
        <v>558</v>
      </c>
      <c r="AI29" s="92">
        <v>1</v>
      </c>
      <c r="AK29" s="89">
        <v>558</v>
      </c>
    </row>
    <row r="30" spans="1:40" ht="15.75" x14ac:dyDescent="0.25">
      <c r="A30" s="2">
        <v>45702</v>
      </c>
      <c r="B30" s="48" t="s">
        <v>80</v>
      </c>
      <c r="C30" t="s">
        <v>82</v>
      </c>
      <c r="D30" t="s">
        <v>86</v>
      </c>
      <c r="E30" s="59">
        <v>7800</v>
      </c>
      <c r="F30" s="39">
        <v>10</v>
      </c>
      <c r="I30" s="56">
        <v>45670</v>
      </c>
      <c r="J30" s="50" t="s">
        <v>78</v>
      </c>
      <c r="K30" s="50" t="s">
        <v>84</v>
      </c>
      <c r="L30" s="50" t="s">
        <v>86</v>
      </c>
      <c r="M30" s="53">
        <v>4806</v>
      </c>
      <c r="N30" s="42">
        <v>6</v>
      </c>
      <c r="S30" s="46">
        <v>7683</v>
      </c>
      <c r="X30" s="83">
        <v>45663</v>
      </c>
      <c r="Y30" s="84" t="s">
        <v>78</v>
      </c>
      <c r="Z30" s="77" t="s">
        <v>84</v>
      </c>
      <c r="AA30" s="77" t="s">
        <v>86</v>
      </c>
      <c r="AB30" s="85">
        <v>7398</v>
      </c>
      <c r="AC30" s="86">
        <v>9</v>
      </c>
      <c r="AD30" s="77">
        <v>7398</v>
      </c>
      <c r="AF30" s="41">
        <v>5832</v>
      </c>
      <c r="AH30" s="85">
        <v>7398</v>
      </c>
      <c r="AI30" s="91">
        <v>9</v>
      </c>
      <c r="AK30" s="85">
        <v>7398</v>
      </c>
    </row>
    <row r="31" spans="1:40" ht="15.75" x14ac:dyDescent="0.25">
      <c r="A31" s="2">
        <v>45659</v>
      </c>
      <c r="B31" s="48" t="s">
        <v>80</v>
      </c>
      <c r="C31" t="s">
        <v>82</v>
      </c>
      <c r="D31" t="s">
        <v>88</v>
      </c>
      <c r="E31" s="59">
        <v>3928</v>
      </c>
      <c r="F31" s="39">
        <v>4</v>
      </c>
      <c r="S31" s="47">
        <v>6885</v>
      </c>
      <c r="X31" s="87">
        <v>45679</v>
      </c>
      <c r="Y31" s="88" t="s">
        <v>78</v>
      </c>
      <c r="Z31" s="76" t="s">
        <v>84</v>
      </c>
      <c r="AA31" s="76" t="s">
        <v>87</v>
      </c>
      <c r="AB31" s="89">
        <v>4884</v>
      </c>
      <c r="AC31" s="90">
        <v>6</v>
      </c>
      <c r="AD31" s="76">
        <v>4884</v>
      </c>
      <c r="AF31" s="39">
        <v>676</v>
      </c>
      <c r="AH31" s="89">
        <v>4884</v>
      </c>
      <c r="AI31" s="92">
        <v>6</v>
      </c>
      <c r="AK31" s="89">
        <v>4884</v>
      </c>
    </row>
    <row r="32" spans="1:40" ht="15.75" x14ac:dyDescent="0.25">
      <c r="A32" s="2">
        <v>45680</v>
      </c>
      <c r="B32" s="48" t="s">
        <v>80</v>
      </c>
      <c r="C32" t="s">
        <v>82</v>
      </c>
      <c r="D32" t="s">
        <v>87</v>
      </c>
      <c r="E32" s="59">
        <v>2968</v>
      </c>
      <c r="F32" s="39">
        <v>14</v>
      </c>
      <c r="S32" s="46">
        <v>229</v>
      </c>
      <c r="X32" s="83">
        <v>45744</v>
      </c>
      <c r="Y32" s="84" t="s">
        <v>78</v>
      </c>
      <c r="Z32" s="77" t="s">
        <v>84</v>
      </c>
      <c r="AA32" s="77" t="s">
        <v>85</v>
      </c>
      <c r="AB32" s="85">
        <v>7840</v>
      </c>
      <c r="AC32" s="86">
        <v>14</v>
      </c>
      <c r="AD32" s="77">
        <v>7840</v>
      </c>
      <c r="AF32" s="41">
        <v>6560</v>
      </c>
      <c r="AH32" s="85">
        <v>7840</v>
      </c>
      <c r="AI32" s="91">
        <v>14</v>
      </c>
      <c r="AK32" s="85">
        <v>7840</v>
      </c>
      <c r="AM32" t="s">
        <v>301</v>
      </c>
      <c r="AN32">
        <v>0</v>
      </c>
    </row>
    <row r="33" spans="1:40" ht="15.75" x14ac:dyDescent="0.25">
      <c r="A33" s="2">
        <v>45761</v>
      </c>
      <c r="B33" s="48" t="s">
        <v>80</v>
      </c>
      <c r="C33" t="s">
        <v>82</v>
      </c>
      <c r="D33" t="s">
        <v>88</v>
      </c>
      <c r="E33" s="59">
        <v>9480</v>
      </c>
      <c r="F33" s="39">
        <v>15</v>
      </c>
      <c r="S33" s="47">
        <v>6104</v>
      </c>
      <c r="X33" s="87">
        <v>45670</v>
      </c>
      <c r="Y33" s="88" t="s">
        <v>78</v>
      </c>
      <c r="Z33" s="76" t="s">
        <v>84</v>
      </c>
      <c r="AA33" s="76" t="s">
        <v>86</v>
      </c>
      <c r="AB33" s="89">
        <v>4806</v>
      </c>
      <c r="AC33" s="90">
        <v>6</v>
      </c>
      <c r="AD33" s="76">
        <v>4806</v>
      </c>
      <c r="AF33" s="39">
        <v>1905</v>
      </c>
      <c r="AH33" s="89">
        <v>4806</v>
      </c>
      <c r="AI33" s="92">
        <v>6</v>
      </c>
      <c r="AK33" s="89">
        <v>4806</v>
      </c>
      <c r="AM33" t="s">
        <v>302</v>
      </c>
      <c r="AN33">
        <v>10000</v>
      </c>
    </row>
    <row r="34" spans="1:40" ht="15.75" x14ac:dyDescent="0.25">
      <c r="A34" s="2">
        <v>45679</v>
      </c>
      <c r="B34" s="48" t="s">
        <v>80</v>
      </c>
      <c r="C34" t="s">
        <v>82</v>
      </c>
      <c r="D34" t="s">
        <v>87</v>
      </c>
      <c r="E34" s="59">
        <v>3835</v>
      </c>
      <c r="F34" s="39">
        <v>5</v>
      </c>
      <c r="I34" s="57">
        <v>46042.080949074072</v>
      </c>
      <c r="S34" s="46">
        <v>558</v>
      </c>
      <c r="X34" s="83">
        <v>45716</v>
      </c>
      <c r="Y34" s="84" t="s">
        <v>78</v>
      </c>
      <c r="Z34" s="77" t="s">
        <v>84</v>
      </c>
      <c r="AA34" s="77" t="s">
        <v>88</v>
      </c>
      <c r="AB34" s="85">
        <v>2598</v>
      </c>
      <c r="AC34" s="86">
        <v>3</v>
      </c>
      <c r="AD34" s="77">
        <v>2598</v>
      </c>
      <c r="AF34" s="41">
        <v>6948</v>
      </c>
      <c r="AH34" s="85">
        <v>2598</v>
      </c>
      <c r="AI34" s="91">
        <v>3</v>
      </c>
      <c r="AK34" s="85">
        <v>2598</v>
      </c>
    </row>
    <row r="35" spans="1:40" ht="15.75" x14ac:dyDescent="0.25">
      <c r="A35" s="2">
        <v>45694</v>
      </c>
      <c r="B35" s="48" t="s">
        <v>76</v>
      </c>
      <c r="C35" t="s">
        <v>84</v>
      </c>
      <c r="D35" t="s">
        <v>85</v>
      </c>
      <c r="E35" s="59">
        <v>676</v>
      </c>
      <c r="F35" s="39">
        <v>4</v>
      </c>
      <c r="S35" s="47">
        <v>6413</v>
      </c>
      <c r="X35" s="87">
        <v>45660</v>
      </c>
      <c r="Y35" s="88" t="s">
        <v>78</v>
      </c>
      <c r="Z35" s="76" t="s">
        <v>84</v>
      </c>
      <c r="AA35" s="76" t="s">
        <v>85</v>
      </c>
      <c r="AB35" s="89">
        <v>14256</v>
      </c>
      <c r="AC35" s="90">
        <v>16</v>
      </c>
      <c r="AD35" s="76">
        <v>14256</v>
      </c>
      <c r="AF35" s="39">
        <v>1944</v>
      </c>
      <c r="AH35" s="89">
        <v>14256</v>
      </c>
      <c r="AI35" s="92">
        <v>16</v>
      </c>
      <c r="AK35" s="89">
        <v>14256</v>
      </c>
    </row>
    <row r="36" spans="1:40" ht="15.75" x14ac:dyDescent="0.25">
      <c r="A36" s="2">
        <v>45775</v>
      </c>
      <c r="B36" s="48" t="s">
        <v>76</v>
      </c>
      <c r="C36" t="s">
        <v>84</v>
      </c>
      <c r="D36" t="s">
        <v>87</v>
      </c>
      <c r="E36" s="59">
        <v>1905</v>
      </c>
      <c r="F36" s="39">
        <v>5</v>
      </c>
      <c r="S36" s="46">
        <v>1017</v>
      </c>
      <c r="X36" s="83">
        <v>45732</v>
      </c>
      <c r="Y36" s="84" t="s">
        <v>78</v>
      </c>
      <c r="Z36" s="77" t="s">
        <v>84</v>
      </c>
      <c r="AA36" s="77" t="s">
        <v>88</v>
      </c>
      <c r="AB36" s="85">
        <v>9622</v>
      </c>
      <c r="AC36" s="86">
        <v>17</v>
      </c>
      <c r="AD36" s="77">
        <v>9622</v>
      </c>
      <c r="AF36" s="41">
        <v>7776</v>
      </c>
      <c r="AH36" s="85">
        <v>9622</v>
      </c>
      <c r="AI36" s="91">
        <v>17</v>
      </c>
      <c r="AK36" s="85">
        <v>9622</v>
      </c>
    </row>
    <row r="37" spans="1:40" ht="15.75" x14ac:dyDescent="0.25">
      <c r="A37" s="2">
        <v>45699</v>
      </c>
      <c r="B37" s="48" t="s">
        <v>76</v>
      </c>
      <c r="C37" t="s">
        <v>84</v>
      </c>
      <c r="D37" t="s">
        <v>88</v>
      </c>
      <c r="E37" s="59">
        <v>6885</v>
      </c>
      <c r="F37" s="39">
        <v>9</v>
      </c>
      <c r="S37" s="47">
        <v>9310</v>
      </c>
      <c r="X37" s="87">
        <v>45658</v>
      </c>
      <c r="Y37" s="88" t="s">
        <v>78</v>
      </c>
      <c r="Z37" s="76" t="s">
        <v>84</v>
      </c>
      <c r="AA37" s="76" t="s">
        <v>86</v>
      </c>
      <c r="AB37" s="89">
        <v>7395</v>
      </c>
      <c r="AC37" s="90">
        <v>17</v>
      </c>
      <c r="AD37" s="76">
        <v>7395</v>
      </c>
      <c r="AF37" s="39">
        <v>2790</v>
      </c>
      <c r="AH37" s="89">
        <v>7395</v>
      </c>
      <c r="AI37" s="92">
        <v>17</v>
      </c>
      <c r="AK37" s="89">
        <v>7395</v>
      </c>
    </row>
    <row r="38" spans="1:40" ht="15.75" x14ac:dyDescent="0.25">
      <c r="A38" s="2">
        <v>45741</v>
      </c>
      <c r="B38" s="48" t="s">
        <v>76</v>
      </c>
      <c r="C38" t="s">
        <v>84</v>
      </c>
      <c r="D38" t="s">
        <v>85</v>
      </c>
      <c r="E38" s="59">
        <v>6413</v>
      </c>
      <c r="F38" s="39">
        <v>11</v>
      </c>
      <c r="S38" s="46">
        <v>2560</v>
      </c>
      <c r="X38" s="83">
        <v>45727</v>
      </c>
      <c r="Y38" s="84" t="s">
        <v>78</v>
      </c>
      <c r="Z38" s="77" t="s">
        <v>84</v>
      </c>
      <c r="AA38" s="77" t="s">
        <v>87</v>
      </c>
      <c r="AB38" s="85">
        <v>6464</v>
      </c>
      <c r="AC38" s="86">
        <v>8</v>
      </c>
      <c r="AD38" s="77">
        <v>6464</v>
      </c>
      <c r="AF38" s="41">
        <v>7995</v>
      </c>
      <c r="AH38" s="85">
        <v>6464</v>
      </c>
      <c r="AI38" s="91">
        <v>8</v>
      </c>
      <c r="AK38" s="85">
        <v>6464</v>
      </c>
    </row>
    <row r="39" spans="1:40" ht="15.75" x14ac:dyDescent="0.25">
      <c r="A39" s="2">
        <v>45681</v>
      </c>
      <c r="B39" s="48" t="s">
        <v>76</v>
      </c>
      <c r="C39" t="s">
        <v>84</v>
      </c>
      <c r="D39" t="s">
        <v>86</v>
      </c>
      <c r="E39" s="59">
        <v>6855</v>
      </c>
      <c r="F39" s="39">
        <v>15</v>
      </c>
      <c r="S39" s="47">
        <v>6855</v>
      </c>
      <c r="X39" s="87">
        <v>45712</v>
      </c>
      <c r="Y39" s="88" t="s">
        <v>78</v>
      </c>
      <c r="Z39" s="76" t="s">
        <v>84</v>
      </c>
      <c r="AA39" s="76" t="s">
        <v>85</v>
      </c>
      <c r="AB39" s="89">
        <v>8550</v>
      </c>
      <c r="AC39" s="90">
        <v>10</v>
      </c>
      <c r="AD39" s="76">
        <v>8550</v>
      </c>
      <c r="AF39" s="39">
        <v>9984</v>
      </c>
      <c r="AH39" s="89">
        <v>8550</v>
      </c>
      <c r="AI39" s="92">
        <v>10</v>
      </c>
      <c r="AK39" s="89">
        <v>8550</v>
      </c>
    </row>
    <row r="40" spans="1:40" ht="15.75" x14ac:dyDescent="0.25">
      <c r="A40" s="2">
        <v>45748</v>
      </c>
      <c r="B40" s="48" t="s">
        <v>76</v>
      </c>
      <c r="C40" t="s">
        <v>84</v>
      </c>
      <c r="D40" t="s">
        <v>85</v>
      </c>
      <c r="E40" s="59">
        <v>2853</v>
      </c>
      <c r="F40" s="39">
        <v>9</v>
      </c>
      <c r="I40" s="57">
        <v>46054</v>
      </c>
      <c r="S40" s="46">
        <v>7398</v>
      </c>
      <c r="X40" s="83">
        <v>45756</v>
      </c>
      <c r="Y40" s="84" t="s">
        <v>78</v>
      </c>
      <c r="Z40" s="77" t="s">
        <v>84</v>
      </c>
      <c r="AA40" s="77" t="s">
        <v>85</v>
      </c>
      <c r="AB40" s="85">
        <v>12920</v>
      </c>
      <c r="AC40" s="86">
        <v>19</v>
      </c>
      <c r="AD40" s="77">
        <v>12920</v>
      </c>
      <c r="AF40" s="41">
        <v>7683</v>
      </c>
      <c r="AH40" s="85">
        <v>12920</v>
      </c>
      <c r="AI40" s="91">
        <v>19</v>
      </c>
      <c r="AK40" s="85">
        <v>12920</v>
      </c>
    </row>
    <row r="41" spans="1:40" ht="15.75" x14ac:dyDescent="0.25">
      <c r="A41" s="2">
        <v>45754</v>
      </c>
      <c r="B41" s="48" t="s">
        <v>76</v>
      </c>
      <c r="C41" t="s">
        <v>84</v>
      </c>
      <c r="D41" t="s">
        <v>88</v>
      </c>
      <c r="E41" s="59">
        <v>11865</v>
      </c>
      <c r="F41" s="39">
        <v>15</v>
      </c>
      <c r="I41" s="57">
        <v>46055</v>
      </c>
      <c r="P41">
        <v>1</v>
      </c>
      <c r="S41" s="47">
        <v>2094</v>
      </c>
      <c r="X41" s="87">
        <v>45658</v>
      </c>
      <c r="Y41" s="88" t="s">
        <v>78</v>
      </c>
      <c r="Z41" s="76" t="s">
        <v>84</v>
      </c>
      <c r="AA41" s="76" t="s">
        <v>86</v>
      </c>
      <c r="AB41" s="89">
        <v>8040</v>
      </c>
      <c r="AC41" s="90">
        <v>10</v>
      </c>
      <c r="AD41" s="76">
        <v>8040</v>
      </c>
      <c r="AF41" s="39">
        <v>6885</v>
      </c>
      <c r="AH41" s="89">
        <v>8040</v>
      </c>
      <c r="AI41" s="92">
        <v>10</v>
      </c>
      <c r="AK41" s="89">
        <v>8040</v>
      </c>
    </row>
    <row r="42" spans="1:40" ht="15.75" x14ac:dyDescent="0.25">
      <c r="A42" s="2">
        <v>45693</v>
      </c>
      <c r="B42" s="48" t="s">
        <v>76</v>
      </c>
      <c r="C42" t="s">
        <v>84</v>
      </c>
      <c r="D42" t="s">
        <v>88</v>
      </c>
      <c r="E42" s="59">
        <v>2728</v>
      </c>
      <c r="F42" s="39">
        <v>11</v>
      </c>
      <c r="I42" s="57">
        <v>46056</v>
      </c>
      <c r="P42">
        <v>2</v>
      </c>
      <c r="S42" s="46">
        <v>3996</v>
      </c>
      <c r="X42" s="83">
        <v>45762</v>
      </c>
      <c r="Y42" s="84" t="s">
        <v>78</v>
      </c>
      <c r="Z42" s="77" t="s">
        <v>84</v>
      </c>
      <c r="AA42" s="77" t="s">
        <v>87</v>
      </c>
      <c r="AB42" s="85">
        <v>3880</v>
      </c>
      <c r="AC42" s="86">
        <v>20</v>
      </c>
      <c r="AD42" s="77">
        <v>3880</v>
      </c>
      <c r="AF42" s="41">
        <v>229</v>
      </c>
      <c r="AH42" s="85">
        <v>3880</v>
      </c>
      <c r="AI42" s="91">
        <v>20</v>
      </c>
      <c r="AK42" s="85">
        <v>3880</v>
      </c>
    </row>
    <row r="43" spans="1:40" ht="15.75" x14ac:dyDescent="0.25">
      <c r="A43" s="2">
        <v>45749</v>
      </c>
      <c r="B43" s="48" t="s">
        <v>76</v>
      </c>
      <c r="C43" t="s">
        <v>84</v>
      </c>
      <c r="D43" t="s">
        <v>85</v>
      </c>
      <c r="E43" s="59">
        <v>1592</v>
      </c>
      <c r="F43" s="39">
        <v>4</v>
      </c>
      <c r="I43" s="57">
        <v>46057</v>
      </c>
      <c r="P43">
        <v>3</v>
      </c>
      <c r="S43" s="47">
        <v>4884</v>
      </c>
      <c r="X43" s="87">
        <v>45693</v>
      </c>
      <c r="Y43" s="88" t="s">
        <v>78</v>
      </c>
      <c r="Z43" s="76" t="s">
        <v>84</v>
      </c>
      <c r="AA43" s="76" t="s">
        <v>88</v>
      </c>
      <c r="AB43" s="89">
        <v>3941</v>
      </c>
      <c r="AC43" s="90">
        <v>7</v>
      </c>
      <c r="AD43" s="76">
        <v>3941</v>
      </c>
      <c r="AF43" s="39">
        <v>6104</v>
      </c>
      <c r="AH43" s="89">
        <v>3941</v>
      </c>
      <c r="AI43" s="92">
        <v>7</v>
      </c>
      <c r="AK43" s="89">
        <v>3941</v>
      </c>
    </row>
    <row r="44" spans="1:40" ht="15.75" x14ac:dyDescent="0.25">
      <c r="A44" s="2">
        <v>45701</v>
      </c>
      <c r="B44" s="48" t="s">
        <v>76</v>
      </c>
      <c r="C44" t="s">
        <v>84</v>
      </c>
      <c r="D44" t="s">
        <v>85</v>
      </c>
      <c r="E44" s="59">
        <v>852</v>
      </c>
      <c r="F44" s="39">
        <v>2</v>
      </c>
      <c r="I44" s="57">
        <v>46058</v>
      </c>
      <c r="P44">
        <v>4</v>
      </c>
      <c r="S44" s="46">
        <v>1767</v>
      </c>
      <c r="X44" s="83">
        <v>45767</v>
      </c>
      <c r="Y44" s="84" t="s">
        <v>79</v>
      </c>
      <c r="Z44" s="77" t="s">
        <v>81</v>
      </c>
      <c r="AA44" s="77" t="s">
        <v>87</v>
      </c>
      <c r="AB44" s="85">
        <v>229</v>
      </c>
      <c r="AC44" s="86">
        <v>1</v>
      </c>
      <c r="AD44" s="77">
        <v>229</v>
      </c>
      <c r="AF44" s="41">
        <v>558</v>
      </c>
      <c r="AH44" s="85">
        <v>229</v>
      </c>
      <c r="AI44" s="91">
        <v>1</v>
      </c>
      <c r="AK44" s="85">
        <v>229</v>
      </c>
    </row>
    <row r="45" spans="1:40" ht="15.75" x14ac:dyDescent="0.25">
      <c r="A45" s="2">
        <v>45676</v>
      </c>
      <c r="B45" s="48" t="s">
        <v>75</v>
      </c>
      <c r="C45" t="s">
        <v>83</v>
      </c>
      <c r="D45" t="s">
        <v>85</v>
      </c>
      <c r="E45" s="59">
        <v>5832</v>
      </c>
      <c r="F45" s="39">
        <v>6</v>
      </c>
      <c r="I45" s="57">
        <v>46059</v>
      </c>
      <c r="Q45" t="s">
        <v>235</v>
      </c>
      <c r="S45" s="47">
        <v>7840</v>
      </c>
      <c r="X45" s="87">
        <v>45747</v>
      </c>
      <c r="Y45" s="88" t="s">
        <v>79</v>
      </c>
      <c r="Z45" s="76" t="s">
        <v>81</v>
      </c>
      <c r="AA45" s="76" t="s">
        <v>86</v>
      </c>
      <c r="AB45" s="89">
        <v>311</v>
      </c>
      <c r="AC45" s="90">
        <v>1</v>
      </c>
      <c r="AD45" s="76">
        <v>311</v>
      </c>
      <c r="AF45" s="39">
        <v>6413</v>
      </c>
      <c r="AH45" s="89">
        <v>311</v>
      </c>
      <c r="AI45" s="92">
        <v>1</v>
      </c>
      <c r="AK45" s="89">
        <v>311</v>
      </c>
    </row>
    <row r="46" spans="1:40" ht="15.75" x14ac:dyDescent="0.25">
      <c r="A46" s="2">
        <v>45693</v>
      </c>
      <c r="B46" s="48" t="s">
        <v>75</v>
      </c>
      <c r="C46" t="s">
        <v>83</v>
      </c>
      <c r="D46" t="s">
        <v>86</v>
      </c>
      <c r="E46" s="59">
        <v>7995</v>
      </c>
      <c r="F46" s="39">
        <v>13</v>
      </c>
      <c r="I46" s="57">
        <v>46060</v>
      </c>
      <c r="Q46">
        <v>30000</v>
      </c>
      <c r="S46" s="46">
        <v>4806</v>
      </c>
      <c r="X46" s="83">
        <v>45746</v>
      </c>
      <c r="Y46" s="84" t="s">
        <v>79</v>
      </c>
      <c r="Z46" s="77" t="s">
        <v>81</v>
      </c>
      <c r="AA46" s="77" t="s">
        <v>85</v>
      </c>
      <c r="AB46" s="85">
        <v>10849</v>
      </c>
      <c r="AC46" s="86">
        <v>19</v>
      </c>
      <c r="AD46" s="77">
        <v>10849</v>
      </c>
      <c r="AF46" s="41">
        <v>1017</v>
      </c>
      <c r="AH46" s="85">
        <v>10849</v>
      </c>
      <c r="AI46" s="91">
        <v>19</v>
      </c>
      <c r="AK46" s="85">
        <v>10849</v>
      </c>
    </row>
    <row r="47" spans="1:40" ht="15.75" x14ac:dyDescent="0.25">
      <c r="A47" s="2">
        <v>45677</v>
      </c>
      <c r="B47" s="48" t="s">
        <v>75</v>
      </c>
      <c r="C47" t="s">
        <v>83</v>
      </c>
      <c r="D47" t="s">
        <v>85</v>
      </c>
      <c r="E47" s="59">
        <v>9984</v>
      </c>
      <c r="F47" s="39">
        <v>13</v>
      </c>
      <c r="I47" s="57">
        <v>46061</v>
      </c>
      <c r="Q47">
        <v>40000</v>
      </c>
      <c r="X47" s="87">
        <v>45693</v>
      </c>
      <c r="Y47" s="88" t="s">
        <v>79</v>
      </c>
      <c r="Z47" s="76" t="s">
        <v>81</v>
      </c>
      <c r="AA47" s="76" t="s">
        <v>86</v>
      </c>
      <c r="AB47" s="89">
        <v>8604</v>
      </c>
      <c r="AC47" s="90">
        <v>18</v>
      </c>
      <c r="AD47" s="76">
        <v>8604</v>
      </c>
      <c r="AF47" s="39">
        <v>9310</v>
      </c>
      <c r="AH47" s="89">
        <v>8604</v>
      </c>
      <c r="AI47" s="92">
        <v>18</v>
      </c>
      <c r="AK47" s="89">
        <v>8604</v>
      </c>
    </row>
    <row r="48" spans="1:40" ht="15.75" x14ac:dyDescent="0.25">
      <c r="A48" s="2">
        <v>45739</v>
      </c>
      <c r="B48" s="48" t="s">
        <v>75</v>
      </c>
      <c r="C48" t="s">
        <v>83</v>
      </c>
      <c r="D48" t="s">
        <v>87</v>
      </c>
      <c r="E48" s="59">
        <v>7683</v>
      </c>
      <c r="F48" s="39">
        <v>13</v>
      </c>
      <c r="X48" s="83">
        <v>45690</v>
      </c>
      <c r="Y48" s="84" t="s">
        <v>79</v>
      </c>
      <c r="Z48" s="77" t="s">
        <v>81</v>
      </c>
      <c r="AA48" s="77" t="s">
        <v>87</v>
      </c>
      <c r="AB48" s="85">
        <v>5544</v>
      </c>
      <c r="AC48" s="86">
        <v>7</v>
      </c>
      <c r="AD48" s="77">
        <v>5544</v>
      </c>
      <c r="AH48" s="85">
        <v>5544</v>
      </c>
      <c r="AI48" s="91">
        <v>7</v>
      </c>
      <c r="AK48" s="85">
        <v>5544</v>
      </c>
    </row>
    <row r="49" spans="1:37" ht="15.75" x14ac:dyDescent="0.25">
      <c r="A49" s="2">
        <v>45703</v>
      </c>
      <c r="B49" s="48" t="s">
        <v>75</v>
      </c>
      <c r="C49" t="s">
        <v>83</v>
      </c>
      <c r="D49" t="s">
        <v>87</v>
      </c>
      <c r="E49" s="59">
        <v>2560</v>
      </c>
      <c r="F49" s="39">
        <v>4</v>
      </c>
      <c r="X49" s="87">
        <v>45668</v>
      </c>
      <c r="Y49" s="88" t="s">
        <v>79</v>
      </c>
      <c r="Z49" s="76" t="s">
        <v>81</v>
      </c>
      <c r="AA49" s="76" t="s">
        <v>86</v>
      </c>
      <c r="AB49" s="89">
        <v>1220</v>
      </c>
      <c r="AC49" s="90">
        <v>5</v>
      </c>
      <c r="AD49" s="76">
        <v>1220</v>
      </c>
      <c r="AH49" s="89">
        <v>1220</v>
      </c>
      <c r="AI49" s="92">
        <v>5</v>
      </c>
      <c r="AK49" s="89">
        <v>1220</v>
      </c>
    </row>
    <row r="50" spans="1:37" ht="15.75" x14ac:dyDescent="0.25">
      <c r="A50" s="2">
        <v>45705</v>
      </c>
      <c r="B50" s="48" t="s">
        <v>75</v>
      </c>
      <c r="C50" t="s">
        <v>83</v>
      </c>
      <c r="D50" t="s">
        <v>85</v>
      </c>
      <c r="E50" s="59">
        <v>4140</v>
      </c>
      <c r="F50" s="39">
        <v>18</v>
      </c>
      <c r="X50" s="83">
        <v>45725</v>
      </c>
      <c r="Y50" s="84" t="s">
        <v>79</v>
      </c>
      <c r="Z50" s="77" t="s">
        <v>81</v>
      </c>
      <c r="AA50" s="77" t="s">
        <v>88</v>
      </c>
      <c r="AB50" s="85">
        <v>7930</v>
      </c>
      <c r="AC50" s="86">
        <v>13</v>
      </c>
      <c r="AD50" s="77">
        <v>7930</v>
      </c>
      <c r="AH50" s="85">
        <v>7930</v>
      </c>
      <c r="AI50" s="91">
        <v>13</v>
      </c>
      <c r="AK50" s="85">
        <v>7930</v>
      </c>
    </row>
    <row r="51" spans="1:37" ht="15.75" x14ac:dyDescent="0.25">
      <c r="A51" s="2">
        <v>45707</v>
      </c>
      <c r="B51" s="48" t="s">
        <v>75</v>
      </c>
      <c r="C51" t="s">
        <v>83</v>
      </c>
      <c r="D51" t="s">
        <v>87</v>
      </c>
      <c r="E51" s="59">
        <v>13420</v>
      </c>
      <c r="F51" s="39">
        <v>20</v>
      </c>
      <c r="X51" s="87">
        <v>45735</v>
      </c>
      <c r="Y51" s="88" t="s">
        <v>80</v>
      </c>
      <c r="Z51" s="76" t="s">
        <v>82</v>
      </c>
      <c r="AA51" s="76" t="s">
        <v>87</v>
      </c>
      <c r="AB51" s="89">
        <v>6104</v>
      </c>
      <c r="AC51" s="90">
        <v>7</v>
      </c>
      <c r="AD51" s="76">
        <v>6104</v>
      </c>
      <c r="AH51" s="89">
        <v>6104</v>
      </c>
      <c r="AI51" s="92">
        <v>7</v>
      </c>
    </row>
    <row r="52" spans="1:37" ht="15.75" x14ac:dyDescent="0.25">
      <c r="A52" s="2">
        <v>45705</v>
      </c>
      <c r="B52" s="48" t="s">
        <v>75</v>
      </c>
      <c r="C52" t="s">
        <v>83</v>
      </c>
      <c r="D52" t="s">
        <v>87</v>
      </c>
      <c r="E52" s="59">
        <v>3004</v>
      </c>
      <c r="F52" s="39">
        <v>4</v>
      </c>
      <c r="X52" s="83">
        <v>45721</v>
      </c>
      <c r="Y52" s="84" t="s">
        <v>80</v>
      </c>
      <c r="Z52" s="77" t="s">
        <v>82</v>
      </c>
      <c r="AA52" s="77" t="s">
        <v>86</v>
      </c>
      <c r="AB52" s="85">
        <v>9310</v>
      </c>
      <c r="AC52" s="86">
        <v>10</v>
      </c>
      <c r="AD52" s="77">
        <v>9310</v>
      </c>
      <c r="AH52" s="85">
        <v>9310</v>
      </c>
      <c r="AI52" s="91">
        <v>10</v>
      </c>
    </row>
    <row r="53" spans="1:37" ht="15.75" x14ac:dyDescent="0.25">
      <c r="A53" s="2">
        <v>45766</v>
      </c>
      <c r="B53" s="48" t="s">
        <v>75</v>
      </c>
      <c r="C53" t="s">
        <v>83</v>
      </c>
      <c r="D53" t="s">
        <v>85</v>
      </c>
      <c r="E53" s="59">
        <v>8697</v>
      </c>
      <c r="F53" s="39">
        <v>13</v>
      </c>
      <c r="X53" s="87">
        <v>45677</v>
      </c>
      <c r="Y53" s="88" t="s">
        <v>80</v>
      </c>
      <c r="Z53" s="76" t="s">
        <v>82</v>
      </c>
      <c r="AA53" s="76" t="s">
        <v>88</v>
      </c>
      <c r="AB53" s="89">
        <v>4382</v>
      </c>
      <c r="AC53" s="90">
        <v>7</v>
      </c>
      <c r="AD53" s="76">
        <v>4382</v>
      </c>
      <c r="AH53" s="89">
        <v>4382</v>
      </c>
      <c r="AI53" s="92">
        <v>7</v>
      </c>
    </row>
    <row r="54" spans="1:37" ht="15.75" x14ac:dyDescent="0.25">
      <c r="A54" s="2">
        <v>45713</v>
      </c>
      <c r="B54" s="48" t="s">
        <v>75</v>
      </c>
      <c r="C54" t="s">
        <v>83</v>
      </c>
      <c r="D54" t="s">
        <v>85</v>
      </c>
      <c r="E54" s="59">
        <v>4779</v>
      </c>
      <c r="F54" s="39">
        <v>9</v>
      </c>
      <c r="X54" s="83">
        <v>45719</v>
      </c>
      <c r="Y54" s="84" t="s">
        <v>80</v>
      </c>
      <c r="Z54" s="77" t="s">
        <v>82</v>
      </c>
      <c r="AA54" s="77" t="s">
        <v>87</v>
      </c>
      <c r="AB54" s="85">
        <v>7395</v>
      </c>
      <c r="AC54" s="86">
        <v>17</v>
      </c>
      <c r="AD54" s="77">
        <v>7395</v>
      </c>
      <c r="AH54" s="85">
        <v>7395</v>
      </c>
      <c r="AI54" s="91">
        <v>17</v>
      </c>
    </row>
    <row r="55" spans="1:37" ht="15.75" x14ac:dyDescent="0.25">
      <c r="A55" s="2">
        <v>45706</v>
      </c>
      <c r="B55" s="48" t="s">
        <v>75</v>
      </c>
      <c r="C55" t="s">
        <v>83</v>
      </c>
      <c r="D55" t="s">
        <v>85</v>
      </c>
      <c r="E55" s="59">
        <v>6040</v>
      </c>
      <c r="F55" s="39">
        <v>20</v>
      </c>
      <c r="X55" s="87">
        <v>45744</v>
      </c>
      <c r="Y55" s="88" t="s">
        <v>80</v>
      </c>
      <c r="Z55" s="76" t="s">
        <v>82</v>
      </c>
      <c r="AA55" s="76" t="s">
        <v>85</v>
      </c>
      <c r="AB55" s="89">
        <v>632</v>
      </c>
      <c r="AC55" s="90">
        <v>1</v>
      </c>
      <c r="AD55" s="76">
        <v>632</v>
      </c>
      <c r="AH55" s="89">
        <v>632</v>
      </c>
      <c r="AI55" s="92">
        <v>1</v>
      </c>
    </row>
    <row r="56" spans="1:37" ht="15.75" x14ac:dyDescent="0.25">
      <c r="A56" s="2">
        <v>45702</v>
      </c>
      <c r="B56" s="48" t="s">
        <v>75</v>
      </c>
      <c r="C56" t="s">
        <v>83</v>
      </c>
      <c r="D56" t="s">
        <v>85</v>
      </c>
      <c r="E56" s="59">
        <v>4048</v>
      </c>
      <c r="F56" s="39">
        <v>8</v>
      </c>
      <c r="X56" s="83">
        <v>45702</v>
      </c>
      <c r="Y56" s="84" t="s">
        <v>80</v>
      </c>
      <c r="Z56" s="77" t="s">
        <v>82</v>
      </c>
      <c r="AA56" s="77" t="s">
        <v>86</v>
      </c>
      <c r="AB56" s="85">
        <v>7800</v>
      </c>
      <c r="AC56" s="86">
        <v>10</v>
      </c>
      <c r="AD56" s="77">
        <v>7800</v>
      </c>
      <c r="AH56" s="85">
        <v>7800</v>
      </c>
      <c r="AI56" s="91">
        <v>10</v>
      </c>
    </row>
    <row r="57" spans="1:37" x14ac:dyDescent="0.25">
      <c r="A57" s="2">
        <v>45666</v>
      </c>
      <c r="B57" s="48" t="s">
        <v>75</v>
      </c>
      <c r="C57" t="s">
        <v>83</v>
      </c>
      <c r="D57" t="s">
        <v>88</v>
      </c>
      <c r="E57" s="59">
        <v>16321</v>
      </c>
      <c r="F57" s="39">
        <v>19</v>
      </c>
      <c r="X57" s="87">
        <v>45659</v>
      </c>
      <c r="Y57" s="88" t="s">
        <v>80</v>
      </c>
      <c r="Z57" s="76" t="s">
        <v>82</v>
      </c>
      <c r="AA57" s="76" t="s">
        <v>88</v>
      </c>
      <c r="AB57" s="89">
        <v>3928</v>
      </c>
      <c r="AC57" s="90">
        <v>4</v>
      </c>
      <c r="AD57" s="76">
        <v>3928</v>
      </c>
    </row>
    <row r="58" spans="1:37" x14ac:dyDescent="0.25">
      <c r="A58" s="2">
        <v>45665</v>
      </c>
      <c r="B58" s="48" t="s">
        <v>75</v>
      </c>
      <c r="C58" t="s">
        <v>83</v>
      </c>
      <c r="D58" t="s">
        <v>86</v>
      </c>
      <c r="E58" s="59">
        <v>5760</v>
      </c>
      <c r="F58" s="39">
        <v>9</v>
      </c>
      <c r="X58" s="83">
        <v>45680</v>
      </c>
      <c r="Y58" s="84" t="s">
        <v>80</v>
      </c>
      <c r="Z58" s="77" t="s">
        <v>82</v>
      </c>
      <c r="AA58" s="77" t="s">
        <v>87</v>
      </c>
      <c r="AB58" s="85">
        <v>2968</v>
      </c>
      <c r="AC58" s="86">
        <v>14</v>
      </c>
      <c r="AD58" s="77">
        <v>2968</v>
      </c>
    </row>
    <row r="59" spans="1:37" x14ac:dyDescent="0.25">
      <c r="A59" s="2">
        <v>45778</v>
      </c>
      <c r="B59" s="48" t="s">
        <v>75</v>
      </c>
      <c r="C59" t="s">
        <v>83</v>
      </c>
      <c r="D59" t="s">
        <v>86</v>
      </c>
      <c r="E59" s="59">
        <v>14860</v>
      </c>
      <c r="F59" s="39">
        <v>20</v>
      </c>
      <c r="X59" s="87">
        <v>45761</v>
      </c>
      <c r="Y59" s="88" t="s">
        <v>80</v>
      </c>
      <c r="Z59" s="76" t="s">
        <v>82</v>
      </c>
      <c r="AA59" s="76" t="s">
        <v>88</v>
      </c>
      <c r="AB59" s="89">
        <v>9480</v>
      </c>
      <c r="AC59" s="90">
        <v>15</v>
      </c>
      <c r="AD59" s="76">
        <v>9480</v>
      </c>
    </row>
    <row r="60" spans="1:37" x14ac:dyDescent="0.25">
      <c r="A60" s="2">
        <v>45765</v>
      </c>
      <c r="B60" s="48" t="s">
        <v>75</v>
      </c>
      <c r="C60" t="s">
        <v>83</v>
      </c>
      <c r="D60" t="s">
        <v>87</v>
      </c>
      <c r="E60" s="59">
        <v>2522</v>
      </c>
      <c r="F60" s="39">
        <v>13</v>
      </c>
      <c r="X60" s="83">
        <v>45679</v>
      </c>
      <c r="Y60" s="84" t="s">
        <v>80</v>
      </c>
      <c r="Z60" s="77" t="s">
        <v>82</v>
      </c>
      <c r="AA60" s="77" t="s">
        <v>87</v>
      </c>
      <c r="AB60" s="85">
        <v>3835</v>
      </c>
      <c r="AC60" s="86">
        <v>5</v>
      </c>
      <c r="AD60" s="77">
        <v>3835</v>
      </c>
    </row>
    <row r="61" spans="1:37" x14ac:dyDescent="0.25">
      <c r="A61" s="2">
        <v>45711</v>
      </c>
      <c r="B61" s="48" t="s">
        <v>75</v>
      </c>
      <c r="C61" t="s">
        <v>83</v>
      </c>
      <c r="D61" t="s">
        <v>85</v>
      </c>
      <c r="E61" s="59">
        <v>2460</v>
      </c>
      <c r="F61" s="39">
        <v>12</v>
      </c>
    </row>
    <row r="62" spans="1:37" x14ac:dyDescent="0.25">
      <c r="A62" s="2">
        <v>45734</v>
      </c>
      <c r="B62" s="48" t="s">
        <v>74</v>
      </c>
      <c r="C62" t="s">
        <v>82</v>
      </c>
      <c r="D62" t="s">
        <v>86</v>
      </c>
      <c r="E62" s="59">
        <v>7875</v>
      </c>
      <c r="F62" s="39">
        <v>15</v>
      </c>
    </row>
    <row r="63" spans="1:37" x14ac:dyDescent="0.25">
      <c r="A63" s="2">
        <v>45693</v>
      </c>
      <c r="B63" s="48" t="s">
        <v>74</v>
      </c>
      <c r="C63" t="s">
        <v>82</v>
      </c>
      <c r="D63" t="s">
        <v>87</v>
      </c>
      <c r="E63" s="59">
        <v>6560</v>
      </c>
      <c r="F63" s="39">
        <v>10</v>
      </c>
    </row>
    <row r="64" spans="1:37" x14ac:dyDescent="0.25">
      <c r="A64" s="2">
        <v>45778</v>
      </c>
      <c r="B64" s="48" t="s">
        <v>74</v>
      </c>
      <c r="C64" t="s">
        <v>82</v>
      </c>
      <c r="D64" t="s">
        <v>86</v>
      </c>
      <c r="E64" s="59">
        <v>2790</v>
      </c>
      <c r="F64" s="39">
        <v>18</v>
      </c>
    </row>
    <row r="65" spans="1:6" x14ac:dyDescent="0.25">
      <c r="A65" s="2">
        <v>45732</v>
      </c>
      <c r="B65" s="48" t="s">
        <v>74</v>
      </c>
      <c r="C65" t="s">
        <v>82</v>
      </c>
      <c r="D65" t="s">
        <v>88</v>
      </c>
      <c r="E65" s="59">
        <v>1017</v>
      </c>
      <c r="F65" s="39">
        <v>9</v>
      </c>
    </row>
    <row r="66" spans="1:6" x14ac:dyDescent="0.25">
      <c r="A66" s="2">
        <v>45660</v>
      </c>
      <c r="B66" s="48" t="s">
        <v>74</v>
      </c>
      <c r="C66" t="s">
        <v>82</v>
      </c>
      <c r="D66" t="s">
        <v>85</v>
      </c>
      <c r="E66" s="59">
        <v>2094</v>
      </c>
      <c r="F66" s="39">
        <v>6</v>
      </c>
    </row>
    <row r="67" spans="1:6" x14ac:dyDescent="0.25">
      <c r="A67" s="2">
        <v>45701</v>
      </c>
      <c r="B67" s="48" t="s">
        <v>74</v>
      </c>
      <c r="C67" t="s">
        <v>82</v>
      </c>
      <c r="D67" t="s">
        <v>88</v>
      </c>
      <c r="E67" s="59">
        <v>3996</v>
      </c>
      <c r="F67" s="39">
        <v>4</v>
      </c>
    </row>
    <row r="68" spans="1:6" x14ac:dyDescent="0.25">
      <c r="A68" s="2">
        <v>45670</v>
      </c>
      <c r="B68" s="48" t="s">
        <v>74</v>
      </c>
      <c r="C68" t="s">
        <v>82</v>
      </c>
      <c r="D68" t="s">
        <v>85</v>
      </c>
      <c r="E68" s="59">
        <v>4459</v>
      </c>
      <c r="F68" s="39">
        <v>7</v>
      </c>
    </row>
    <row r="69" spans="1:6" x14ac:dyDescent="0.25">
      <c r="A69" s="2">
        <v>45704</v>
      </c>
      <c r="B69" s="48" t="s">
        <v>74</v>
      </c>
      <c r="C69" t="s">
        <v>82</v>
      </c>
      <c r="D69" t="s">
        <v>85</v>
      </c>
      <c r="E69" s="59">
        <v>2274</v>
      </c>
      <c r="F69" s="39">
        <v>3</v>
      </c>
    </row>
    <row r="70" spans="1:6" x14ac:dyDescent="0.25">
      <c r="A70" s="2">
        <v>45728</v>
      </c>
      <c r="B70" s="48" t="s">
        <v>74</v>
      </c>
      <c r="C70" t="s">
        <v>82</v>
      </c>
      <c r="D70" t="s">
        <v>88</v>
      </c>
      <c r="E70" s="59">
        <v>8610</v>
      </c>
      <c r="F70" s="39">
        <v>10</v>
      </c>
    </row>
    <row r="71" spans="1:6" x14ac:dyDescent="0.25">
      <c r="A71" s="2">
        <v>45719</v>
      </c>
      <c r="B71" s="48" t="s">
        <v>74</v>
      </c>
      <c r="C71" t="s">
        <v>82</v>
      </c>
      <c r="D71" t="s">
        <v>88</v>
      </c>
      <c r="E71" s="59">
        <v>7200</v>
      </c>
      <c r="F71" s="39">
        <v>8</v>
      </c>
    </row>
    <row r="72" spans="1:6" x14ac:dyDescent="0.25">
      <c r="A72" s="2">
        <v>45701</v>
      </c>
      <c r="B72" s="48" t="s">
        <v>74</v>
      </c>
      <c r="C72" t="s">
        <v>82</v>
      </c>
      <c r="D72" t="s">
        <v>88</v>
      </c>
      <c r="E72" s="59">
        <v>1464</v>
      </c>
      <c r="F72" s="39">
        <v>2</v>
      </c>
    </row>
    <row r="73" spans="1:6" x14ac:dyDescent="0.25">
      <c r="A73" s="2">
        <v>45724</v>
      </c>
      <c r="B73" s="48" t="s">
        <v>74</v>
      </c>
      <c r="C73" t="s">
        <v>82</v>
      </c>
      <c r="D73" t="s">
        <v>88</v>
      </c>
      <c r="E73" s="59">
        <v>8136</v>
      </c>
      <c r="F73" s="39">
        <v>9</v>
      </c>
    </row>
    <row r="74" spans="1:6" x14ac:dyDescent="0.25">
      <c r="A74" s="2">
        <v>45689</v>
      </c>
      <c r="B74" s="48" t="s">
        <v>74</v>
      </c>
      <c r="C74" t="s">
        <v>82</v>
      </c>
      <c r="D74" t="s">
        <v>87</v>
      </c>
      <c r="E74" s="59">
        <v>3955</v>
      </c>
      <c r="F74" s="39">
        <v>5</v>
      </c>
    </row>
    <row r="75" spans="1:6" x14ac:dyDescent="0.25">
      <c r="A75" s="2">
        <v>45756</v>
      </c>
      <c r="B75" s="48" t="s">
        <v>74</v>
      </c>
      <c r="C75" t="s">
        <v>82</v>
      </c>
      <c r="D75" t="s">
        <v>87</v>
      </c>
      <c r="E75" s="59">
        <v>8436</v>
      </c>
      <c r="F75" s="39">
        <v>19</v>
      </c>
    </row>
    <row r="76" spans="1:6" x14ac:dyDescent="0.25">
      <c r="A76" s="2">
        <v>45747</v>
      </c>
      <c r="B76" s="48" t="s">
        <v>74</v>
      </c>
      <c r="C76" t="s">
        <v>82</v>
      </c>
      <c r="D76" t="s">
        <v>85</v>
      </c>
      <c r="E76" s="59">
        <v>2832</v>
      </c>
      <c r="F76" s="39">
        <v>8</v>
      </c>
    </row>
    <row r="77" spans="1:6" x14ac:dyDescent="0.25">
      <c r="A77" s="2">
        <v>45694</v>
      </c>
      <c r="B77" s="48" t="s">
        <v>74</v>
      </c>
      <c r="C77" t="s">
        <v>82</v>
      </c>
      <c r="D77" t="s">
        <v>88</v>
      </c>
      <c r="E77" s="59">
        <v>808</v>
      </c>
      <c r="F77" s="39">
        <v>8</v>
      </c>
    </row>
    <row r="78" spans="1:6" x14ac:dyDescent="0.25">
      <c r="A78" s="2">
        <v>45697</v>
      </c>
      <c r="B78" s="48" t="s">
        <v>73</v>
      </c>
      <c r="C78" t="s">
        <v>81</v>
      </c>
      <c r="D78" t="s">
        <v>85</v>
      </c>
      <c r="E78" s="59">
        <v>4050</v>
      </c>
      <c r="F78" s="39">
        <v>18</v>
      </c>
    </row>
    <row r="79" spans="1:6" x14ac:dyDescent="0.25">
      <c r="A79" s="2">
        <v>45762</v>
      </c>
      <c r="B79" s="48" t="s">
        <v>73</v>
      </c>
      <c r="C79" t="s">
        <v>81</v>
      </c>
      <c r="D79" t="s">
        <v>88</v>
      </c>
      <c r="E79" s="59">
        <v>12920</v>
      </c>
      <c r="F79" s="39">
        <v>17</v>
      </c>
    </row>
    <row r="80" spans="1:6" x14ac:dyDescent="0.25">
      <c r="A80" s="2">
        <v>45714</v>
      </c>
      <c r="B80" s="48" t="s">
        <v>73</v>
      </c>
      <c r="C80" t="s">
        <v>81</v>
      </c>
      <c r="D80" t="s">
        <v>85</v>
      </c>
      <c r="E80" s="59">
        <v>2388</v>
      </c>
      <c r="F80" s="39">
        <v>3</v>
      </c>
    </row>
    <row r="81" spans="1:6" x14ac:dyDescent="0.25">
      <c r="A81" s="2">
        <v>45749</v>
      </c>
      <c r="B81" s="48" t="s">
        <v>73</v>
      </c>
      <c r="C81" t="s">
        <v>81</v>
      </c>
      <c r="D81" t="s">
        <v>85</v>
      </c>
      <c r="E81" s="59">
        <v>2690</v>
      </c>
      <c r="F81" s="39">
        <v>5</v>
      </c>
    </row>
    <row r="82" spans="1:6" x14ac:dyDescent="0.25">
      <c r="A82" s="2">
        <v>45749</v>
      </c>
      <c r="B82" s="48" t="s">
        <v>73</v>
      </c>
      <c r="C82" t="s">
        <v>81</v>
      </c>
      <c r="D82" t="s">
        <v>87</v>
      </c>
      <c r="E82" s="59">
        <v>4540</v>
      </c>
      <c r="F82" s="39">
        <v>5</v>
      </c>
    </row>
    <row r="83" spans="1:6" x14ac:dyDescent="0.25">
      <c r="A83" s="2">
        <v>45704</v>
      </c>
      <c r="B83" s="48" t="s">
        <v>73</v>
      </c>
      <c r="C83" t="s">
        <v>81</v>
      </c>
      <c r="D83" t="s">
        <v>85</v>
      </c>
      <c r="E83" s="59">
        <v>12701</v>
      </c>
      <c r="F83" s="39">
        <v>13</v>
      </c>
    </row>
    <row r="84" spans="1:6" x14ac:dyDescent="0.25">
      <c r="A84" s="2">
        <v>45669</v>
      </c>
      <c r="B84" s="48" t="s">
        <v>73</v>
      </c>
      <c r="C84" t="s">
        <v>81</v>
      </c>
      <c r="D84" t="s">
        <v>85</v>
      </c>
      <c r="E84" s="59">
        <v>636</v>
      </c>
      <c r="F84" s="39">
        <v>2</v>
      </c>
    </row>
    <row r="85" spans="1:6" x14ac:dyDescent="0.25">
      <c r="A85" s="2">
        <v>45686</v>
      </c>
      <c r="B85" s="48" t="s">
        <v>73</v>
      </c>
      <c r="C85" t="s">
        <v>81</v>
      </c>
      <c r="D85" t="s">
        <v>88</v>
      </c>
      <c r="E85" s="59">
        <v>545</v>
      </c>
      <c r="F85" s="39">
        <v>5</v>
      </c>
    </row>
    <row r="86" spans="1:6" x14ac:dyDescent="0.25">
      <c r="A86" s="2">
        <v>45710</v>
      </c>
      <c r="B86" s="48" t="s">
        <v>73</v>
      </c>
      <c r="C86" t="s">
        <v>81</v>
      </c>
      <c r="D86" t="s">
        <v>88</v>
      </c>
      <c r="E86" s="59">
        <v>3042</v>
      </c>
      <c r="F86" s="39">
        <v>13</v>
      </c>
    </row>
    <row r="87" spans="1:6" x14ac:dyDescent="0.25">
      <c r="A87" s="2">
        <v>45665</v>
      </c>
      <c r="B87" s="48" t="s">
        <v>73</v>
      </c>
      <c r="C87" t="s">
        <v>81</v>
      </c>
      <c r="D87" t="s">
        <v>86</v>
      </c>
      <c r="E87" s="59">
        <v>2805</v>
      </c>
      <c r="F87" s="39">
        <v>5</v>
      </c>
    </row>
    <row r="88" spans="1:6" x14ac:dyDescent="0.25">
      <c r="A88" s="2">
        <v>45731</v>
      </c>
      <c r="B88" s="48" t="s">
        <v>73</v>
      </c>
      <c r="C88" t="s">
        <v>81</v>
      </c>
      <c r="D88" t="s">
        <v>88</v>
      </c>
      <c r="E88" s="59">
        <v>3225</v>
      </c>
      <c r="F88" s="39">
        <v>15</v>
      </c>
    </row>
    <row r="89" spans="1:6" x14ac:dyDescent="0.25">
      <c r="A89" s="2">
        <v>45727</v>
      </c>
      <c r="B89" s="48" t="s">
        <v>73</v>
      </c>
      <c r="C89" t="s">
        <v>81</v>
      </c>
      <c r="D89" t="s">
        <v>85</v>
      </c>
      <c r="E89" s="59">
        <v>1185</v>
      </c>
      <c r="F89" s="39">
        <v>5</v>
      </c>
    </row>
    <row r="90" spans="1:6" x14ac:dyDescent="0.25">
      <c r="A90" s="2">
        <v>45741</v>
      </c>
      <c r="B90" s="48" t="s">
        <v>73</v>
      </c>
      <c r="C90" t="s">
        <v>81</v>
      </c>
      <c r="D90" t="s">
        <v>85</v>
      </c>
      <c r="E90" s="59">
        <v>1836</v>
      </c>
      <c r="F90" s="39">
        <v>12</v>
      </c>
    </row>
    <row r="91" spans="1:6" x14ac:dyDescent="0.25">
      <c r="A91" s="2">
        <v>45720</v>
      </c>
      <c r="B91" s="48" t="s">
        <v>77</v>
      </c>
      <c r="C91" t="s">
        <v>83</v>
      </c>
      <c r="D91" t="s">
        <v>86</v>
      </c>
      <c r="E91" s="59">
        <v>6948</v>
      </c>
      <c r="F91" s="39">
        <v>18</v>
      </c>
    </row>
    <row r="92" spans="1:6" x14ac:dyDescent="0.25">
      <c r="A92" s="2">
        <v>45764</v>
      </c>
      <c r="B92" s="48" t="s">
        <v>77</v>
      </c>
      <c r="C92" t="s">
        <v>83</v>
      </c>
      <c r="D92" t="s">
        <v>85</v>
      </c>
      <c r="E92" s="59">
        <v>1944</v>
      </c>
      <c r="F92" s="39">
        <v>18</v>
      </c>
    </row>
    <row r="93" spans="1:6" x14ac:dyDescent="0.25">
      <c r="A93" s="2">
        <v>45693</v>
      </c>
      <c r="B93" s="48" t="s">
        <v>77</v>
      </c>
      <c r="C93" t="s">
        <v>83</v>
      </c>
      <c r="D93" t="s">
        <v>88</v>
      </c>
      <c r="E93" s="59">
        <v>1767</v>
      </c>
      <c r="F93" s="39">
        <v>3</v>
      </c>
    </row>
    <row r="94" spans="1:6" x14ac:dyDescent="0.25">
      <c r="A94" s="2">
        <v>45692</v>
      </c>
      <c r="B94" s="48" t="s">
        <v>77</v>
      </c>
      <c r="C94" t="s">
        <v>83</v>
      </c>
      <c r="D94" t="s">
        <v>85</v>
      </c>
      <c r="E94" s="59">
        <v>2134</v>
      </c>
      <c r="F94" s="39">
        <v>11</v>
      </c>
    </row>
    <row r="95" spans="1:6" x14ac:dyDescent="0.25">
      <c r="A95" s="2">
        <v>45697</v>
      </c>
      <c r="B95" s="48" t="s">
        <v>77</v>
      </c>
      <c r="C95" t="s">
        <v>83</v>
      </c>
      <c r="D95" t="s">
        <v>87</v>
      </c>
      <c r="E95" s="59">
        <v>399</v>
      </c>
      <c r="F95" s="39">
        <v>3</v>
      </c>
    </row>
    <row r="96" spans="1:6" x14ac:dyDescent="0.25">
      <c r="A96" s="2">
        <v>45725</v>
      </c>
      <c r="B96" s="48" t="s">
        <v>77</v>
      </c>
      <c r="C96" t="s">
        <v>83</v>
      </c>
      <c r="D96" t="s">
        <v>87</v>
      </c>
      <c r="E96" s="59">
        <v>11552</v>
      </c>
      <c r="F96" s="39">
        <v>19</v>
      </c>
    </row>
    <row r="97" spans="1:6" x14ac:dyDescent="0.25">
      <c r="A97" s="2">
        <v>45695</v>
      </c>
      <c r="B97" s="48" t="s">
        <v>77</v>
      </c>
      <c r="C97" t="s">
        <v>83</v>
      </c>
      <c r="D97" t="s">
        <v>85</v>
      </c>
      <c r="E97" s="59">
        <v>4216</v>
      </c>
      <c r="F97" s="39">
        <v>8</v>
      </c>
    </row>
    <row r="98" spans="1:6" x14ac:dyDescent="0.25">
      <c r="A98" s="2">
        <v>45732</v>
      </c>
      <c r="B98" s="48" t="s">
        <v>77</v>
      </c>
      <c r="C98" t="s">
        <v>83</v>
      </c>
      <c r="D98" t="s">
        <v>88</v>
      </c>
      <c r="E98" s="59">
        <v>1044</v>
      </c>
      <c r="F98" s="39">
        <v>3</v>
      </c>
    </row>
    <row r="99" spans="1:6" x14ac:dyDescent="0.25">
      <c r="A99" s="2">
        <v>45667</v>
      </c>
      <c r="B99" s="48" t="s">
        <v>77</v>
      </c>
      <c r="C99" t="s">
        <v>83</v>
      </c>
      <c r="D99" t="s">
        <v>88</v>
      </c>
      <c r="E99" s="59">
        <v>1694</v>
      </c>
      <c r="F99" s="39">
        <v>11</v>
      </c>
    </row>
    <row r="100" spans="1:6" x14ac:dyDescent="0.25">
      <c r="A100" s="2">
        <v>45777</v>
      </c>
      <c r="B100" s="48" t="s">
        <v>77</v>
      </c>
      <c r="C100" t="s">
        <v>83</v>
      </c>
      <c r="D100" t="s">
        <v>88</v>
      </c>
      <c r="E100" s="59">
        <v>2490</v>
      </c>
      <c r="F100" s="39">
        <v>15</v>
      </c>
    </row>
    <row r="101" spans="1:6" x14ac:dyDescent="0.25">
      <c r="A101" s="2">
        <v>45725</v>
      </c>
      <c r="B101" s="48" t="s">
        <v>77</v>
      </c>
      <c r="C101" t="s">
        <v>83</v>
      </c>
      <c r="D101" t="s">
        <v>85</v>
      </c>
      <c r="E101" s="59">
        <v>4685</v>
      </c>
      <c r="F101" s="39">
        <v>5</v>
      </c>
    </row>
  </sheetData>
  <autoFilter ref="S17:S46" xr:uid="{AD9F919E-B352-45E8-99E8-6FFCBBD98D1D}"/>
  <mergeCells count="2">
    <mergeCell ref="P9:S9"/>
    <mergeCell ref="X24:Y25"/>
  </mergeCells>
  <conditionalFormatting sqref="M1:M1048576">
    <cfRule type="cellIs" dxfId="10" priority="14" operator="greaterThan">
      <formula>5107</formula>
    </cfRule>
  </conditionalFormatting>
  <conditionalFormatting sqref="AF28:AF4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:S46">
    <cfRule type="top10" dxfId="9" priority="15" rank="10"/>
    <cfRule type="cellIs" dxfId="8" priority="16" operator="greaterThan">
      <formula>"Rs.5,106.50"</formula>
    </cfRule>
    <cfRule type="cellIs" dxfId="7" priority="17" operator="greaterThan">
      <formula>"$5,106.50"</formula>
    </cfRule>
  </conditionalFormatting>
  <conditionalFormatting sqref="AB27:AB6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{B9190C09-5113-4F3F-AF30-CEAAE21D5F7D}</x14:id>
        </ext>
      </extLst>
    </cfRule>
  </conditionalFormatting>
  <conditionalFormatting sqref="AC27:AC60">
    <cfRule type="top10" dxfId="6" priority="10" rank="5"/>
    <cfRule type="top10" dxfId="5" priority="11" rank="10"/>
  </conditionalFormatting>
  <conditionalFormatting sqref="AD27">
    <cfRule type="top10" dxfId="4" priority="7" rank="5"/>
    <cfRule type="top10" dxfId="3" priority="8" rank="10"/>
  </conditionalFormatting>
  <conditionalFormatting sqref="AD27:AD60">
    <cfRule type="iconSet" priority="6">
      <iconSet iconSet="3Arrows">
        <cfvo type="percent" val="0"/>
        <cfvo type="num" val="3000"/>
        <cfvo type="num" val="10000"/>
      </iconSet>
    </cfRule>
  </conditionalFormatting>
  <conditionalFormatting sqref="AH27:AH5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{7FD3AD5C-8AB4-4A40-B777-DAB53A40C68A}</x14:id>
        </ext>
      </extLst>
    </cfRule>
    <cfRule type="top10" dxfId="2" priority="4" bottom="1" rank="10"/>
  </conditionalFormatting>
  <conditionalFormatting sqref="AI27:AI56">
    <cfRule type="cellIs" dxfId="1" priority="3" operator="lessThan">
      <formula>10</formula>
    </cfRule>
  </conditionalFormatting>
  <conditionalFormatting sqref="X27:X60">
    <cfRule type="duplicateValues" dxfId="0" priority="2"/>
  </conditionalFormatting>
  <conditionalFormatting sqref="AK27:AK50">
    <cfRule type="colorScale" priority="1">
      <colorScale>
        <cfvo type="num" val="0"/>
        <cfvo type="num" val="10000"/>
        <color rgb="FFFFC000"/>
        <color rgb="FF00B050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190C09-5113-4F3F-AF30-CEAAE21D5F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AB27:AB60</xm:sqref>
        </x14:conditionalFormatting>
        <x14:conditionalFormatting xmlns:xm="http://schemas.microsoft.com/office/excel/2006/main">
          <x14:cfRule type="dataBar" id="{7FD3AD5C-8AB4-4A40-B777-DAB53A40C6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AH27:AH56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4445-4E24-4B3C-90CA-6FD706867342}">
  <dimension ref="A1"/>
  <sheetViews>
    <sheetView tabSelected="1" workbookViewId="0">
      <selection activeCell="G33" sqref="G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selection activeCell="I10" sqref="I10"/>
    </sheetView>
  </sheetViews>
  <sheetFormatPr defaultRowHeight="15" x14ac:dyDescent="0.25"/>
  <cols>
    <col min="1" max="1" width="16" style="6" customWidth="1"/>
    <col min="2" max="2" width="12.42578125" bestFit="1" customWidth="1"/>
    <col min="3" max="3" width="13.42578125" bestFit="1" customWidth="1"/>
    <col min="4" max="4" width="11.7109375" bestFit="1" customWidth="1"/>
    <col min="5" max="5" width="17.85546875" bestFit="1" customWidth="1"/>
    <col min="6" max="6" width="17.7109375" bestFit="1" customWidth="1"/>
    <col min="12" max="12" width="22.140625" customWidth="1"/>
    <col min="15" max="15" width="18.85546875" customWidth="1"/>
    <col min="17" max="17" width="16.85546875" customWidth="1"/>
    <col min="18" max="18" width="38.42578125" customWidth="1"/>
  </cols>
  <sheetData>
    <row r="1" spans="1:17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</row>
    <row r="2" spans="1:17" x14ac:dyDescent="0.25">
      <c r="A2" s="6" t="s">
        <v>6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7" x14ac:dyDescent="0.25">
      <c r="A3" s="6" t="s">
        <v>7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7" x14ac:dyDescent="0.25">
      <c r="A4" s="6" t="s">
        <v>8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7" x14ac:dyDescent="0.25">
      <c r="A5" s="6" t="s">
        <v>9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7" x14ac:dyDescent="0.25">
      <c r="A6" s="6" t="s">
        <v>10</v>
      </c>
      <c r="B6" t="s">
        <v>74</v>
      </c>
      <c r="C6" t="s">
        <v>82</v>
      </c>
      <c r="D6" t="s">
        <v>87</v>
      </c>
      <c r="E6">
        <v>6560</v>
      </c>
      <c r="F6">
        <v>10</v>
      </c>
      <c r="K6">
        <f>CORREL(E:E,F:F)</f>
        <v>0.66042824393439248</v>
      </c>
    </row>
    <row r="7" spans="1:17" x14ac:dyDescent="0.25">
      <c r="A7" s="6" t="s">
        <v>11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7" x14ac:dyDescent="0.25">
      <c r="A8" s="6" t="s">
        <v>12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17" x14ac:dyDescent="0.25">
      <c r="A9" s="6" t="s">
        <v>13</v>
      </c>
      <c r="B9" t="s">
        <v>77</v>
      </c>
      <c r="C9" t="s">
        <v>83</v>
      </c>
      <c r="D9" t="s">
        <v>85</v>
      </c>
      <c r="E9">
        <v>1944</v>
      </c>
      <c r="F9">
        <v>18</v>
      </c>
      <c r="L9" s="3" t="s">
        <v>163</v>
      </c>
      <c r="O9" s="3" t="s">
        <v>176</v>
      </c>
      <c r="Q9" s="3" t="s">
        <v>227</v>
      </c>
    </row>
    <row r="10" spans="1:17" x14ac:dyDescent="0.25">
      <c r="A10" s="6" t="s">
        <v>14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K10">
        <v>1</v>
      </c>
      <c r="L10" t="s">
        <v>95</v>
      </c>
      <c r="N10">
        <v>1</v>
      </c>
      <c r="O10" t="s">
        <v>177</v>
      </c>
      <c r="P10">
        <v>1</v>
      </c>
      <c r="Q10" t="s">
        <v>206</v>
      </c>
    </row>
    <row r="11" spans="1:17" x14ac:dyDescent="0.25">
      <c r="A11" s="6" t="s">
        <v>15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K11">
        <v>2</v>
      </c>
      <c r="L11" t="s">
        <v>96</v>
      </c>
      <c r="N11">
        <v>2</v>
      </c>
      <c r="O11" t="s">
        <v>178</v>
      </c>
      <c r="P11">
        <v>2</v>
      </c>
      <c r="Q11" t="s">
        <v>228</v>
      </c>
    </row>
    <row r="12" spans="1:17" x14ac:dyDescent="0.25">
      <c r="A12" s="6" t="s">
        <v>10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K12">
        <v>3</v>
      </c>
      <c r="L12" t="s">
        <v>94</v>
      </c>
      <c r="N12">
        <v>3</v>
      </c>
      <c r="O12" t="s">
        <v>179</v>
      </c>
      <c r="P12">
        <v>3</v>
      </c>
      <c r="Q12" t="s">
        <v>192</v>
      </c>
    </row>
    <row r="13" spans="1:17" x14ac:dyDescent="0.25">
      <c r="A13" s="6" t="s">
        <v>16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K13">
        <v>4</v>
      </c>
      <c r="L13" t="s">
        <v>164</v>
      </c>
      <c r="N13">
        <v>4</v>
      </c>
      <c r="O13" t="s">
        <v>180</v>
      </c>
      <c r="P13">
        <v>4</v>
      </c>
      <c r="Q13" t="s">
        <v>229</v>
      </c>
    </row>
    <row r="14" spans="1:17" x14ac:dyDescent="0.25">
      <c r="A14" s="6" t="s">
        <v>17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K14">
        <v>5</v>
      </c>
      <c r="L14" t="s">
        <v>165</v>
      </c>
      <c r="N14">
        <v>5</v>
      </c>
      <c r="O14" t="s">
        <v>181</v>
      </c>
      <c r="P14">
        <v>5</v>
      </c>
      <c r="Q14" t="s">
        <v>230</v>
      </c>
    </row>
    <row r="15" spans="1:17" x14ac:dyDescent="0.25">
      <c r="A15" s="6" t="s">
        <v>18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K15">
        <v>6</v>
      </c>
      <c r="L15" t="s">
        <v>166</v>
      </c>
      <c r="N15">
        <v>6</v>
      </c>
      <c r="O15" t="s">
        <v>182</v>
      </c>
      <c r="P15">
        <v>6</v>
      </c>
      <c r="Q15" t="s">
        <v>231</v>
      </c>
    </row>
    <row r="16" spans="1:17" x14ac:dyDescent="0.25">
      <c r="A16" s="6" t="s">
        <v>19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K16">
        <v>7</v>
      </c>
      <c r="L16" t="s">
        <v>89</v>
      </c>
      <c r="P16">
        <v>7</v>
      </c>
      <c r="Q16" t="s">
        <v>232</v>
      </c>
    </row>
    <row r="17" spans="1:18" x14ac:dyDescent="0.25">
      <c r="A17" s="6" t="s">
        <v>14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K17">
        <v>8</v>
      </c>
      <c r="L17" t="s">
        <v>167</v>
      </c>
      <c r="P17">
        <v>8</v>
      </c>
      <c r="Q17" t="s">
        <v>233</v>
      </c>
    </row>
    <row r="18" spans="1:18" x14ac:dyDescent="0.25">
      <c r="A18" s="6" t="s">
        <v>20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K18">
        <v>9</v>
      </c>
      <c r="L18" t="s">
        <v>90</v>
      </c>
      <c r="P18">
        <v>9</v>
      </c>
      <c r="Q18" t="s">
        <v>234</v>
      </c>
    </row>
    <row r="19" spans="1:18" x14ac:dyDescent="0.25">
      <c r="A19" s="6" t="s">
        <v>21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K19">
        <v>10</v>
      </c>
      <c r="L19" t="s">
        <v>99</v>
      </c>
      <c r="P19" t="s">
        <v>235</v>
      </c>
    </row>
    <row r="20" spans="1:18" x14ac:dyDescent="0.25">
      <c r="A20" s="6" t="s">
        <v>22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K20">
        <v>11</v>
      </c>
      <c r="L20" t="s">
        <v>98</v>
      </c>
    </row>
    <row r="21" spans="1:18" x14ac:dyDescent="0.25">
      <c r="A21" s="6" t="s">
        <v>23</v>
      </c>
      <c r="B21" t="s">
        <v>80</v>
      </c>
      <c r="C21" t="s">
        <v>82</v>
      </c>
      <c r="D21" t="s">
        <v>86</v>
      </c>
      <c r="E21">
        <v>9310</v>
      </c>
      <c r="F21">
        <v>10</v>
      </c>
    </row>
    <row r="22" spans="1:18" x14ac:dyDescent="0.25">
      <c r="A22" s="6" t="s">
        <v>24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L22" s="3" t="s">
        <v>168</v>
      </c>
      <c r="O22" s="3" t="s">
        <v>183</v>
      </c>
      <c r="Q22" s="3" t="s">
        <v>276</v>
      </c>
      <c r="R22" s="3"/>
    </row>
    <row r="23" spans="1:18" x14ac:dyDescent="0.25">
      <c r="A23" s="6" t="s">
        <v>25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K23">
        <v>1</v>
      </c>
      <c r="L23" t="s">
        <v>169</v>
      </c>
      <c r="N23">
        <v>1</v>
      </c>
      <c r="O23" t="s">
        <v>1</v>
      </c>
    </row>
    <row r="24" spans="1:18" x14ac:dyDescent="0.25">
      <c r="A24" s="6" t="s">
        <v>26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K24">
        <v>2</v>
      </c>
      <c r="L24" t="s">
        <v>122</v>
      </c>
      <c r="N24">
        <v>2</v>
      </c>
      <c r="O24" t="s">
        <v>184</v>
      </c>
      <c r="Q24" t="s">
        <v>277</v>
      </c>
      <c r="R24" t="s">
        <v>280</v>
      </c>
    </row>
    <row r="25" spans="1:18" x14ac:dyDescent="0.25">
      <c r="A25" s="6" t="s">
        <v>27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K25">
        <v>3</v>
      </c>
      <c r="L25" t="s">
        <v>170</v>
      </c>
      <c r="N25">
        <v>3</v>
      </c>
      <c r="O25" t="s">
        <v>185</v>
      </c>
      <c r="Q25" t="s">
        <v>278</v>
      </c>
      <c r="R25" t="s">
        <v>281</v>
      </c>
    </row>
    <row r="26" spans="1:18" x14ac:dyDescent="0.25">
      <c r="A26" s="6" t="s">
        <v>28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K26">
        <v>4</v>
      </c>
      <c r="L26" t="s">
        <v>171</v>
      </c>
      <c r="N26">
        <v>4</v>
      </c>
      <c r="O26" t="s">
        <v>186</v>
      </c>
      <c r="Q26" t="s">
        <v>279</v>
      </c>
    </row>
    <row r="27" spans="1:18" x14ac:dyDescent="0.25">
      <c r="A27" s="6" t="s">
        <v>29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K27">
        <v>5</v>
      </c>
      <c r="L27" t="s">
        <v>172</v>
      </c>
      <c r="N27">
        <v>5</v>
      </c>
      <c r="O27" t="s">
        <v>187</v>
      </c>
    </row>
    <row r="28" spans="1:18" x14ac:dyDescent="0.25">
      <c r="A28" s="6" t="s">
        <v>10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K28">
        <v>6</v>
      </c>
      <c r="L28" t="s">
        <v>173</v>
      </c>
      <c r="N28">
        <v>6</v>
      </c>
      <c r="O28" t="s">
        <v>188</v>
      </c>
      <c r="Q28" t="s">
        <v>295</v>
      </c>
      <c r="R28" s="73" t="s">
        <v>296</v>
      </c>
    </row>
    <row r="29" spans="1:18" x14ac:dyDescent="0.25">
      <c r="A29" s="6" t="s">
        <v>30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K29">
        <v>7</v>
      </c>
      <c r="L29" t="s">
        <v>174</v>
      </c>
      <c r="N29">
        <v>7</v>
      </c>
      <c r="O29" t="s">
        <v>89</v>
      </c>
      <c r="R29" s="73" t="s">
        <v>297</v>
      </c>
    </row>
    <row r="30" spans="1:18" x14ac:dyDescent="0.25">
      <c r="A30" s="6" t="s">
        <v>31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K30">
        <v>8</v>
      </c>
      <c r="L30" t="s">
        <v>175</v>
      </c>
      <c r="N30">
        <v>8</v>
      </c>
      <c r="O30" t="s">
        <v>157</v>
      </c>
      <c r="R30" s="73" t="s">
        <v>298</v>
      </c>
    </row>
    <row r="31" spans="1:18" x14ac:dyDescent="0.25">
      <c r="A31" s="6" t="s">
        <v>32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N31">
        <v>9</v>
      </c>
      <c r="O31" t="s">
        <v>155</v>
      </c>
      <c r="R31" s="73" t="s">
        <v>299</v>
      </c>
    </row>
    <row r="32" spans="1:18" x14ac:dyDescent="0.25">
      <c r="A32" s="6" t="s">
        <v>33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N32">
        <v>10</v>
      </c>
      <c r="O32" t="s">
        <v>189</v>
      </c>
    </row>
    <row r="33" spans="1:15" x14ac:dyDescent="0.25">
      <c r="A33" s="6" t="s">
        <v>34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N33">
        <v>11</v>
      </c>
      <c r="O33" t="s">
        <v>161</v>
      </c>
    </row>
    <row r="34" spans="1:15" x14ac:dyDescent="0.25">
      <c r="A34" s="6" t="s">
        <v>35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N34">
        <v>12</v>
      </c>
      <c r="O34" t="s">
        <v>162</v>
      </c>
    </row>
    <row r="35" spans="1:15" x14ac:dyDescent="0.25">
      <c r="A35" s="6" t="s">
        <v>36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15" x14ac:dyDescent="0.25">
      <c r="A36" s="6" t="s">
        <v>37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15" x14ac:dyDescent="0.25">
      <c r="A37" s="6" t="s">
        <v>16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5" x14ac:dyDescent="0.25">
      <c r="A38" s="6" t="s">
        <v>38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15" x14ac:dyDescent="0.25">
      <c r="A39" s="6" t="s">
        <v>6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15" x14ac:dyDescent="0.25">
      <c r="A40" s="6" t="s">
        <v>31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15" x14ac:dyDescent="0.25">
      <c r="A41" s="6" t="s">
        <v>39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15" x14ac:dyDescent="0.25">
      <c r="A42" s="6" t="s">
        <v>40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15" x14ac:dyDescent="0.25">
      <c r="A43" s="6" t="s">
        <v>38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15" x14ac:dyDescent="0.25">
      <c r="A44" s="6" t="s">
        <v>41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15" x14ac:dyDescent="0.25">
      <c r="A45" s="6" t="s">
        <v>42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15" x14ac:dyDescent="0.25">
      <c r="A46" s="6" t="s">
        <v>43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15" x14ac:dyDescent="0.25">
      <c r="A47" s="6" t="s">
        <v>44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15" x14ac:dyDescent="0.25">
      <c r="A48" s="6" t="s">
        <v>45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6" t="s">
        <v>27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6" t="s">
        <v>28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6" t="s">
        <v>22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6" t="s">
        <v>46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6" t="s">
        <v>42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6" t="s">
        <v>47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6" t="s">
        <v>44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6" t="s">
        <v>39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6" t="s">
        <v>48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6" t="s">
        <v>10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6" t="s">
        <v>49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6" t="s">
        <v>30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6" t="s">
        <v>22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6" t="s">
        <v>50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6" t="s">
        <v>51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6" t="s">
        <v>52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6" t="s">
        <v>53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6" t="s">
        <v>54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6" t="s">
        <v>55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6" t="s">
        <v>56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6" t="s">
        <v>57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6" t="s">
        <v>58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6" t="s">
        <v>52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6" t="s">
        <v>59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6" t="s">
        <v>60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6" t="s">
        <v>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6" t="s">
        <v>62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6" t="s">
        <v>63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6" t="s">
        <v>35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6" t="s">
        <v>10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6" t="s">
        <v>64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6" t="s">
        <v>65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6" t="s">
        <v>66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6" t="s">
        <v>64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6" t="s">
        <v>67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6" t="s">
        <v>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6" t="s">
        <v>69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6" t="s">
        <v>70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6" t="s">
        <v>40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6" t="s">
        <v>63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6" t="s">
        <v>40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6" t="s">
        <v>9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6" t="s">
        <v>38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6" t="s">
        <v>15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6" t="s">
        <v>49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6" t="s">
        <v>33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6" t="s">
        <v>71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6" t="s">
        <v>28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6" t="s">
        <v>59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6" t="s">
        <v>21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6" t="s">
        <v>29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6" t="s">
        <v>72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6" t="s">
        <v>10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3A02-947E-4224-9117-C8F27F767E88}">
  <dimension ref="B1:O50"/>
  <sheetViews>
    <sheetView topLeftCell="A31" zoomScaleNormal="100" workbookViewId="0">
      <selection activeCell="K63" sqref="K63"/>
    </sheetView>
  </sheetViews>
  <sheetFormatPr defaultRowHeight="15" x14ac:dyDescent="0.25"/>
  <cols>
    <col min="1" max="1" width="2.140625" customWidth="1"/>
    <col min="2" max="2" width="10.85546875" customWidth="1"/>
    <col min="4" max="4" width="17.7109375" customWidth="1"/>
    <col min="5" max="5" width="21.42578125" customWidth="1"/>
    <col min="6" max="6" width="23.28515625" customWidth="1"/>
    <col min="8" max="8" width="24.42578125" customWidth="1"/>
    <col min="9" max="9" width="14.85546875" customWidth="1"/>
    <col min="10" max="10" width="18.42578125" customWidth="1"/>
  </cols>
  <sheetData>
    <row r="1" spans="2:15" ht="3" customHeight="1" x14ac:dyDescent="0.25"/>
    <row r="5" spans="2:15" x14ac:dyDescent="0.2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2:15" x14ac:dyDescent="0.25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2:15" ht="0.75" customHeight="1" x14ac:dyDescent="0.25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2:15" ht="57" customHeight="1" x14ac:dyDescent="0.25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2:15" ht="48.75" customHeight="1" x14ac:dyDescent="0.4">
      <c r="B9" s="31"/>
      <c r="C9" s="31"/>
      <c r="D9" s="37" t="s">
        <v>269</v>
      </c>
      <c r="E9" s="37" t="s">
        <v>275</v>
      </c>
      <c r="F9" s="37" t="s">
        <v>270</v>
      </c>
      <c r="G9" s="31"/>
      <c r="H9" s="31"/>
      <c r="I9" s="31"/>
      <c r="J9" s="31"/>
      <c r="K9" s="31"/>
      <c r="L9" s="31"/>
      <c r="M9" s="31"/>
      <c r="N9" s="31"/>
      <c r="O9" s="31"/>
    </row>
    <row r="10" spans="2:15" ht="48" customHeight="1" x14ac:dyDescent="0.4">
      <c r="B10" s="31"/>
      <c r="C10" s="31"/>
      <c r="D10" s="34" t="s">
        <v>271</v>
      </c>
      <c r="E10" s="35"/>
      <c r="F10" s="36">
        <v>500000</v>
      </c>
      <c r="G10" s="31"/>
      <c r="H10" s="31"/>
      <c r="I10" s="31"/>
      <c r="J10" s="31"/>
      <c r="K10" s="31"/>
      <c r="L10" s="31"/>
      <c r="M10" s="31"/>
      <c r="N10" s="31"/>
      <c r="O10" s="31"/>
    </row>
    <row r="11" spans="2:15" ht="36" customHeight="1" x14ac:dyDescent="0.4">
      <c r="B11" s="31"/>
      <c r="C11" s="31"/>
      <c r="D11" s="34" t="s">
        <v>272</v>
      </c>
      <c r="E11" s="35"/>
      <c r="F11" s="36">
        <v>1000000</v>
      </c>
      <c r="G11" s="31"/>
      <c r="H11" s="31"/>
      <c r="I11" s="31"/>
      <c r="J11" s="31"/>
      <c r="K11" s="31"/>
      <c r="L11" s="31"/>
      <c r="M11" s="31"/>
      <c r="N11" s="31"/>
      <c r="O11" s="31"/>
    </row>
    <row r="12" spans="2:15" ht="52.5" customHeight="1" x14ac:dyDescent="0.4">
      <c r="B12" s="31"/>
      <c r="C12" s="31"/>
      <c r="D12" s="34" t="s">
        <v>273</v>
      </c>
      <c r="E12" s="35"/>
      <c r="F12" s="36">
        <v>900000</v>
      </c>
      <c r="G12" s="31"/>
      <c r="H12" s="31"/>
      <c r="I12" s="31"/>
      <c r="J12" s="31"/>
      <c r="K12" s="31"/>
      <c r="L12" s="31"/>
      <c r="M12" s="31"/>
      <c r="N12" s="31"/>
      <c r="O12" s="31"/>
    </row>
    <row r="13" spans="2:15" ht="50.25" customHeight="1" x14ac:dyDescent="0.4">
      <c r="B13" s="31"/>
      <c r="C13" s="31"/>
      <c r="D13" s="34" t="s">
        <v>274</v>
      </c>
      <c r="E13" s="35"/>
      <c r="F13" s="36">
        <v>7000000</v>
      </c>
      <c r="G13" s="31"/>
      <c r="H13" s="31"/>
      <c r="I13" s="31"/>
      <c r="J13" s="31"/>
      <c r="K13" s="31"/>
      <c r="L13" s="31"/>
      <c r="M13" s="31"/>
      <c r="N13" s="31"/>
      <c r="O13" s="31"/>
    </row>
    <row r="14" spans="2:15" x14ac:dyDescent="0.25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2:15" x14ac:dyDescent="0.25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2:15" x14ac:dyDescent="0.25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2:15" x14ac:dyDescent="0.25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2:15" x14ac:dyDescent="0.25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2:15" x14ac:dyDescent="0.25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2:15" x14ac:dyDescent="0.25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2:15" x14ac:dyDescent="0.25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2:15" x14ac:dyDescent="0.25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2:15" x14ac:dyDescent="0.2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2:15" x14ac:dyDescent="0.25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2:15" x14ac:dyDescent="0.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2:15" x14ac:dyDescent="0.25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31" spans="2:15" x14ac:dyDescent="0.25">
      <c r="B31" s="2">
        <f>DATE(2026,1,1)</f>
        <v>46023</v>
      </c>
    </row>
    <row r="32" spans="2:15" x14ac:dyDescent="0.25">
      <c r="B32" s="2">
        <v>46024</v>
      </c>
      <c r="D32" s="58">
        <v>515741</v>
      </c>
    </row>
    <row r="33" spans="2:10" x14ac:dyDescent="0.25">
      <c r="B33" s="2">
        <v>46025</v>
      </c>
      <c r="D33" s="58">
        <v>616527</v>
      </c>
    </row>
    <row r="34" spans="2:10" x14ac:dyDescent="0.25">
      <c r="B34" s="2">
        <v>46026</v>
      </c>
      <c r="D34" s="60">
        <v>7075467519</v>
      </c>
    </row>
    <row r="35" spans="2:10" x14ac:dyDescent="0.25">
      <c r="B35" s="2">
        <v>46027</v>
      </c>
    </row>
    <row r="36" spans="2:10" x14ac:dyDescent="0.25">
      <c r="B36" s="2">
        <v>46028</v>
      </c>
    </row>
    <row r="37" spans="2:10" x14ac:dyDescent="0.25">
      <c r="B37" s="2">
        <v>46029</v>
      </c>
      <c r="E37" s="58" t="s">
        <v>282</v>
      </c>
    </row>
    <row r="38" spans="2:10" x14ac:dyDescent="0.25">
      <c r="B38" s="2">
        <v>46030</v>
      </c>
    </row>
    <row r="39" spans="2:10" x14ac:dyDescent="0.25">
      <c r="B39" s="2">
        <v>46031</v>
      </c>
      <c r="E39" s="38">
        <v>515741</v>
      </c>
      <c r="F39" t="str">
        <f>TEXT(E39,"###-###")</f>
        <v>515-741</v>
      </c>
    </row>
    <row r="40" spans="2:10" x14ac:dyDescent="0.25">
      <c r="B40" s="2">
        <v>46032</v>
      </c>
      <c r="F40" t="s">
        <v>283</v>
      </c>
      <c r="H40" s="61">
        <v>700000</v>
      </c>
    </row>
    <row r="41" spans="2:10" x14ac:dyDescent="0.25">
      <c r="B41" s="2">
        <v>46033</v>
      </c>
      <c r="H41" s="61">
        <v>-100000</v>
      </c>
    </row>
    <row r="42" spans="2:10" x14ac:dyDescent="0.25">
      <c r="B42" s="2">
        <v>46034</v>
      </c>
      <c r="H42" s="61">
        <v>0</v>
      </c>
    </row>
    <row r="43" spans="2:10" x14ac:dyDescent="0.25">
      <c r="B43" s="2">
        <v>46035</v>
      </c>
    </row>
    <row r="44" spans="2:10" x14ac:dyDescent="0.25">
      <c r="B44" s="2">
        <v>46036</v>
      </c>
    </row>
    <row r="45" spans="2:10" x14ac:dyDescent="0.25">
      <c r="B45" s="2">
        <v>46037</v>
      </c>
    </row>
    <row r="46" spans="2:10" x14ac:dyDescent="0.25">
      <c r="B46" s="2">
        <v>46038</v>
      </c>
    </row>
    <row r="47" spans="2:10" x14ac:dyDescent="0.25">
      <c r="B47" s="2">
        <v>46039</v>
      </c>
      <c r="I47" s="62">
        <v>70000</v>
      </c>
      <c r="J47" s="63">
        <v>70000</v>
      </c>
    </row>
    <row r="48" spans="2:10" x14ac:dyDescent="0.25">
      <c r="B48" s="2">
        <v>46040</v>
      </c>
      <c r="I48" s="62">
        <v>-100000</v>
      </c>
      <c r="J48" s="63">
        <v>-100000</v>
      </c>
    </row>
    <row r="49" spans="2:10" x14ac:dyDescent="0.25">
      <c r="B49" s="2">
        <v>46041</v>
      </c>
      <c r="I49" s="62">
        <v>0</v>
      </c>
      <c r="J49" s="63">
        <v>0</v>
      </c>
    </row>
    <row r="50" spans="2:10" x14ac:dyDescent="0.25">
      <c r="B50" s="2">
        <v>46042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3F700-B724-4C9A-9354-FCFB60B29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formulasbasic</vt:lpstr>
      <vt:lpstr>Sheet2</vt:lpstr>
      <vt:lpstr>datefunctions</vt:lpstr>
      <vt:lpstr>stringfunctions</vt:lpstr>
      <vt:lpstr>mathfunctions</vt:lpstr>
      <vt:lpstr>lookups</vt:lpstr>
      <vt:lpstr>logical and error</vt:lpstr>
      <vt:lpstr>stats functions</vt:lpstr>
      <vt:lpstr>Formatting</vt:lpstr>
      <vt:lpstr>charts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2025-06-05T17:27:55Z</dcterms:created>
  <dcterms:modified xsi:type="dcterms:W3CDTF">2026-06-04T11:09:29Z</dcterms:modified>
</cp:coreProperties>
</file>